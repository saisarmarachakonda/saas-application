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Sips\Downloads\"/>
    </mc:Choice>
  </mc:AlternateContent>
  <xr:revisionPtr revIDLastSave="0" documentId="13_ncr:1_{E5D2239A-5E71-4737-87D5-35A713509C31}" xr6:coauthVersionLast="47" xr6:coauthVersionMax="47" xr10:uidLastSave="{00000000-0000-0000-0000-000000000000}"/>
  <bookViews>
    <workbookView xWindow="-120" yWindow="-120" windowWidth="29040" windowHeight="15840" xr2:uid="{DF62573A-676E-4FCD-9D3B-38430DC66C52}"/>
  </bookViews>
  <sheets>
    <sheet name="RAW DA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'RAW DATA'!$A$1:$P$579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 s="1"/>
  <c r="B7" i="1" s="1"/>
  <c r="B8" i="1" s="1"/>
  <c r="B9" i="1" s="1"/>
  <c r="B10" i="1" s="1"/>
  <c r="B11" i="1" s="1"/>
  <c r="B12" i="1" s="1"/>
  <c r="B13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3" i="1"/>
  <c r="G559" i="1" l="1"/>
  <c r="G558" i="1"/>
  <c r="G557" i="1"/>
  <c r="G556" i="1"/>
  <c r="G555" i="1"/>
  <c r="G554" i="1"/>
  <c r="G553" i="1"/>
  <c r="G552" i="1"/>
  <c r="G551" i="1" l="1"/>
  <c r="G550" i="1"/>
  <c r="G549" i="1"/>
  <c r="G548" i="1"/>
  <c r="G547" i="1"/>
  <c r="G546" i="1"/>
  <c r="G545" i="1"/>
  <c r="G544" i="1"/>
  <c r="G538" i="1" l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 l="1"/>
  <c r="G523" i="1"/>
  <c r="G522" i="1"/>
  <c r="G521" i="1"/>
  <c r="G520" i="1"/>
  <c r="G519" i="1"/>
  <c r="G518" i="1"/>
  <c r="G517" i="1"/>
  <c r="G516" i="1"/>
  <c r="G515" i="1"/>
  <c r="G514" i="1"/>
  <c r="G513" i="1"/>
  <c r="G512" i="1"/>
  <c r="O511" i="1" l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G486" i="1" l="1"/>
  <c r="G485" i="1"/>
  <c r="G484" i="1"/>
  <c r="G400" i="1" l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 l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5" i="1" l="1"/>
  <c r="G327" i="1"/>
  <c r="G326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O294" i="1" l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 l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 l="1"/>
  <c r="G208" i="1" l="1"/>
  <c r="G207" i="1"/>
  <c r="G206" i="1"/>
  <c r="G205" i="1"/>
  <c r="G204" i="1"/>
  <c r="G203" i="1"/>
  <c r="G202" i="1"/>
  <c r="G201" i="1"/>
  <c r="G139" i="1" l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 l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 l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99" i="1"/>
  <c r="G98" i="1"/>
  <c r="G97" i="1"/>
  <c r="G96" i="1" l="1"/>
  <c r="G95" i="1"/>
  <c r="G94" i="1"/>
  <c r="G93" i="1"/>
  <c r="G86" i="1" l="1"/>
  <c r="G85" i="1"/>
  <c r="G84" i="1"/>
  <c r="G83" i="1"/>
  <c r="G82" i="1"/>
  <c r="G81" i="1"/>
  <c r="G79" i="1"/>
  <c r="G78" i="1"/>
  <c r="G77" i="1"/>
  <c r="G76" i="1"/>
  <c r="G75" i="1"/>
  <c r="G74" i="1"/>
  <c r="G73" i="1"/>
  <c r="O72" i="1" l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26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17" i="1" l="1"/>
  <c r="G23" i="1"/>
  <c r="G22" i="1"/>
  <c r="G21" i="1"/>
  <c r="G20" i="1"/>
  <c r="G19" i="1"/>
  <c r="D19" i="1"/>
  <c r="G18" i="1"/>
  <c r="D18" i="1"/>
  <c r="G16" i="1"/>
  <c r="D16" i="1"/>
  <c r="G15" i="1"/>
  <c r="D15" i="1"/>
  <c r="H218" i="1" l="1"/>
  <c r="I218" i="1" s="1"/>
  <c r="K218" i="1" l="1"/>
  <c r="J218" i="1"/>
  <c r="L218" i="1" l="1"/>
  <c r="O180" i="1"/>
  <c r="L150" i="1"/>
  <c r="I150" i="1"/>
  <c r="L152" i="1"/>
  <c r="I152" i="1"/>
  <c r="O188" i="1"/>
  <c r="L541" i="1"/>
  <c r="I541" i="1"/>
  <c r="K539" i="1"/>
  <c r="O177" i="1"/>
  <c r="O165" i="1"/>
  <c r="O173" i="1"/>
  <c r="O159" i="1"/>
  <c r="O174" i="1"/>
  <c r="O198" i="1"/>
  <c r="O187" i="1"/>
  <c r="O178" i="1"/>
  <c r="O163" i="1"/>
  <c r="G539" i="1"/>
  <c r="H539" i="1"/>
  <c r="I539" i="1"/>
  <c r="L539" i="1"/>
  <c r="O191" i="1"/>
  <c r="O172" i="1"/>
  <c r="O171" i="1"/>
  <c r="O183" i="1"/>
  <c r="O186" i="1"/>
  <c r="O164" i="1"/>
  <c r="O161" i="1"/>
  <c r="O175" i="1"/>
  <c r="K543" i="1"/>
  <c r="O197" i="1"/>
  <c r="I196" i="1"/>
  <c r="J196" i="1"/>
  <c r="L196" i="1"/>
  <c r="K196" i="1"/>
  <c r="I185" i="1"/>
  <c r="L185" i="1"/>
  <c r="J185" i="1"/>
  <c r="K185" i="1"/>
  <c r="O199" i="1"/>
  <c r="L542" i="1"/>
  <c r="I542" i="1"/>
  <c r="I184" i="1"/>
  <c r="L184" i="1"/>
  <c r="K184" i="1"/>
  <c r="J184" i="1"/>
  <c r="O176" i="1"/>
  <c r="K157" i="1"/>
  <c r="I157" i="1"/>
  <c r="G157" i="1"/>
  <c r="H157" i="1"/>
  <c r="L157" i="1"/>
  <c r="O194" i="1"/>
  <c r="K153" i="1"/>
  <c r="I182" i="1"/>
  <c r="J182" i="1"/>
  <c r="K182" i="1"/>
  <c r="L182" i="1"/>
  <c r="O192" i="1"/>
  <c r="L540" i="1"/>
  <c r="I540" i="1"/>
  <c r="O160" i="1"/>
  <c r="L155" i="1"/>
  <c r="K155" i="1"/>
  <c r="G155" i="1"/>
  <c r="H155" i="1"/>
  <c r="I155" i="1"/>
  <c r="K168" i="1"/>
  <c r="I168" i="1"/>
  <c r="G168" i="1"/>
  <c r="H168" i="1"/>
  <c r="L168" i="1"/>
  <c r="O181" i="1"/>
  <c r="K151" i="1"/>
  <c r="O162" i="1"/>
  <c r="G153" i="1"/>
  <c r="H153" i="1"/>
  <c r="I153" i="1"/>
  <c r="L153" i="1"/>
  <c r="G543" i="1"/>
  <c r="H543" i="1"/>
  <c r="I543" i="1"/>
  <c r="L543" i="1"/>
  <c r="G542" i="1"/>
  <c r="H542" i="1"/>
  <c r="K542" i="1"/>
  <c r="K200" i="1"/>
  <c r="J200" i="1"/>
  <c r="L200" i="1"/>
  <c r="I200" i="1"/>
  <c r="J190" i="1"/>
  <c r="L190" i="1"/>
  <c r="K190" i="1"/>
  <c r="I190" i="1"/>
  <c r="L189" i="1"/>
  <c r="J189" i="1"/>
  <c r="I189" i="1"/>
  <c r="K189" i="1"/>
  <c r="I179" i="1"/>
  <c r="K179" i="1"/>
  <c r="J179" i="1"/>
  <c r="L179" i="1"/>
  <c r="H196" i="1"/>
  <c r="G196" i="1"/>
  <c r="O196" i="1"/>
  <c r="H185" i="1"/>
  <c r="G185" i="1"/>
  <c r="O185" i="1"/>
  <c r="K163" i="1"/>
  <c r="J163" i="1"/>
  <c r="I163" i="1"/>
  <c r="G163" i="1"/>
  <c r="H163" i="1"/>
  <c r="L163" i="1"/>
  <c r="L186" i="1"/>
  <c r="K186" i="1"/>
  <c r="I186" i="1"/>
  <c r="G186" i="1"/>
  <c r="H186" i="1"/>
  <c r="J186" i="1"/>
  <c r="L169" i="1"/>
  <c r="K169" i="1"/>
  <c r="G169" i="1"/>
  <c r="H169" i="1"/>
  <c r="I169" i="1"/>
  <c r="I167" i="1"/>
  <c r="K167" i="1"/>
  <c r="G167" i="1"/>
  <c r="H167" i="1"/>
  <c r="L167" i="1"/>
  <c r="H200" i="1"/>
  <c r="G200" i="1"/>
  <c r="O200" i="1"/>
  <c r="H184" i="1"/>
  <c r="G184" i="1"/>
  <c r="O184" i="1"/>
  <c r="H190" i="1"/>
  <c r="G190" i="1"/>
  <c r="O190" i="1"/>
  <c r="H179" i="1"/>
  <c r="G179" i="1"/>
  <c r="O179" i="1"/>
  <c r="I176" i="1"/>
  <c r="J176" i="1"/>
  <c r="K176" i="1"/>
  <c r="G176" i="1"/>
  <c r="H176" i="1"/>
  <c r="L176" i="1"/>
  <c r="L177" i="1"/>
  <c r="J177" i="1"/>
  <c r="I177" i="1"/>
  <c r="G177" i="1"/>
  <c r="H177" i="1"/>
  <c r="K177" i="1"/>
  <c r="L165" i="1"/>
  <c r="K165" i="1"/>
  <c r="I165" i="1"/>
  <c r="G165" i="1"/>
  <c r="H165" i="1"/>
  <c r="J165" i="1"/>
  <c r="L173" i="1"/>
  <c r="I173" i="1"/>
  <c r="K173" i="1"/>
  <c r="G173" i="1"/>
  <c r="H173" i="1"/>
  <c r="J173" i="1"/>
  <c r="L178" i="1"/>
  <c r="K178" i="1"/>
  <c r="J178" i="1"/>
  <c r="G178" i="1"/>
  <c r="H178" i="1"/>
  <c r="I178" i="1"/>
  <c r="K191" i="1"/>
  <c r="J191" i="1"/>
  <c r="I191" i="1"/>
  <c r="G191" i="1"/>
  <c r="H191" i="1"/>
  <c r="L191" i="1"/>
  <c r="I156" i="1"/>
  <c r="K156" i="1"/>
  <c r="G156" i="1"/>
  <c r="H156" i="1"/>
  <c r="L156" i="1"/>
  <c r="L193" i="1"/>
  <c r="I193" i="1"/>
  <c r="K193" i="1"/>
  <c r="J193" i="1"/>
  <c r="J180" i="1"/>
  <c r="I180" i="1"/>
  <c r="L180" i="1"/>
  <c r="G180" i="1"/>
  <c r="H180" i="1"/>
  <c r="K180" i="1"/>
  <c r="L187" i="1"/>
  <c r="J187" i="1"/>
  <c r="K187" i="1"/>
  <c r="G187" i="1"/>
  <c r="H187" i="1"/>
  <c r="I187" i="1"/>
  <c r="L195" i="1"/>
  <c r="K195" i="1"/>
  <c r="I195" i="1"/>
  <c r="J195" i="1"/>
  <c r="K199" i="1"/>
  <c r="I199" i="1"/>
  <c r="J199" i="1"/>
  <c r="G199" i="1"/>
  <c r="H199" i="1"/>
  <c r="L199" i="1"/>
  <c r="L160" i="1"/>
  <c r="J160" i="1"/>
  <c r="K160" i="1"/>
  <c r="G160" i="1"/>
  <c r="H160" i="1"/>
  <c r="I160" i="1"/>
  <c r="L194" i="1"/>
  <c r="K194" i="1"/>
  <c r="J194" i="1"/>
  <c r="G194" i="1"/>
  <c r="H194" i="1"/>
  <c r="I194" i="1"/>
  <c r="I171" i="1"/>
  <c r="J171" i="1"/>
  <c r="L171" i="1"/>
  <c r="G171" i="1"/>
  <c r="H171" i="1"/>
  <c r="K171" i="1"/>
  <c r="L159" i="1"/>
  <c r="J159" i="1"/>
  <c r="I159" i="1"/>
  <c r="G159" i="1"/>
  <c r="H159" i="1"/>
  <c r="K159" i="1"/>
  <c r="L175" i="1"/>
  <c r="K175" i="1"/>
  <c r="I175" i="1"/>
  <c r="G175" i="1"/>
  <c r="H175" i="1"/>
  <c r="J175" i="1"/>
  <c r="J164" i="1"/>
  <c r="I164" i="1"/>
  <c r="K164" i="1"/>
  <c r="G164" i="1"/>
  <c r="H164" i="1"/>
  <c r="L164" i="1"/>
  <c r="L162" i="1"/>
  <c r="J162" i="1"/>
  <c r="I162" i="1"/>
  <c r="G162" i="1"/>
  <c r="H162" i="1"/>
  <c r="K162" i="1"/>
  <c r="J166" i="1"/>
  <c r="L166" i="1"/>
  <c r="K166" i="1"/>
  <c r="I166" i="1"/>
  <c r="K174" i="1"/>
  <c r="L174" i="1"/>
  <c r="J174" i="1"/>
  <c r="G174" i="1"/>
  <c r="H174" i="1"/>
  <c r="I174" i="1"/>
  <c r="J183" i="1"/>
  <c r="L183" i="1"/>
  <c r="K183" i="1"/>
  <c r="G183" i="1"/>
  <c r="H183" i="1"/>
  <c r="I183" i="1"/>
  <c r="I158" i="1"/>
  <c r="J158" i="1"/>
  <c r="L158" i="1"/>
  <c r="K158" i="1"/>
  <c r="I161" i="1"/>
  <c r="K161" i="1"/>
  <c r="J161" i="1"/>
  <c r="G161" i="1"/>
  <c r="H161" i="1"/>
  <c r="L161" i="1"/>
  <c r="L172" i="1"/>
  <c r="I172" i="1"/>
  <c r="J172" i="1"/>
  <c r="G172" i="1"/>
  <c r="H172" i="1"/>
  <c r="K172" i="1"/>
  <c r="K188" i="1"/>
  <c r="L188" i="1"/>
  <c r="J188" i="1"/>
  <c r="G188" i="1"/>
  <c r="H188" i="1"/>
  <c r="I188" i="1"/>
  <c r="J192" i="1"/>
  <c r="I192" i="1"/>
  <c r="K192" i="1"/>
  <c r="G192" i="1"/>
  <c r="H192" i="1"/>
  <c r="L192" i="1"/>
  <c r="H182" i="1"/>
  <c r="G182" i="1"/>
  <c r="O182" i="1"/>
  <c r="I181" i="1"/>
  <c r="J181" i="1"/>
  <c r="K181" i="1"/>
  <c r="G181" i="1"/>
  <c r="H181" i="1"/>
  <c r="L181" i="1"/>
  <c r="L154" i="1"/>
  <c r="I154" i="1"/>
  <c r="G154" i="1"/>
  <c r="H154" i="1"/>
  <c r="K154" i="1"/>
  <c r="G541" i="1"/>
  <c r="H541" i="1"/>
  <c r="K541" i="1"/>
  <c r="G540" i="1"/>
  <c r="H540" i="1"/>
  <c r="K540" i="1"/>
  <c r="H158" i="1"/>
  <c r="G158" i="1"/>
  <c r="O158" i="1"/>
  <c r="H189" i="1"/>
  <c r="G189" i="1"/>
  <c r="O189" i="1"/>
  <c r="L197" i="1"/>
  <c r="I197" i="1"/>
  <c r="K197" i="1"/>
  <c r="G197" i="1"/>
  <c r="H197" i="1"/>
  <c r="J197" i="1"/>
  <c r="L170" i="1"/>
  <c r="K170" i="1"/>
  <c r="G170" i="1"/>
  <c r="H170" i="1"/>
  <c r="I170" i="1"/>
  <c r="G150" i="1"/>
  <c r="H150" i="1"/>
  <c r="K150" i="1"/>
  <c r="J198" i="1"/>
  <c r="K198" i="1"/>
  <c r="I198" i="1"/>
  <c r="G198" i="1"/>
  <c r="H198" i="1"/>
  <c r="L198" i="1"/>
  <c r="H193" i="1"/>
  <c r="G193" i="1"/>
  <c r="O193" i="1"/>
  <c r="G151" i="1"/>
  <c r="H151" i="1"/>
  <c r="I151" i="1"/>
  <c r="L151" i="1"/>
  <c r="H166" i="1"/>
  <c r="G166" i="1"/>
  <c r="O166" i="1"/>
  <c r="G152" i="1"/>
  <c r="H152" i="1"/>
  <c r="K152" i="1"/>
  <c r="H195" i="1"/>
  <c r="G195" i="1"/>
  <c r="O1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24Sips</author>
    <author>Accounts</author>
  </authors>
  <commentList>
    <comment ref="M127" authorId="0" shapeId="0" xr:uid="{97741909-4CB5-4F5E-B04C-A49D57DD529F}">
      <text>
        <r>
          <rPr>
            <b/>
            <sz val="9"/>
            <color indexed="81"/>
            <rFont val="Tahoma"/>
            <family val="2"/>
          </rPr>
          <t>24Sips:</t>
        </r>
        <r>
          <rPr>
            <sz val="9"/>
            <color indexed="81"/>
            <rFont val="Tahoma"/>
            <family val="2"/>
          </rPr>
          <t xml:space="preserve">
3000 Travel allowance</t>
        </r>
      </text>
    </comment>
    <comment ref="G154" authorId="0" shapeId="0" xr:uid="{4443736A-ABC3-4FB3-93A5-8AD5689DAC7E}">
      <text>
        <r>
          <rPr>
            <b/>
            <sz val="9"/>
            <color indexed="81"/>
            <rFont val="Tahoma"/>
            <family val="2"/>
          </rPr>
          <t>24Sips:</t>
        </r>
        <r>
          <rPr>
            <sz val="9"/>
            <color indexed="81"/>
            <rFont val="Tahoma"/>
            <family val="2"/>
          </rPr>
          <t xml:space="preserve">
CLIENT ADDDED 3 DAYS- AS PER ADITYA</t>
        </r>
      </text>
    </comment>
    <comment ref="G290" authorId="0" shapeId="0" xr:uid="{CF6542FC-AB9F-40CD-93F8-2DA1713B3A99}">
      <text>
        <r>
          <rPr>
            <b/>
            <sz val="9"/>
            <color indexed="81"/>
            <rFont val="Tahoma"/>
            <family val="2"/>
          </rPr>
          <t>24Sips:</t>
        </r>
        <r>
          <rPr>
            <sz val="9"/>
            <color indexed="81"/>
            <rFont val="Tahoma"/>
            <family val="2"/>
          </rPr>
          <t xml:space="preserve">
INVOICE GIVEN FOR 3 DAYS ON JUN 2026</t>
        </r>
      </text>
    </comment>
    <comment ref="G308" authorId="0" shapeId="0" xr:uid="{83D05740-FEC7-4DC6-9502-A0515F28FB47}">
      <text>
        <r>
          <rPr>
            <b/>
            <sz val="9"/>
            <color indexed="81"/>
            <rFont val="Tahoma"/>
            <family val="2"/>
          </rPr>
          <t>24Sips:</t>
        </r>
        <r>
          <rPr>
            <sz val="9"/>
            <color indexed="81"/>
            <rFont val="Tahoma"/>
            <family val="2"/>
          </rPr>
          <t xml:space="preserve">
3 DAYS ADDED ON JUN INVOICE BUT NOW PAYMENT PAID</t>
        </r>
      </text>
    </comment>
    <comment ref="D490" authorId="1" shapeId="0" xr:uid="{5FD41D58-ACDA-4662-8DC6-D3730258CA56}">
      <text>
        <r>
          <rPr>
            <b/>
            <sz val="9"/>
            <color indexed="81"/>
            <rFont val="Tahoma"/>
            <family val="2"/>
          </rPr>
          <t>Accounts:</t>
        </r>
        <r>
          <rPr>
            <sz val="9"/>
            <color indexed="81"/>
            <rFont val="Tahoma"/>
            <family val="2"/>
          </rPr>
          <t xml:space="preserve">
PAID ON 2 ND JULY</t>
        </r>
      </text>
    </comment>
  </commentList>
</comments>
</file>

<file path=xl/sharedStrings.xml><?xml version="1.0" encoding="utf-8"?>
<sst xmlns="http://schemas.openxmlformats.org/spreadsheetml/2006/main" count="1761" uniqueCount="718">
  <si>
    <t>CLIENT  NAME</t>
  </si>
  <si>
    <t>S.NO</t>
  </si>
  <si>
    <t>Emp code</t>
  </si>
  <si>
    <t>EMP NAME</t>
  </si>
  <si>
    <t>Designation</t>
  </si>
  <si>
    <t>ACTUAL DAYS</t>
  </si>
  <si>
    <t xml:space="preserve">NET PAID DAYS </t>
  </si>
  <si>
    <t>Gross Earnings</t>
  </si>
  <si>
    <t>EMPLOYEE PF@12%</t>
  </si>
  <si>
    <t>EMPLOYEE ESI@0.75%</t>
  </si>
  <si>
    <t>PT DEDUCTION</t>
  </si>
  <si>
    <t>TOTAL DEDUCTIONS</t>
  </si>
  <si>
    <t>NET PAY</t>
  </si>
  <si>
    <t>Office Boy</t>
  </si>
  <si>
    <t>KARTHIK</t>
  </si>
  <si>
    <t>HOUSEKEEPING</t>
  </si>
  <si>
    <t>Mofijul Islam</t>
  </si>
  <si>
    <t>Pantry Boy</t>
  </si>
  <si>
    <t>ARCO</t>
  </si>
  <si>
    <t>HK Supervisor</t>
  </si>
  <si>
    <t>Housekeeping</t>
  </si>
  <si>
    <t>ALBINA PURTY</t>
  </si>
  <si>
    <t>CADEPLOY</t>
  </si>
  <si>
    <t>RAMANAMPALLY SAIDAMMA</t>
  </si>
  <si>
    <t>G ADITHYA</t>
  </si>
  <si>
    <t>SANJITA XAXA</t>
  </si>
  <si>
    <t>BOJJA LAXMI</t>
  </si>
  <si>
    <t>KARRI MOHAN RAO</t>
  </si>
  <si>
    <t>MAN BAHADUR CHETRY</t>
  </si>
  <si>
    <t>Anuradha</t>
  </si>
  <si>
    <t>S.K.TASLIM</t>
  </si>
  <si>
    <t>Prosanjit</t>
  </si>
  <si>
    <t>EMPLOYER PF @ 13%</t>
  </si>
  <si>
    <t>INSURANCE/EMPLOYER ESI @ 3.25%</t>
  </si>
  <si>
    <t>UNIFORM</t>
  </si>
  <si>
    <t>Sohel Ahmed</t>
  </si>
  <si>
    <t>D.Chinni</t>
  </si>
  <si>
    <t>Technician</t>
  </si>
  <si>
    <t>REP</t>
  </si>
  <si>
    <t>Santosh</t>
  </si>
  <si>
    <t>KAMLESH PASWAN</t>
  </si>
  <si>
    <t>JEEVITHA.G</t>
  </si>
  <si>
    <t>Najrul islam mazumder</t>
  </si>
  <si>
    <t>NAGAMANI</t>
  </si>
  <si>
    <t>CAPS</t>
  </si>
  <si>
    <t>Sravan Kumar</t>
  </si>
  <si>
    <t>HR Office Boy</t>
  </si>
  <si>
    <t>Chandu</t>
  </si>
  <si>
    <t>Office Assistant</t>
  </si>
  <si>
    <t>ABJAL ALI</t>
  </si>
  <si>
    <t xml:space="preserve"> DARAVATHU MADHUKAR</t>
  </si>
  <si>
    <t>MST</t>
  </si>
  <si>
    <t>S.K NAGOOR SHARIF</t>
  </si>
  <si>
    <t>Varaprasad</t>
  </si>
  <si>
    <t>SYED AFROZ ALI</t>
  </si>
  <si>
    <t>Naresh</t>
  </si>
  <si>
    <t>Narayana</t>
  </si>
  <si>
    <t>SANTOSH</t>
  </si>
  <si>
    <t>Ganji Narmada</t>
  </si>
  <si>
    <t>Abhishek</t>
  </si>
  <si>
    <t>Ajay Kumar</t>
  </si>
  <si>
    <t>H.Lavanya</t>
  </si>
  <si>
    <t>Milan Sharma</t>
  </si>
  <si>
    <t>Sarva Bee</t>
  </si>
  <si>
    <t>Animesh Tangubai</t>
  </si>
  <si>
    <t>Suresh Sharma</t>
  </si>
  <si>
    <t>K.Sunitha</t>
  </si>
  <si>
    <t>Shariful Islam</t>
  </si>
  <si>
    <t>G.Rajeswari</t>
  </si>
  <si>
    <t>Suman Das</t>
  </si>
  <si>
    <t>RAHUL.ISLAM</t>
  </si>
  <si>
    <t>SABAVAT DASTIBAI</t>
  </si>
  <si>
    <t>P.SANTHOSHI</t>
  </si>
  <si>
    <t>FAIJUL ISLAM</t>
  </si>
  <si>
    <t>SHAKIRUL ISLAM</t>
  </si>
  <si>
    <t>AMRUTHA</t>
  </si>
  <si>
    <t>BIKI PEGU</t>
  </si>
  <si>
    <t>KRISHNAVENI</t>
  </si>
  <si>
    <t>ACHADUL HAQUE</t>
  </si>
  <si>
    <t>SK.Qasim Ali</t>
  </si>
  <si>
    <t>MOJIBUR REHMAN</t>
  </si>
  <si>
    <t>S.Sunitha</t>
  </si>
  <si>
    <t>02826</t>
  </si>
  <si>
    <t>Visal</t>
  </si>
  <si>
    <t>03826</t>
  </si>
  <si>
    <t xml:space="preserve">Shyam </t>
  </si>
  <si>
    <t>04826</t>
  </si>
  <si>
    <t>N.Jyothi</t>
  </si>
  <si>
    <t>K.Sravanthi</t>
  </si>
  <si>
    <t>06826</t>
  </si>
  <si>
    <t>Deepak Kumar</t>
  </si>
  <si>
    <t>07826</t>
  </si>
  <si>
    <t>Prasanth</t>
  </si>
  <si>
    <t>08826</t>
  </si>
  <si>
    <t>Mamatha</t>
  </si>
  <si>
    <t>09826</t>
  </si>
  <si>
    <t>Abubakkor Siddik</t>
  </si>
  <si>
    <t xml:space="preserve">P.Anjali </t>
  </si>
  <si>
    <t>11826</t>
  </si>
  <si>
    <t>Raju kumar</t>
  </si>
  <si>
    <t>12826</t>
  </si>
  <si>
    <t>Chinni</t>
  </si>
  <si>
    <t>13826</t>
  </si>
  <si>
    <t>Vijaya Laxmi</t>
  </si>
  <si>
    <t>MUJAHERUL ISLAM</t>
  </si>
  <si>
    <t>P.DEVI</t>
  </si>
  <si>
    <t>Mounika</t>
  </si>
  <si>
    <t>CLEAN HARBOR</t>
  </si>
  <si>
    <t>Praveen</t>
  </si>
  <si>
    <t>SUPERVISOR</t>
  </si>
  <si>
    <t>VEERESH</t>
  </si>
  <si>
    <t>P.ANIL KUMAR</t>
  </si>
  <si>
    <t>SHAREEF</t>
  </si>
  <si>
    <t>YELIMELA GOPAL</t>
  </si>
  <si>
    <t>PANTRY BOY</t>
  </si>
  <si>
    <t>Parasuram</t>
  </si>
  <si>
    <t>MAHESH</t>
  </si>
  <si>
    <t xml:space="preserve">Rejaul </t>
  </si>
  <si>
    <t>HK BOY</t>
  </si>
  <si>
    <t>D.Sunitha</t>
  </si>
  <si>
    <t>HK LADY</t>
  </si>
  <si>
    <t>Shymala</t>
  </si>
  <si>
    <t>Bharathi</t>
  </si>
  <si>
    <t>Ibadul</t>
  </si>
  <si>
    <t>Jayrul</t>
  </si>
  <si>
    <t>CONVERGONE</t>
  </si>
  <si>
    <t>Sansira Begum</t>
  </si>
  <si>
    <t>Kairul Islam</t>
  </si>
  <si>
    <t>Hassan</t>
  </si>
  <si>
    <t>Ziabur Rahman</t>
  </si>
  <si>
    <t>Mohibur Rahan</t>
  </si>
  <si>
    <t>S Abhisheik</t>
  </si>
  <si>
    <t>CH.KRANTHI</t>
  </si>
  <si>
    <t>Electrician</t>
  </si>
  <si>
    <t>MANAMMA</t>
  </si>
  <si>
    <t>House keep  Lady</t>
  </si>
  <si>
    <t>Zaheer Khan</t>
  </si>
  <si>
    <t>HK Boy</t>
  </si>
  <si>
    <t>K Balappa</t>
  </si>
  <si>
    <t>DATAMETIC</t>
  </si>
  <si>
    <t>ANTARAM VIJAY KUMAR</t>
  </si>
  <si>
    <t>Facility Executive</t>
  </si>
  <si>
    <t>SHAIK GHOUSE BASSHA</t>
  </si>
  <si>
    <t>HK SUPERVISOR</t>
  </si>
  <si>
    <t>MADHUSUDHAN</t>
  </si>
  <si>
    <t>OMKAR</t>
  </si>
  <si>
    <t>BALLU</t>
  </si>
  <si>
    <t>House keeping</t>
  </si>
  <si>
    <t>SWAPNA DEVASANI</t>
  </si>
  <si>
    <t>VORIKUTI  KRISHNAVENI</t>
  </si>
  <si>
    <t>BASUTKAR ANURADHA</t>
  </si>
  <si>
    <t>SHAMSHAD</t>
  </si>
  <si>
    <t>MOKSUDUL ISLAM</t>
  </si>
  <si>
    <t>DILZAN BEGUM</t>
  </si>
  <si>
    <t>SRILATHA</t>
  </si>
  <si>
    <t>N SRINIVAS</t>
  </si>
  <si>
    <t>PARATH KUMAR</t>
  </si>
  <si>
    <t xml:space="preserve">  PABBALA SHANTAMMA</t>
  </si>
  <si>
    <t>GOURI SHANKAR</t>
  </si>
  <si>
    <t>EASTMAN</t>
  </si>
  <si>
    <t>PONNANA KARTEEK</t>
  </si>
  <si>
    <t>M Ravi Kumar</t>
  </si>
  <si>
    <t>M.Suresh</t>
  </si>
  <si>
    <t>Abhijit</t>
  </si>
  <si>
    <t>Driver</t>
  </si>
  <si>
    <t>Nita Acharjaya</t>
  </si>
  <si>
    <t>House keeping Lady</t>
  </si>
  <si>
    <t>Jetti Kuruvamma</t>
  </si>
  <si>
    <t>Dhanbahadur Chetri</t>
  </si>
  <si>
    <t>Reshma Begum</t>
  </si>
  <si>
    <t>Maruf Ahmed</t>
  </si>
  <si>
    <t>Sobir Uddin Laskar</t>
  </si>
  <si>
    <t>P CHANNAMMA</t>
  </si>
  <si>
    <t>BHAGYA LAKSHMI</t>
  </si>
  <si>
    <t>Musthafa Ahmed</t>
  </si>
  <si>
    <t>ENVIRI</t>
  </si>
  <si>
    <t>A.Kalyan</t>
  </si>
  <si>
    <t>Subodh</t>
  </si>
  <si>
    <t>Cook Cum Care Taker</t>
  </si>
  <si>
    <t>Hemanta</t>
  </si>
  <si>
    <t>Jagabandu Das</t>
  </si>
  <si>
    <t>Asst.Cook/Server</t>
  </si>
  <si>
    <t>Upender Si</t>
  </si>
  <si>
    <t>Ashok Kumar daal</t>
  </si>
  <si>
    <t>Jagannath Nanda</t>
  </si>
  <si>
    <t>Lakshmindara Bhanja</t>
  </si>
  <si>
    <t>Parvesh Kumar Daal</t>
  </si>
  <si>
    <t>Shiva Prasad Das</t>
  </si>
  <si>
    <t>Rohit</t>
  </si>
  <si>
    <t>Sangram Keshari Patra</t>
  </si>
  <si>
    <t>Abhimanyu</t>
  </si>
  <si>
    <t>GMR</t>
  </si>
  <si>
    <t>YADAVALLI ASHOK KUMAR</t>
  </si>
  <si>
    <t>TECHNICIAN</t>
  </si>
  <si>
    <t>ALAUDDIN</t>
  </si>
  <si>
    <t>MADHU KANDURU</t>
  </si>
  <si>
    <t>MED ASIF BABA</t>
  </si>
  <si>
    <t>BANDARI PRAVEEN KUMAR</t>
  </si>
  <si>
    <t>EXECUTIVE</t>
  </si>
  <si>
    <t>SATHVIKA</t>
  </si>
  <si>
    <t>NAGARJU</t>
  </si>
  <si>
    <t>HAREESH</t>
  </si>
  <si>
    <t>SANDEEP</t>
  </si>
  <si>
    <t>BALARAJU</t>
  </si>
  <si>
    <t>OFFICE STAFF</t>
  </si>
  <si>
    <t>RAJ KUMAR BURU</t>
  </si>
  <si>
    <t>ARUNKUMAR</t>
  </si>
  <si>
    <t>SHYAMALA RAHUL REDDY</t>
  </si>
  <si>
    <t>SAFIQ</t>
  </si>
  <si>
    <t>NEW</t>
  </si>
  <si>
    <t>REJAUL KARIM  LASKAR</t>
  </si>
  <si>
    <t>SHRAVAN</t>
  </si>
  <si>
    <t>IT BOY</t>
  </si>
  <si>
    <t>SURANI BANDAIAH</t>
  </si>
  <si>
    <t>CORIEAR BOY</t>
  </si>
  <si>
    <t>SITANSU SAHOO</t>
  </si>
  <si>
    <t>D.AJAY</t>
  </si>
  <si>
    <t>PRADEEP</t>
  </si>
  <si>
    <t>ROHITH MALIK</t>
  </si>
  <si>
    <t>PLUMBER</t>
  </si>
  <si>
    <t>ENDIRA</t>
  </si>
  <si>
    <t>HK MAID</t>
  </si>
  <si>
    <t>B.PARVATHI</t>
  </si>
  <si>
    <t>VASANTH</t>
  </si>
  <si>
    <t>DILWAR</t>
  </si>
  <si>
    <t>ADHILAXMI</t>
  </si>
  <si>
    <t>SHABANA KHATOON</t>
  </si>
  <si>
    <t>ASHADEVI</t>
  </si>
  <si>
    <t>ROSHAN</t>
  </si>
  <si>
    <t>JANAKI</t>
  </si>
  <si>
    <t>RANJU</t>
  </si>
  <si>
    <t>ASHWITHA</t>
  </si>
  <si>
    <t>SHABANA BEGUM</t>
  </si>
  <si>
    <t>REHAMAN SOFIQ</t>
  </si>
  <si>
    <t>HUSAIN</t>
  </si>
  <si>
    <t>R. ANUSHA</t>
  </si>
  <si>
    <t>RAMADEVI</t>
  </si>
  <si>
    <t>BRAMAIAH</t>
  </si>
  <si>
    <t>FARAHANABEGUM</t>
  </si>
  <si>
    <t>RAJITHA</t>
  </si>
  <si>
    <t>V.LAXMI</t>
  </si>
  <si>
    <t>JASHODA</t>
  </si>
  <si>
    <t>KATTAGANI MOUNIKA</t>
  </si>
  <si>
    <t>RAMAVATH PEDDA LALITHA</t>
  </si>
  <si>
    <t>K RENUKA</t>
  </si>
  <si>
    <t>ARUNA</t>
  </si>
  <si>
    <t>CH. MOUNIKA</t>
  </si>
  <si>
    <t>NAKKA DAMAYANTHI</t>
  </si>
  <si>
    <t>CANTEEN MAID</t>
  </si>
  <si>
    <t>VIJAYA BODA</t>
  </si>
  <si>
    <t>VUGGELLI JYOTHI</t>
  </si>
  <si>
    <t>ANURADHA MANCHALA</t>
  </si>
  <si>
    <t>HETERO</t>
  </si>
  <si>
    <t>Monjurol Hoque Laskar</t>
  </si>
  <si>
    <t>Parking Supervisor</t>
  </si>
  <si>
    <t>Chandar Sekhar Pradhan</t>
  </si>
  <si>
    <t>Parking Assistant</t>
  </si>
  <si>
    <t>Subrat KuAPR Das</t>
  </si>
  <si>
    <t>Mangal Singha</t>
  </si>
  <si>
    <t>Sumonta Thakur</t>
  </si>
  <si>
    <t>Pradip Roy</t>
  </si>
  <si>
    <t>Biswanath Satanami</t>
  </si>
  <si>
    <t>Chinmay Sahoo</t>
  </si>
  <si>
    <t>ISS BANGLORE</t>
  </si>
  <si>
    <t>Asia Horo</t>
  </si>
  <si>
    <t>Aka Pathrudu</t>
  </si>
  <si>
    <t>Balaram Rout</t>
  </si>
  <si>
    <t>Aashish Ben</t>
  </si>
  <si>
    <t>Vishnu Mohana Rao</t>
  </si>
  <si>
    <t>Paliki.Apparao</t>
  </si>
  <si>
    <t>ISS</t>
  </si>
  <si>
    <t>MUNAGALA PAKKIRA</t>
  </si>
  <si>
    <t>TECH SUPERVISOR</t>
  </si>
  <si>
    <t>KONY</t>
  </si>
  <si>
    <t>DANDU SHOBA</t>
  </si>
  <si>
    <t>K.Krishna</t>
  </si>
  <si>
    <t>KWE</t>
  </si>
  <si>
    <t>KARKA BAHADUR</t>
  </si>
  <si>
    <t xml:space="preserve">HK </t>
  </si>
  <si>
    <t>LIO</t>
  </si>
  <si>
    <t>SUDHIR KUMAR RAUTARAY</t>
  </si>
  <si>
    <t>TECHNICAL EXECUTIVE</t>
  </si>
  <si>
    <t>K.RAJYALAKSHMI</t>
  </si>
  <si>
    <t>TECHNICAL SUPERVISOR</t>
  </si>
  <si>
    <t>KHIROD DAS</t>
  </si>
  <si>
    <t>KONGANI  NARAYANA</t>
  </si>
  <si>
    <t>B.SANDEEP</t>
  </si>
  <si>
    <t>NAGENDRA BABU</t>
  </si>
  <si>
    <t>SAGAR KUMAR BEHERA</t>
  </si>
  <si>
    <t>JALEM ROHAN</t>
  </si>
  <si>
    <t>H.PANDA</t>
  </si>
  <si>
    <t>ANANDA SHA</t>
  </si>
  <si>
    <t>ELECTRICIAN</t>
  </si>
  <si>
    <t>C. GANESH</t>
  </si>
  <si>
    <t>MANOJ KUMAR</t>
  </si>
  <si>
    <t>BANAVATH BALAJI</t>
  </si>
  <si>
    <t>GATTU BHANUTEJA</t>
  </si>
  <si>
    <t>MERUPULA SANDEEP GOUD</t>
  </si>
  <si>
    <t>RAJANIKANT</t>
  </si>
  <si>
    <t>ALOKA MUDULI</t>
  </si>
  <si>
    <t>MD Saleem</t>
  </si>
  <si>
    <t>Shaik Shaheed</t>
  </si>
  <si>
    <t>KAZIPETA RAVI KIRAN</t>
  </si>
  <si>
    <t>M.PRATHAP KUMAR</t>
  </si>
  <si>
    <t>RUDRA MADHAB SENAPATI</t>
  </si>
  <si>
    <t>MOTUPALLI RAVI SANKARA DURGA</t>
  </si>
  <si>
    <t>BMS OPERATOR</t>
  </si>
  <si>
    <t>J.CHATTYNYA</t>
  </si>
  <si>
    <t>DAGE RAMA KRISHNA</t>
  </si>
  <si>
    <t>MUKESH SRICHANDAN</t>
  </si>
  <si>
    <t>P.SAI SATHISH</t>
  </si>
  <si>
    <t>DG OPERATOR</t>
  </si>
  <si>
    <t>P CHANDRA SHEKAR PATRA</t>
  </si>
  <si>
    <t>ALLAUDDIN MAINODDIN KHAJURE</t>
  </si>
  <si>
    <t>RAUPYA PRAKASH</t>
  </si>
  <si>
    <t>JOGENDRA SETHI</t>
  </si>
  <si>
    <t>HVAC OPERATOR</t>
  </si>
  <si>
    <t>HARISH KHAN</t>
  </si>
  <si>
    <t>AKASHSHA</t>
  </si>
  <si>
    <t>SAJID HUSAIN</t>
  </si>
  <si>
    <t>MOHAMAD REHAN RAJE</t>
  </si>
  <si>
    <t>CHANDRA PRAKASH MOHANTY</t>
  </si>
  <si>
    <t>MURALI KRUSHNA</t>
  </si>
  <si>
    <t>RAMGIRI SATISH</t>
  </si>
  <si>
    <t>SAMAR QUADIR</t>
  </si>
  <si>
    <t>HVAC Technician</t>
  </si>
  <si>
    <t>ANURUDHA  SAMAL</t>
  </si>
  <si>
    <t>PABITRA MALIK</t>
  </si>
  <si>
    <t>GADADHAR MALIK</t>
  </si>
  <si>
    <t>RAJA MALIK</t>
  </si>
  <si>
    <t>NEELAIAH GARI SUDHAKAR</t>
  </si>
  <si>
    <t>NARESH DAS</t>
  </si>
  <si>
    <t>BISWAJIT SAHOO</t>
  </si>
  <si>
    <t>Tapas Malik</t>
  </si>
  <si>
    <t>SURYA PRAKASH ROUT</t>
  </si>
  <si>
    <t>GOPAL ROUT</t>
  </si>
  <si>
    <t>Plumber</t>
  </si>
  <si>
    <t>KALLOL SEN</t>
  </si>
  <si>
    <t>PAINTER</t>
  </si>
  <si>
    <t>M.LAXMINARAYANA</t>
  </si>
  <si>
    <t>MASON</t>
  </si>
  <si>
    <t>Mason</t>
  </si>
  <si>
    <t>BODESH</t>
  </si>
  <si>
    <t>WELDER</t>
  </si>
  <si>
    <t>BANDARI DHAN RAJ</t>
  </si>
  <si>
    <t>Carpenter</t>
  </si>
  <si>
    <t>GALLI KIRAN KUMAR</t>
  </si>
  <si>
    <t>FIRE TECHNICIAN</t>
  </si>
  <si>
    <t>Fire Technician</t>
  </si>
  <si>
    <t>MIDAS B1</t>
  </si>
  <si>
    <t>MIDAS B3</t>
  </si>
  <si>
    <t>MIDAS B4</t>
  </si>
  <si>
    <t>MIDAS B6</t>
  </si>
  <si>
    <t>MIDAS B7</t>
  </si>
  <si>
    <t>P SANTHOSH</t>
  </si>
  <si>
    <t>Supervisor</t>
  </si>
  <si>
    <t xml:space="preserve">Sadanandam </t>
  </si>
  <si>
    <t>M. ANIL</t>
  </si>
  <si>
    <t>PULLARAO</t>
  </si>
  <si>
    <t>P. VYKUNTA</t>
  </si>
  <si>
    <t>Technical Supervisor</t>
  </si>
  <si>
    <t>A Srinivas</t>
  </si>
  <si>
    <t>HVAC</t>
  </si>
  <si>
    <t>JAGANMOHAN</t>
  </si>
  <si>
    <t>MD.TAHSIN KHAN</t>
  </si>
  <si>
    <t>VANAPATLA RAMCHAR</t>
  </si>
  <si>
    <t>N Ananad raju</t>
  </si>
  <si>
    <t>SRIKANTH MALLIK</t>
  </si>
  <si>
    <t>SUSHANTA MALIK</t>
  </si>
  <si>
    <t>DEEPAK DAS</t>
  </si>
  <si>
    <t>Pranaya malik</t>
  </si>
  <si>
    <t>AKASH MALIK</t>
  </si>
  <si>
    <t>P.SURYA</t>
  </si>
  <si>
    <t>BMS</t>
  </si>
  <si>
    <t>P.Abhinay kumar</t>
  </si>
  <si>
    <t>B.ANIL KUMAR</t>
  </si>
  <si>
    <t>SUBHRAMANYAM</t>
  </si>
  <si>
    <t>M.BAL KRISHNA</t>
  </si>
  <si>
    <t>AKHIL</t>
  </si>
  <si>
    <t>P.GANESH</t>
  </si>
  <si>
    <t>BOOKA NARASIMHA</t>
  </si>
  <si>
    <t>DILESHWAR</t>
  </si>
  <si>
    <t>Shiva Krishna</t>
  </si>
  <si>
    <t>DG Operator</t>
  </si>
  <si>
    <t>Yogeswarao</t>
  </si>
  <si>
    <t>P.VIJAY KUMAR</t>
  </si>
  <si>
    <t>G.TIRUPATHI NAIDU</t>
  </si>
  <si>
    <t>G.SATHISH</t>
  </si>
  <si>
    <t>M Sudhkar</t>
  </si>
  <si>
    <t>SUPERVISIOR</t>
  </si>
  <si>
    <t>RAVI KUMAR.B.S</t>
  </si>
  <si>
    <t>Simhachalam</t>
  </si>
  <si>
    <t>M.Nikhil</t>
  </si>
  <si>
    <t>K. Pawan kalyan</t>
  </si>
  <si>
    <t>MATSYAGIRI</t>
  </si>
  <si>
    <t>ALAVALA MAHESH</t>
  </si>
  <si>
    <t>ASHOK</t>
  </si>
  <si>
    <t>SHAIK SAMMER</t>
  </si>
  <si>
    <t>new</t>
  </si>
  <si>
    <t>P Naveen</t>
  </si>
  <si>
    <t>MOHMED SOHEL</t>
  </si>
  <si>
    <t>ASIF KHAN</t>
  </si>
  <si>
    <t>GADDAM RUSHIKESH</t>
  </si>
  <si>
    <t>UMA MAHESH</t>
  </si>
  <si>
    <t>Bhuban Malik</t>
  </si>
  <si>
    <t>M. VENKATESWARA RAO</t>
  </si>
  <si>
    <t>KONDAPALLI MAHESH</t>
  </si>
  <si>
    <t>G.JAGADEESH</t>
  </si>
  <si>
    <t>G. RAKESH</t>
  </si>
  <si>
    <t>AKULA.PURNA CHANDRA RAO</t>
  </si>
  <si>
    <t>NISHIKANTA PATRA</t>
  </si>
  <si>
    <t>CHINMAY MALIK</t>
  </si>
  <si>
    <t>RAHUL DAS</t>
  </si>
  <si>
    <t>SHASHI KANTA PATRA</t>
  </si>
  <si>
    <t>ABHILASH</t>
  </si>
  <si>
    <t>Welder</t>
  </si>
  <si>
    <t>KRISHNA</t>
  </si>
  <si>
    <t>CARPENTER</t>
  </si>
  <si>
    <t>L. HARI BABU</t>
  </si>
  <si>
    <t>G. SAGAR NAIK</t>
  </si>
  <si>
    <t>M. RAVI</t>
  </si>
  <si>
    <t>K. RAM MURTHY</t>
  </si>
  <si>
    <t>NITESH</t>
  </si>
  <si>
    <t>Samendra dalai</t>
  </si>
  <si>
    <t>DUDIMETLA LARENCE</t>
  </si>
  <si>
    <t>CH. RAJU</t>
  </si>
  <si>
    <t>VENKATA KRISHNA</t>
  </si>
  <si>
    <t>Dillip muduli</t>
  </si>
  <si>
    <t>Jakkamsetti DurgaPrasad</t>
  </si>
  <si>
    <t>M.VENKATA RAMANA</t>
  </si>
  <si>
    <t>MANOJ MALIK</t>
  </si>
  <si>
    <t>UMESH MALIK</t>
  </si>
  <si>
    <t>BALA RAM PANDA</t>
  </si>
  <si>
    <t xml:space="preserve">M . Santhosh </t>
  </si>
  <si>
    <t>MD.IBRAHIM</t>
  </si>
  <si>
    <t>RAYUDU JAYAKRISHNA</t>
  </si>
  <si>
    <t>Palli Srihari Rao</t>
  </si>
  <si>
    <t>M.SASI KIRAN</t>
  </si>
  <si>
    <t>THODUPUNURU PAVAN SAI</t>
  </si>
  <si>
    <t xml:space="preserve">SYED ABRAR ALI </t>
  </si>
  <si>
    <t>MD. TALHA KHAN</t>
  </si>
  <si>
    <t>REHMAN FISHAL</t>
  </si>
  <si>
    <t>MD. AAKIB ANSARI</t>
  </si>
  <si>
    <t>B.UDAY KUMAR</t>
  </si>
  <si>
    <t>TIRUPATAMMA</t>
  </si>
  <si>
    <t xml:space="preserve">BMS Operator </t>
  </si>
  <si>
    <t>S. SHASHI KUMAR</t>
  </si>
  <si>
    <t>D. KRISHNA</t>
  </si>
  <si>
    <t>P.RAHUL</t>
  </si>
  <si>
    <t>Bhupthi shiva</t>
  </si>
  <si>
    <t>Uday kiran</t>
  </si>
  <si>
    <t xml:space="preserve">N.VENKATESH </t>
  </si>
  <si>
    <t>B.JAGADEESH</t>
  </si>
  <si>
    <t>P.ABHISHEK</t>
  </si>
  <si>
    <t>B. CHANTI</t>
  </si>
  <si>
    <t>J. SAI TEJA</t>
  </si>
  <si>
    <t>I.SIMHADRI</t>
  </si>
  <si>
    <t>P. POCHAIAH</t>
  </si>
  <si>
    <t>Painter</t>
  </si>
  <si>
    <t xml:space="preserve">M. HARISH </t>
  </si>
  <si>
    <t>RAHIM UDDIN</t>
  </si>
  <si>
    <t>K. LAKSHMAIAH</t>
  </si>
  <si>
    <t>Loby Patan Rawoof Khan</t>
  </si>
  <si>
    <t>Madhav Reddy</t>
  </si>
  <si>
    <t>G SANDEEP</t>
  </si>
  <si>
    <t>MOHAN REDDY</t>
  </si>
  <si>
    <t>Hemanth</t>
  </si>
  <si>
    <t>J MAHENDAR</t>
  </si>
  <si>
    <t>Balakrishna</t>
  </si>
  <si>
    <t>SAIDA KARA RAO</t>
  </si>
  <si>
    <t>Ullash  Mallik</t>
  </si>
  <si>
    <t>DEBASISH</t>
  </si>
  <si>
    <t>LAXMIDHAR ROUT</t>
  </si>
  <si>
    <t>Sushant Rout</t>
  </si>
  <si>
    <t>M.D LAYEEQ</t>
  </si>
  <si>
    <t>SHEKAR MALIK</t>
  </si>
  <si>
    <t>SRIDHAR MALIK</t>
  </si>
  <si>
    <t>B.Ashok</t>
  </si>
  <si>
    <t>SAI DEEPAK</t>
  </si>
  <si>
    <t>RAJ KISHORE</t>
  </si>
  <si>
    <t>Shaik Mastan</t>
  </si>
  <si>
    <t>MANUKONDA KIRAN</t>
  </si>
  <si>
    <t>K.RAMBABU</t>
  </si>
  <si>
    <t>P. Surya Rao</t>
  </si>
  <si>
    <t>Dharma Teja</t>
  </si>
  <si>
    <t xml:space="preserve">KISHOR </t>
  </si>
  <si>
    <t>HARISH</t>
  </si>
  <si>
    <t>A.DURGA PRASAD</t>
  </si>
  <si>
    <t>N Kranthi Kumar</t>
  </si>
  <si>
    <t>V.SHIVAKUMAR(B7)</t>
  </si>
  <si>
    <t>PAWAN KUMAR</t>
  </si>
  <si>
    <t>J.PRADEEP</t>
  </si>
  <si>
    <t>M.Alam Barbhiuya</t>
  </si>
  <si>
    <t>P.Srinivas</t>
  </si>
  <si>
    <t>SR Supervisor</t>
  </si>
  <si>
    <t>Uday Bhanu</t>
  </si>
  <si>
    <t>VICKY KUMAR</t>
  </si>
  <si>
    <t>S PRABHAKAR</t>
  </si>
  <si>
    <t>MST Supervisor</t>
  </si>
  <si>
    <t>B SURESH</t>
  </si>
  <si>
    <t>Linga Swamy</t>
  </si>
  <si>
    <t>Jaidul</t>
  </si>
  <si>
    <t>MOUNIKA.S</t>
  </si>
  <si>
    <t>PANTRY LADY</t>
  </si>
  <si>
    <t>S.Sudhakar</t>
  </si>
  <si>
    <t>Juber Husssain</t>
  </si>
  <si>
    <t>BADAVATH NARESH</t>
  </si>
  <si>
    <t>SHOHEB</t>
  </si>
  <si>
    <t>OFFICE BOY</t>
  </si>
  <si>
    <t>SARIMUDDIN</t>
  </si>
  <si>
    <t>BAPAN NAVEEN</t>
  </si>
  <si>
    <t>Johnvali</t>
  </si>
  <si>
    <t>DARAVATH UMESH</t>
  </si>
  <si>
    <t>D.REKHA</t>
  </si>
  <si>
    <t>HOUSKEEPING</t>
  </si>
  <si>
    <t>BODA SURESH</t>
  </si>
  <si>
    <t>L.LAXMI</t>
  </si>
  <si>
    <t>UPASHE SUNITHA</t>
  </si>
  <si>
    <t>NURISLAM LASKAR</t>
  </si>
  <si>
    <t>HANUFA KHATUN</t>
  </si>
  <si>
    <t>SANJITA</t>
  </si>
  <si>
    <t>AJUFA KHATUN</t>
  </si>
  <si>
    <t>EKBAL HISSAIN</t>
  </si>
  <si>
    <t>HOUS KEEPING</t>
  </si>
  <si>
    <t>KANHYA MUDHUKAR LAL</t>
  </si>
  <si>
    <t>RAJINI KHANDE</t>
  </si>
  <si>
    <t>D.AKSHAY</t>
  </si>
  <si>
    <t>T.JYOTHI</t>
  </si>
  <si>
    <t>NANDHINI</t>
  </si>
  <si>
    <t>ATIYA BEGUM</t>
  </si>
  <si>
    <t>MD SAKIL</t>
  </si>
  <si>
    <t>P.Sharada</t>
  </si>
  <si>
    <t>MUSLIM UDDIN</t>
  </si>
  <si>
    <t>RAJENDRA KURREY</t>
  </si>
  <si>
    <t>RIYAJUN NESSA MAZUMDER</t>
  </si>
  <si>
    <t>S.Anitha</t>
  </si>
  <si>
    <t>SEEMA</t>
  </si>
  <si>
    <t>SITA BANJARE</t>
  </si>
  <si>
    <t>U SWARUPA</t>
  </si>
  <si>
    <t>KOUSHIL JANGADE</t>
  </si>
  <si>
    <t>VIKRAM KHUNTE</t>
  </si>
  <si>
    <t>USHA JANGADE</t>
  </si>
  <si>
    <t>NAVANITHA</t>
  </si>
  <si>
    <t>NAZIUR ROHMAN LASKAR</t>
  </si>
  <si>
    <t>BALLAM SURESH</t>
  </si>
  <si>
    <t>MODMED</t>
  </si>
  <si>
    <t>A. Yadagiri</t>
  </si>
  <si>
    <t>NASSCOM</t>
  </si>
  <si>
    <t xml:space="preserve"> PALNATI CHANDRA SEKHAR REDDY</t>
  </si>
  <si>
    <t>Rajendhraprasad</t>
  </si>
  <si>
    <t>MADUGUNDU VEERESH</t>
  </si>
  <si>
    <t>THANDRA ANAND KUMAR</t>
  </si>
  <si>
    <t>P SATHISH</t>
  </si>
  <si>
    <t>Parameshwer</t>
  </si>
  <si>
    <t>ERUGU VISWAS</t>
  </si>
  <si>
    <t>PICHIGUNTLA VISHWANATH</t>
  </si>
  <si>
    <t>ALONI RAJU</t>
  </si>
  <si>
    <t>MARI RAVIKANTH</t>
  </si>
  <si>
    <t>Arunsai</t>
  </si>
  <si>
    <t>G.Prakash</t>
  </si>
  <si>
    <t>CHITIMALA NARSIMHA</t>
  </si>
  <si>
    <t>JAMEEL SHAREEF</t>
  </si>
  <si>
    <t>Subbarayudu</t>
  </si>
  <si>
    <t>JUTUR SEKHAR</t>
  </si>
  <si>
    <t xml:space="preserve"> MUPPIDI YADAGIRI</t>
  </si>
  <si>
    <t xml:space="preserve">Mason </t>
  </si>
  <si>
    <t>Murali</t>
  </si>
  <si>
    <t>MAHANKALI UPENDER CHARY</t>
  </si>
  <si>
    <t>Carpainter</t>
  </si>
  <si>
    <t>NSL T1</t>
  </si>
  <si>
    <t>KALLU PRAKASH REDDY</t>
  </si>
  <si>
    <t>Technical Executive</t>
  </si>
  <si>
    <t>SANJAY</t>
  </si>
  <si>
    <t>M STEVERAJ</t>
  </si>
  <si>
    <t>VINOD</t>
  </si>
  <si>
    <t>KRUPAKAR</t>
  </si>
  <si>
    <t>B.Mohan</t>
  </si>
  <si>
    <t>Rajesh</t>
  </si>
  <si>
    <t>M.Vinay</t>
  </si>
  <si>
    <t>D.NARESH</t>
  </si>
  <si>
    <t>PARAMATA TRIMURTHULU</t>
  </si>
  <si>
    <t>Narender</t>
  </si>
  <si>
    <t>BHUPATHI BIKSHAPATHI</t>
  </si>
  <si>
    <t>Sheshank</t>
  </si>
  <si>
    <t xml:space="preserve">KESHV LAL KUMAR </t>
  </si>
  <si>
    <t>NSL T2</t>
  </si>
  <si>
    <t>Abdul Malik</t>
  </si>
  <si>
    <t>Sadikur Rehman</t>
  </si>
  <si>
    <t>Mehabobie</t>
  </si>
  <si>
    <t>RITE SOFTWARE</t>
  </si>
  <si>
    <t>Chaitanya Satish</t>
  </si>
  <si>
    <t>Executive</t>
  </si>
  <si>
    <t>NIDRABANGI APPARAO</t>
  </si>
  <si>
    <t>Sr.ELECTRICIAN</t>
  </si>
  <si>
    <t>U RAJU</t>
  </si>
  <si>
    <t>B MAHESH</t>
  </si>
  <si>
    <t>G.NITHIN</t>
  </si>
  <si>
    <t xml:space="preserve">G.Shanmuk </t>
  </si>
  <si>
    <t>K Rajesh</t>
  </si>
  <si>
    <t>Koppishetty Naga Naveen</t>
  </si>
  <si>
    <t>P SRINIVASULU</t>
  </si>
  <si>
    <t>VENU</t>
  </si>
  <si>
    <t>SRAVAN</t>
  </si>
  <si>
    <t>TAPAS PADHI</t>
  </si>
  <si>
    <t>Sr. PLUMBER</t>
  </si>
  <si>
    <t>Pareswrabal</t>
  </si>
  <si>
    <t>BISWARAJ MISHRA</t>
  </si>
  <si>
    <t>BIJAY KUMAR MALIK</t>
  </si>
  <si>
    <t>BANAGANIPALLE SIDDAIAH</t>
  </si>
  <si>
    <t>SATRUGHNA MALLIK</t>
  </si>
  <si>
    <t>ISWAR CHANDRA MALIK</t>
  </si>
  <si>
    <t>SRIKANTH MAJHI</t>
  </si>
  <si>
    <t>BRUSAVANU SETHI</t>
  </si>
  <si>
    <t>JAGAT JIVAN DASH</t>
  </si>
  <si>
    <t>Deepak</t>
  </si>
  <si>
    <t>MADAM SHYAM</t>
  </si>
  <si>
    <t>A Vyankat Jalaba</t>
  </si>
  <si>
    <t>GAJANAN KISHAN</t>
  </si>
  <si>
    <t>SERENE COUNTRY</t>
  </si>
  <si>
    <t>RAMAKRISHNA</t>
  </si>
  <si>
    <t xml:space="preserve">METLA RADHAMMA </t>
  </si>
  <si>
    <t>Sr. Housekeeping</t>
  </si>
  <si>
    <t>YOUNAS</t>
  </si>
  <si>
    <t>Naseem Begum</t>
  </si>
  <si>
    <t>Hk Lady</t>
  </si>
  <si>
    <t>Vijaya Laksmi</t>
  </si>
  <si>
    <t>SAMIN</t>
  </si>
  <si>
    <t xml:space="preserve">P RUPA </t>
  </si>
  <si>
    <t>Abdul Kalam Laskar</t>
  </si>
  <si>
    <t>V . Sridhar</t>
  </si>
  <si>
    <t>Ankith</t>
  </si>
  <si>
    <t>Imadul Alom</t>
  </si>
  <si>
    <t>Joynal Hussain Laskar</t>
  </si>
  <si>
    <t>Nasim Ahmed</t>
  </si>
  <si>
    <t xml:space="preserve">TDXC </t>
  </si>
  <si>
    <t xml:space="preserve">Mahesh </t>
  </si>
  <si>
    <t>Kuruma Vijaya Kumar</t>
  </si>
  <si>
    <t>Facility Excutive</t>
  </si>
  <si>
    <t>G Narendra</t>
  </si>
  <si>
    <t xml:space="preserve">Faizur Rahman </t>
  </si>
  <si>
    <t>Hk Boy</t>
  </si>
  <si>
    <t>Rupan Das</t>
  </si>
  <si>
    <t>RAMULU NAYAK</t>
  </si>
  <si>
    <t>SANTA BAI</t>
  </si>
  <si>
    <t>Bandari vasuda</t>
  </si>
  <si>
    <t>Kota yadaiah</t>
  </si>
  <si>
    <t>Dilwar hussain</t>
  </si>
  <si>
    <t>Sujatha kerketta</t>
  </si>
  <si>
    <t>Kinkar</t>
  </si>
  <si>
    <t>Arathi</t>
  </si>
  <si>
    <t>Radhika</t>
  </si>
  <si>
    <t>TDCX MEENAKSHI</t>
  </si>
  <si>
    <t>R Anil Kumar</t>
  </si>
  <si>
    <t xml:space="preserve">TECHNICAL SUPERVISOR </t>
  </si>
  <si>
    <t>K. Sudhakar</t>
  </si>
  <si>
    <t>CH Bharath</t>
  </si>
  <si>
    <t>A.Narendra Reddy</t>
  </si>
  <si>
    <t>P. Deepak</t>
  </si>
  <si>
    <t>TRINET</t>
  </si>
  <si>
    <t>G.Pavan kumar</t>
  </si>
  <si>
    <t>Abdul chowdary</t>
  </si>
  <si>
    <t>Ram kumar</t>
  </si>
  <si>
    <t>Vinod Prasad</t>
  </si>
  <si>
    <t>kamrul islam</t>
  </si>
  <si>
    <t>Shila</t>
  </si>
  <si>
    <t>Johur Uddin</t>
  </si>
  <si>
    <t>VENSAR</t>
  </si>
  <si>
    <t>Atakula Sandeep Kumar Reddy</t>
  </si>
  <si>
    <t>V.Sandhya</t>
  </si>
  <si>
    <t>Kummari.Mahesh</t>
  </si>
  <si>
    <t>Office Subordinate</t>
  </si>
  <si>
    <t>T.Jayamma</t>
  </si>
  <si>
    <t>Managali Chittemma</t>
  </si>
  <si>
    <t>Sapavat Chitti</t>
  </si>
  <si>
    <t>SRINU</t>
  </si>
  <si>
    <t>Tagaram Suvartha</t>
  </si>
  <si>
    <t>WE HUB</t>
  </si>
  <si>
    <t xml:space="preserve">Mohammad Abdul Rahman </t>
  </si>
  <si>
    <t>Tech Supervisor</t>
  </si>
  <si>
    <t>SIKANDAR  ALAM</t>
  </si>
  <si>
    <t xml:space="preserve">Sr. Technician </t>
  </si>
  <si>
    <t>V.MADHU</t>
  </si>
  <si>
    <t xml:space="preserve">Jr. Technician </t>
  </si>
  <si>
    <t>K.CHARAN</t>
  </si>
  <si>
    <t>B.SANJAY KUMAR</t>
  </si>
  <si>
    <t>SAIK JAFFAR</t>
  </si>
  <si>
    <t>TOUVJSTONE</t>
  </si>
  <si>
    <t>CH.VENKATESH</t>
  </si>
  <si>
    <t>Site Engineer</t>
  </si>
  <si>
    <t>PRASANNA KUMAR</t>
  </si>
  <si>
    <t>Electrcian</t>
  </si>
  <si>
    <t>M.LAXMAN</t>
  </si>
  <si>
    <t>B.LAXMAN</t>
  </si>
  <si>
    <t>M. SRIKANTH</t>
  </si>
  <si>
    <t>ARVA SWAMY</t>
  </si>
  <si>
    <t>S.BALAKRISHNA</t>
  </si>
  <si>
    <t>BABAMIYA</t>
  </si>
  <si>
    <t>N.JOHNY</t>
  </si>
  <si>
    <t>INNOPOLIS</t>
  </si>
  <si>
    <t>PEDDOJI SRINU</t>
  </si>
  <si>
    <t>PUJALA VAMSIKRISHNA</t>
  </si>
  <si>
    <t>GUDELLI GANESH</t>
  </si>
  <si>
    <t>AKKERA SHASHANK</t>
  </si>
  <si>
    <t>YEDDU RAJU</t>
  </si>
  <si>
    <t>ARX</t>
  </si>
  <si>
    <t>GUS</t>
  </si>
  <si>
    <t>B THARA</t>
  </si>
  <si>
    <t>Creche Supervisor</t>
  </si>
  <si>
    <t>Thalasani Srilatha</t>
  </si>
  <si>
    <t>CARE TAKER</t>
  </si>
  <si>
    <t>Kunchala NagaVenkatalaksmi</t>
  </si>
  <si>
    <t>Gujjula Anitha</t>
  </si>
  <si>
    <t>Mudidana Vijaya Laxmi</t>
  </si>
  <si>
    <t>Nallakapu Navanitha</t>
  </si>
  <si>
    <t>K Shilpa</t>
  </si>
  <si>
    <t>Bhavani</t>
  </si>
  <si>
    <t>Kadri Suguna</t>
  </si>
  <si>
    <t>B Jyothi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</si>
</sst>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222222"/>
      <name val="Times New Roman"/>
      <family val="1"/>
    </font>
    <font>
      <sz val="12"/>
      <color rgb="FF363636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</cellStyleXfs>
  <cellXfs count="105">
    <xf numFmtId="0" fontId="0" fillId="0" borderId="0" xfId="0"/>
    <xf numFmtId="1" fontId="6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6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/>
    </xf>
    <xf numFmtId="1" fontId="8" fillId="3" borderId="6" xfId="0" applyNumberFormat="1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8" fillId="3" borderId="1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49" fontId="9" fillId="3" borderId="1" xfId="2" applyNumberFormat="1" applyFont="1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/>
    </xf>
    <xf numFmtId="1" fontId="8" fillId="3" borderId="4" xfId="0" applyNumberFormat="1" applyFont="1" applyFill="1" applyBorder="1" applyAlignment="1">
      <alignment horizontal="center"/>
    </xf>
    <xf numFmtId="1" fontId="8" fillId="3" borderId="5" xfId="0" applyNumberFormat="1" applyFont="1" applyFill="1" applyBorder="1" applyAlignment="1">
      <alignment horizontal="center"/>
    </xf>
    <xf numFmtId="3" fontId="12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/>
    </xf>
    <xf numFmtId="1" fontId="6" fillId="3" borderId="6" xfId="0" applyNumberFormat="1" applyFont="1" applyFill="1" applyBorder="1" applyAlignment="1">
      <alignment horizontal="center"/>
    </xf>
    <xf numFmtId="1" fontId="6" fillId="3" borderId="7" xfId="0" applyNumberFormat="1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 vertical="center" wrapText="1"/>
    </xf>
    <xf numFmtId="1" fontId="8" fillId="3" borderId="14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1" fontId="6" fillId="3" borderId="4" xfId="0" applyNumberFormat="1" applyFont="1" applyFill="1" applyBorder="1" applyAlignment="1">
      <alignment horizontal="center"/>
    </xf>
    <xf numFmtId="1" fontId="6" fillId="3" borderId="8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13" fillId="5" borderId="12" xfId="3" applyFont="1" applyFill="1" applyBorder="1" applyAlignment="1">
      <alignment horizontal="center" vertical="center"/>
    </xf>
    <xf numFmtId="0" fontId="13" fillId="5" borderId="1" xfId="3" applyFont="1" applyFill="1" applyBorder="1" applyAlignment="1">
      <alignment horizontal="center" vertical="center"/>
    </xf>
    <xf numFmtId="0" fontId="13" fillId="5" borderId="12" xfId="3" applyFont="1" applyFill="1" applyBorder="1" applyAlignment="1">
      <alignment horizontal="center"/>
    </xf>
    <xf numFmtId="0" fontId="13" fillId="5" borderId="1" xfId="3" applyFont="1" applyFill="1" applyBorder="1" applyAlignment="1">
      <alignment horizontal="center"/>
    </xf>
    <xf numFmtId="2" fontId="8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" fontId="8" fillId="3" borderId="6" xfId="0" applyNumberFormat="1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wrapText="1"/>
    </xf>
    <xf numFmtId="0" fontId="9" fillId="3" borderId="15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1" fontId="8" fillId="3" borderId="1" xfId="1" applyNumberFormat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top"/>
    </xf>
    <xf numFmtId="0" fontId="13" fillId="5" borderId="12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8" fillId="3" borderId="12" xfId="1" applyNumberFormat="1" applyFont="1" applyFill="1" applyBorder="1" applyAlignment="1">
      <alignment horizontal="center" vertical="center"/>
    </xf>
    <xf numFmtId="1" fontId="13" fillId="3" borderId="16" xfId="0" applyNumberFormat="1" applyFont="1" applyFill="1" applyBorder="1" applyAlignment="1">
      <alignment horizontal="center" vertical="top" shrinkToFit="1"/>
    </xf>
    <xf numFmtId="0" fontId="9" fillId="3" borderId="9" xfId="0" applyFont="1" applyFill="1" applyBorder="1" applyAlignment="1">
      <alignment horizontal="center" vertical="top" wrapText="1"/>
    </xf>
    <xf numFmtId="1" fontId="13" fillId="3" borderId="9" xfId="0" applyNumberFormat="1" applyFont="1" applyFill="1" applyBorder="1" applyAlignment="1">
      <alignment horizontal="center" vertical="top" shrinkToFit="1"/>
    </xf>
    <xf numFmtId="2" fontId="13" fillId="3" borderId="9" xfId="0" applyNumberFormat="1" applyFont="1" applyFill="1" applyBorder="1" applyAlignment="1">
      <alignment horizontal="center" vertical="top" shrinkToFit="1"/>
    </xf>
    <xf numFmtId="0" fontId="12" fillId="3" borderId="1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/>
    </xf>
    <xf numFmtId="1" fontId="9" fillId="3" borderId="4" xfId="0" applyNumberFormat="1" applyFont="1" applyFill="1" applyBorder="1" applyAlignment="1">
      <alignment horizontal="center"/>
    </xf>
    <xf numFmtId="1" fontId="9" fillId="3" borderId="14" xfId="0" applyNumberFormat="1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/>
    </xf>
    <xf numFmtId="1" fontId="8" fillId="3" borderId="11" xfId="0" applyNumberFormat="1" applyFont="1" applyFill="1" applyBorder="1" applyAlignment="1">
      <alignment horizontal="center"/>
    </xf>
    <xf numFmtId="0" fontId="8" fillId="3" borderId="15" xfId="3" applyFont="1" applyFill="1" applyBorder="1" applyAlignment="1">
      <alignment horizontal="center" vertical="center"/>
    </xf>
    <xf numFmtId="0" fontId="8" fillId="3" borderId="2" xfId="3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/>
    </xf>
    <xf numFmtId="1" fontId="6" fillId="3" borderId="6" xfId="0" applyNumberFormat="1" applyFont="1" applyFill="1" applyBorder="1" applyAlignment="1">
      <alignment horizontal="center" vertical="center"/>
    </xf>
    <xf numFmtId="1" fontId="6" fillId="3" borderId="7" xfId="0" applyNumberFormat="1" applyFont="1" applyFill="1" applyBorder="1" applyAlignment="1">
      <alignment horizontal="center" vertical="center"/>
    </xf>
    <xf numFmtId="164" fontId="8" fillId="3" borderId="0" xfId="1" applyNumberFormat="1" applyFont="1" applyFill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164" fontId="15" fillId="2" borderId="1" xfId="1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center" vertical="center" wrapText="1"/>
    </xf>
    <xf numFmtId="164" fontId="14" fillId="2" borderId="6" xfId="1" applyNumberFormat="1" applyFont="1" applyFill="1" applyBorder="1" applyAlignment="1">
      <alignment horizontal="center" vertical="center"/>
    </xf>
  </cellXfs>
  <cellStyles count="5">
    <cellStyle name="Comma" xfId="1" builtinId="3"/>
    <cellStyle name="Nor}al_Attendence- March'09'(1)" xfId="2" xr:uid="{85BCE696-74E2-458B-8476-C06F95EF2C6E}"/>
    <cellStyle name="Normal" xfId="0" builtinId="0"/>
    <cellStyle name="Normal 2" xfId="3" xr:uid="{020B18C0-BB7F-41AD-A1A1-7455AA9864C2}"/>
    <cellStyle name="Normal 6" xfId="4" xr:uid="{DBAF2FB5-F866-46BE-A424-92214374D0E3}"/>
  </cellStyles>
  <dxfs count="7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9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4Sips\Downloads\PF%20ESIC%20PT%20SUMMARY%20MARCH%202026.xlsx" TargetMode="External"/><Relationship Id="rId1" Type="http://schemas.openxmlformats.org/officeDocument/2006/relationships/externalLinkPath" Target="PF%20ESIC%20PT%20SUMMARY%20MARCH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CAPS%20JUL%202026.xlsx" TargetMode="External"/><Relationship Id="rId1" Type="http://schemas.openxmlformats.org/officeDocument/2006/relationships/externalLinkPath" Target="file:///F:\JUL-2026\CAPS%20JU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CLEAN%20HARBORS%20JUL%202026.xlsx" TargetMode="External"/><Relationship Id="rId1" Type="http://schemas.openxmlformats.org/officeDocument/2006/relationships/externalLinkPath" Target="file:///F:\JUL-2026\CLEAN%20HARBORS%20JUL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CONVERGEONE%20JUL%202026.xlsx" TargetMode="External"/><Relationship Id="rId1" Type="http://schemas.openxmlformats.org/officeDocument/2006/relationships/externalLinkPath" Target="file:///F:\JUL-2026\CONVERGEONE%20JUL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DATAMETICS%20JUL%2026.xlsx" TargetMode="External"/><Relationship Id="rId1" Type="http://schemas.openxmlformats.org/officeDocument/2006/relationships/externalLinkPath" Target="file:///F:\JUL-2026\DATAMETICS%20JUL%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EASTMAN%20JUL-2026.xlsx" TargetMode="External"/><Relationship Id="rId1" Type="http://schemas.openxmlformats.org/officeDocument/2006/relationships/externalLinkPath" Target="file:///F:\JUL-2026\EASTMAN%20JUL-202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ENVIRI%20JUL%202026.xlsx" TargetMode="External"/><Relationship Id="rId1" Type="http://schemas.openxmlformats.org/officeDocument/2006/relationships/externalLinkPath" Target="file:///F:\JUL-2026\ENVIRI%20JUL%202026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GMR%20JUL%202026.xlsx" TargetMode="External"/><Relationship Id="rId1" Type="http://schemas.openxmlformats.org/officeDocument/2006/relationships/externalLinkPath" Target="file:///F:\JUL-2026\GMR%20JUL%202026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GUS%20JUL%202026.xlsx" TargetMode="External"/><Relationship Id="rId1" Type="http://schemas.openxmlformats.org/officeDocument/2006/relationships/externalLinkPath" Target="file:///F:\JUL-2026\GUS%20JUL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HETERO%20JUL%202026.xlsx" TargetMode="External"/><Relationship Id="rId1" Type="http://schemas.openxmlformats.org/officeDocument/2006/relationships/externalLinkPath" Target="file:///F:\JUL-2026\HETERO%20JUL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ISS%20BANGALORE%20JUL%202026.xlsx" TargetMode="External"/><Relationship Id="rId1" Type="http://schemas.openxmlformats.org/officeDocument/2006/relationships/externalLinkPath" Target="file:///F:\JUL-2026\ISS%20BANGALORE%20JUL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LIO%20JUL%202026.xlsx" TargetMode="External"/><Relationship Id="rId1" Type="http://schemas.openxmlformats.org/officeDocument/2006/relationships/externalLinkPath" Target="file:///F:\JUL-2026\LIO%20JUL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MIDAS%20B1%20JUL%202026.xlsx" TargetMode="External"/><Relationship Id="rId1" Type="http://schemas.openxmlformats.org/officeDocument/2006/relationships/externalLinkPath" Target="file:///F:\JUL-2026\MIDAS%20B1%20JUL%20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MIDAS%20B3%20JUL-2026.xlsx" TargetMode="External"/><Relationship Id="rId1" Type="http://schemas.openxmlformats.org/officeDocument/2006/relationships/externalLinkPath" Target="file:///F:\JUL-2026\MIDAS%20B3%20JUL-2026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MIDAS%20B4%20JUL-2026.xlsx" TargetMode="External"/><Relationship Id="rId1" Type="http://schemas.openxmlformats.org/officeDocument/2006/relationships/externalLinkPath" Target="file:///F:\JUL-2026\MIDAS%20B4%20JUL-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MIDAS%20B6%20JUL%202026.xlsx" TargetMode="External"/><Relationship Id="rId1" Type="http://schemas.openxmlformats.org/officeDocument/2006/relationships/externalLinkPath" Target="file:///F:\JUL-2026\MIDAS%20B6%20JUL%202026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MIDAS%20B7%20JUL%202026.xlsx" TargetMode="External"/><Relationship Id="rId1" Type="http://schemas.openxmlformats.org/officeDocument/2006/relationships/externalLinkPath" Target="file:///F:\JUL-2026\MIDAS%20B7%20JUL%202026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RITE%20SOFTWARE%20JUL-2026.xlsx" TargetMode="External"/><Relationship Id="rId1" Type="http://schemas.openxmlformats.org/officeDocument/2006/relationships/externalLinkPath" Target="file:///F:\JUL-2026\RITE%20SOFTWARE%20JUL-2026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TDCX%20JUL%202026.xlsx" TargetMode="External"/><Relationship Id="rId1" Type="http://schemas.openxmlformats.org/officeDocument/2006/relationships/externalLinkPath" Target="file:///F:\JUL-2026\TDCX%20JUL%202026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TDCX%20MEENAKSHI%20JUL%202026.xlsx" TargetMode="External"/><Relationship Id="rId1" Type="http://schemas.openxmlformats.org/officeDocument/2006/relationships/externalLinkPath" Target="file:///F:\JUL-2026\TDCX%20MEENAKSHI%20JUL%202026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TRINET%20JUL%202026.xlsx" TargetMode="External"/><Relationship Id="rId1" Type="http://schemas.openxmlformats.org/officeDocument/2006/relationships/externalLinkPath" Target="file:///F:\JUL-2026\TRINET%20JUL%202026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VENSAR%20JUly%202026.xlsx" TargetMode="External"/><Relationship Id="rId1" Type="http://schemas.openxmlformats.org/officeDocument/2006/relationships/externalLinkPath" Target="file:///F:\JUL-2026\VENSAR%20JUly%202026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JUL-2026\WE%20HUB%20JUL%202026.xlsx" TargetMode="External"/><Relationship Id="rId1" Type="http://schemas.openxmlformats.org/officeDocument/2006/relationships/externalLinkPath" Target="file:///F:\JUL-2026\WE%20HUB%20JUL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Sheet2"/>
      <sheetName val="PF"/>
      <sheetName val="CHAN-PF"/>
      <sheetName val="ESIC"/>
    </sheetNames>
    <sheetDataSet>
      <sheetData sheetId="0" refreshError="1"/>
      <sheetData sheetId="1" refreshError="1"/>
      <sheetData sheetId="2" refreshError="1"/>
      <sheetData sheetId="3" refreshError="1">
        <row r="2">
          <cell r="C2">
            <v>10189</v>
          </cell>
          <cell r="D2" t="str">
            <v>V Ramya</v>
          </cell>
          <cell r="E2">
            <v>101699660082</v>
          </cell>
          <cell r="F2" t="str">
            <v>VALLALA RAMYA</v>
          </cell>
        </row>
        <row r="3">
          <cell r="C3">
            <v>11864</v>
          </cell>
          <cell r="D3" t="str">
            <v>Sekhar Kakarla</v>
          </cell>
          <cell r="E3">
            <v>102060750170</v>
          </cell>
          <cell r="F3" t="str">
            <v>KAKARLA SEKHAR</v>
          </cell>
        </row>
        <row r="4">
          <cell r="C4">
            <v>11167</v>
          </cell>
          <cell r="D4" t="str">
            <v>Chandrika Pallala</v>
          </cell>
          <cell r="E4">
            <v>102132393603</v>
          </cell>
          <cell r="F4" t="str">
            <v>PALLALA CHANDRIKA</v>
          </cell>
        </row>
        <row r="5">
          <cell r="C5">
            <v>11813</v>
          </cell>
          <cell r="D5" t="str">
            <v>Kattula Raju</v>
          </cell>
          <cell r="E5">
            <v>100778141728</v>
          </cell>
          <cell r="F5" t="str">
            <v>KATHULA RAJU</v>
          </cell>
        </row>
        <row r="6">
          <cell r="C6">
            <v>10669</v>
          </cell>
          <cell r="D6" t="str">
            <v>Santosh</v>
          </cell>
          <cell r="E6">
            <v>100984842560</v>
          </cell>
          <cell r="F6" t="str">
            <v>DHAREDDY SANTHOSH REDDY</v>
          </cell>
        </row>
        <row r="7">
          <cell r="C7">
            <v>11488</v>
          </cell>
          <cell r="D7" t="str">
            <v>DVVS Murthy</v>
          </cell>
          <cell r="E7">
            <v>100142109405</v>
          </cell>
          <cell r="F7" t="str">
            <v>V V S NARAYANAMURTHY DHAVALESHWARAPU</v>
          </cell>
        </row>
        <row r="8">
          <cell r="C8">
            <v>11197</v>
          </cell>
          <cell r="D8" t="str">
            <v xml:space="preserve">K Kiran </v>
          </cell>
          <cell r="E8">
            <v>101576097175</v>
          </cell>
          <cell r="F8" t="str">
            <v>KANKIPATI KIRAN</v>
          </cell>
        </row>
        <row r="9">
          <cell r="C9">
            <v>10283</v>
          </cell>
          <cell r="D9" t="str">
            <v>Guddu</v>
          </cell>
          <cell r="E9">
            <v>100649196626</v>
          </cell>
          <cell r="F9" t="str">
            <v>GUDDU</v>
          </cell>
        </row>
        <row r="10">
          <cell r="C10">
            <v>11701</v>
          </cell>
          <cell r="D10" t="str">
            <v>KARTHIK</v>
          </cell>
          <cell r="E10">
            <v>102261010185</v>
          </cell>
          <cell r="F10" t="str">
            <v>IMMIDISETTI CHAITANYA KARTHIK</v>
          </cell>
        </row>
        <row r="11">
          <cell r="C11">
            <v>11592</v>
          </cell>
          <cell r="D11" t="str">
            <v>Revathi</v>
          </cell>
          <cell r="E11">
            <v>101873915123</v>
          </cell>
          <cell r="F11" t="str">
            <v>GADDE REVATHI</v>
          </cell>
        </row>
        <row r="12">
          <cell r="C12">
            <v>11927</v>
          </cell>
          <cell r="D12" t="str">
            <v>Jagadish</v>
          </cell>
          <cell r="E12">
            <v>101257041650</v>
          </cell>
          <cell r="F12" t="str">
            <v>DUBAKULA JAGADEESH</v>
          </cell>
        </row>
        <row r="13">
          <cell r="C13">
            <v>11886</v>
          </cell>
          <cell r="D13" t="str">
            <v>Ravi</v>
          </cell>
          <cell r="E13">
            <v>101636035943</v>
          </cell>
          <cell r="F13" t="str">
            <v>MUKKERA RAVI</v>
          </cell>
        </row>
        <row r="14">
          <cell r="C14">
            <v>11635</v>
          </cell>
          <cell r="D14" t="str">
            <v>Naveen</v>
          </cell>
          <cell r="E14">
            <v>101918800630</v>
          </cell>
          <cell r="F14" t="str">
            <v>S NAVEEN KUMAR</v>
          </cell>
        </row>
        <row r="15">
          <cell r="C15">
            <v>11569</v>
          </cell>
          <cell r="D15" t="str">
            <v>Mofijul Islam</v>
          </cell>
          <cell r="E15">
            <v>101737228868</v>
          </cell>
          <cell r="F15" t="str">
            <v>MD MOFIJUL HAQUE</v>
          </cell>
        </row>
        <row r="16">
          <cell r="C16">
            <v>10548</v>
          </cell>
          <cell r="D16" t="str">
            <v>Saidhamma</v>
          </cell>
          <cell r="E16">
            <v>101528757047</v>
          </cell>
          <cell r="F16" t="str">
            <v>RAMANAMPALLY SAIDAMMA</v>
          </cell>
        </row>
        <row r="17">
          <cell r="C17">
            <v>11716</v>
          </cell>
          <cell r="D17" t="str">
            <v>G.Aditya</v>
          </cell>
          <cell r="E17">
            <v>101786699332</v>
          </cell>
          <cell r="F17" t="str">
            <v>G ADITHYA</v>
          </cell>
        </row>
        <row r="18">
          <cell r="C18">
            <v>11191</v>
          </cell>
          <cell r="D18" t="str">
            <v>Sanjita xaxa</v>
          </cell>
          <cell r="E18">
            <v>102136403166</v>
          </cell>
          <cell r="F18" t="str">
            <v>SANJITA XAXA</v>
          </cell>
        </row>
        <row r="19">
          <cell r="C19">
            <v>10655</v>
          </cell>
          <cell r="D19" t="str">
            <v>Bojja Laxmi</v>
          </cell>
          <cell r="E19">
            <v>100967600899</v>
          </cell>
          <cell r="F19" t="str">
            <v>BOJJA LAXMI</v>
          </cell>
        </row>
        <row r="20">
          <cell r="C20">
            <v>11746</v>
          </cell>
          <cell r="D20" t="str">
            <v>Kavitha</v>
          </cell>
          <cell r="E20">
            <v>102126725289</v>
          </cell>
          <cell r="F20" t="str">
            <v>PALWAI KAVITHA</v>
          </cell>
        </row>
        <row r="21">
          <cell r="C21">
            <v>11446</v>
          </cell>
          <cell r="D21" t="str">
            <v>PARMANAND PRADHAN</v>
          </cell>
          <cell r="E21">
            <v>100736533102</v>
          </cell>
          <cell r="F21" t="str">
            <v>PARAMANANDA PRADHAN</v>
          </cell>
        </row>
        <row r="22">
          <cell r="C22">
            <v>11504</v>
          </cell>
          <cell r="D22" t="str">
            <v>NOOR UDDIN LASKAR</v>
          </cell>
          <cell r="E22">
            <v>101230858647</v>
          </cell>
          <cell r="F22" t="str">
            <v>NUR UDDIN LASKAR</v>
          </cell>
        </row>
        <row r="23">
          <cell r="C23">
            <v>11565</v>
          </cell>
          <cell r="D23" t="str">
            <v>K.MOHAN RAO</v>
          </cell>
          <cell r="E23">
            <v>102226253236</v>
          </cell>
          <cell r="F23" t="str">
            <v>KARRI MOHAN RAO</v>
          </cell>
        </row>
        <row r="24">
          <cell r="C24">
            <v>11583</v>
          </cell>
          <cell r="D24" t="str">
            <v>Bahadur Chetri</v>
          </cell>
          <cell r="E24">
            <v>100677041497</v>
          </cell>
          <cell r="F24" t="str">
            <v>MAN BAHADUR CHETRY</v>
          </cell>
        </row>
        <row r="25">
          <cell r="C25">
            <v>11842</v>
          </cell>
          <cell r="D25" t="str">
            <v xml:space="preserve">Hazira </v>
          </cell>
          <cell r="E25">
            <v>102290312589</v>
          </cell>
          <cell r="F25" t="str">
            <v>HAZIRA BEGOM LASKAR</v>
          </cell>
        </row>
        <row r="26">
          <cell r="C26">
            <v>11320</v>
          </cell>
          <cell r="D26" t="str">
            <v>D.RAJU</v>
          </cell>
          <cell r="E26">
            <v>100783833711</v>
          </cell>
          <cell r="F26" t="str">
            <v>RAJU BHIMRAO DURNE</v>
          </cell>
        </row>
        <row r="27">
          <cell r="C27">
            <v>11342</v>
          </cell>
          <cell r="D27" t="str">
            <v>G.VENUGOPAL</v>
          </cell>
          <cell r="E27">
            <v>102128935965</v>
          </cell>
          <cell r="F27" t="str">
            <v>GOVARDHANA VENUGOPAL</v>
          </cell>
        </row>
        <row r="28">
          <cell r="C28">
            <v>10713</v>
          </cell>
          <cell r="D28" t="str">
            <v>EECHANTA SREEDEVI</v>
          </cell>
          <cell r="E28">
            <v>100757165763</v>
          </cell>
          <cell r="F28" t="str">
            <v>EECHANTA SREEDEVI</v>
          </cell>
        </row>
        <row r="29">
          <cell r="C29">
            <v>10946</v>
          </cell>
          <cell r="D29" t="str">
            <v>ABDUL HANNAN MAZUMDER</v>
          </cell>
          <cell r="E29">
            <v>101545857145</v>
          </cell>
          <cell r="F29" t="str">
            <v>ABDUL HANNAN MAZUMDER</v>
          </cell>
        </row>
        <row r="30">
          <cell r="C30">
            <v>11153</v>
          </cell>
          <cell r="D30" t="str">
            <v>SAURUL ISLAM CHOWDARY</v>
          </cell>
          <cell r="E30">
            <v>101354019536</v>
          </cell>
          <cell r="F30" t="str">
            <v>SAHARUL ISLAM CHOUDHURY</v>
          </cell>
        </row>
        <row r="31">
          <cell r="C31">
            <v>11360</v>
          </cell>
          <cell r="D31" t="str">
            <v>Jeevitha G</v>
          </cell>
          <cell r="E31">
            <v>101443875444</v>
          </cell>
          <cell r="F31" t="str">
            <v>KETHA VIJAYALAKSHMI</v>
          </cell>
        </row>
        <row r="32">
          <cell r="C32">
            <v>11826</v>
          </cell>
          <cell r="D32" t="str">
            <v>Najrul islam mazumder</v>
          </cell>
          <cell r="E32">
            <v>102187178044</v>
          </cell>
          <cell r="F32" t="str">
            <v>NAJRUL ISLAM MAZUMDER</v>
          </cell>
        </row>
        <row r="33">
          <cell r="C33">
            <v>10577</v>
          </cell>
          <cell r="D33" t="str">
            <v>NAGAMANI</v>
          </cell>
          <cell r="E33">
            <v>101538437780</v>
          </cell>
          <cell r="F33" t="str">
            <v>MYATARI NAGAMANI</v>
          </cell>
        </row>
        <row r="34">
          <cell r="C34">
            <v>11845</v>
          </cell>
          <cell r="D34" t="str">
            <v>CHETHAN.S</v>
          </cell>
          <cell r="E34">
            <v>100569696837</v>
          </cell>
          <cell r="F34" t="str">
            <v>CHETHAN S</v>
          </cell>
        </row>
        <row r="35">
          <cell r="C35">
            <v>11844</v>
          </cell>
          <cell r="D35" t="str">
            <v>MAHABOOB BASHA</v>
          </cell>
          <cell r="E35">
            <v>101870060631</v>
          </cell>
          <cell r="F35" t="str">
            <v>MAHABOOB BASHA</v>
          </cell>
        </row>
        <row r="36">
          <cell r="C36">
            <v>10762</v>
          </cell>
          <cell r="D36" t="str">
            <v xml:space="preserve"> DARAVATHU MADHUKAR</v>
          </cell>
          <cell r="E36">
            <v>101464842237</v>
          </cell>
          <cell r="F36" t="str">
            <v>DARAVATHU MADHUKAR</v>
          </cell>
        </row>
        <row r="37">
          <cell r="C37">
            <v>11081</v>
          </cell>
          <cell r="D37" t="str">
            <v>S.K NAGOOR SHARIF</v>
          </cell>
          <cell r="E37">
            <v>101623532692</v>
          </cell>
          <cell r="F37" t="str">
            <v>SHAIK NAGOOR SHAREEF</v>
          </cell>
        </row>
        <row r="38">
          <cell r="C38">
            <v>11328</v>
          </cell>
          <cell r="D38" t="str">
            <v>Varaprasad</v>
          </cell>
          <cell r="E38">
            <v>101288440153</v>
          </cell>
          <cell r="F38" t="str">
            <v>SIDDA VARAPRASAD REDDY</v>
          </cell>
        </row>
        <row r="39">
          <cell r="C39">
            <v>11610</v>
          </cell>
          <cell r="D39" t="str">
            <v>SYED AFROZ ALI</v>
          </cell>
          <cell r="E39">
            <v>100959763086</v>
          </cell>
          <cell r="F39" t="str">
            <v>SYED AFROZ ALI</v>
          </cell>
        </row>
        <row r="40">
          <cell r="C40">
            <v>11054</v>
          </cell>
          <cell r="D40" t="str">
            <v>P.ANIL KUMAR</v>
          </cell>
          <cell r="E40">
            <v>100663842254</v>
          </cell>
          <cell r="F40" t="str">
            <v>POLA BOYINA ANIL KUMAR</v>
          </cell>
        </row>
        <row r="41">
          <cell r="C41">
            <v>10687</v>
          </cell>
          <cell r="D41" t="str">
            <v>VEERESH</v>
          </cell>
          <cell r="E41">
            <v>101461234657</v>
          </cell>
          <cell r="F41" t="str">
            <v>VEERESH</v>
          </cell>
        </row>
        <row r="42">
          <cell r="C42">
            <v>10265</v>
          </cell>
          <cell r="D42" t="str">
            <v>SANTOSH</v>
          </cell>
          <cell r="E42">
            <v>101767119796</v>
          </cell>
          <cell r="F42" t="str">
            <v>PONAMANTI SANTHOSH</v>
          </cell>
        </row>
        <row r="43">
          <cell r="C43">
            <v>11574</v>
          </cell>
          <cell r="D43" t="str">
            <v>UMESH</v>
          </cell>
          <cell r="E43">
            <v>101482114278</v>
          </cell>
          <cell r="F43" t="str">
            <v>UMESH MAHALIK</v>
          </cell>
        </row>
        <row r="44">
          <cell r="C44">
            <v>11891</v>
          </cell>
          <cell r="D44" t="str">
            <v xml:space="preserve"> NANDI SAJEEVAN KUMAR </v>
          </cell>
          <cell r="E44">
            <v>101914170193</v>
          </cell>
          <cell r="F44" t="str">
            <v>NANDI SAJEEVAN KUMAR</v>
          </cell>
        </row>
        <row r="45">
          <cell r="C45">
            <v>10479</v>
          </cell>
          <cell r="D45" t="str">
            <v>Karry Raju</v>
          </cell>
          <cell r="E45">
            <v>101609715709</v>
          </cell>
          <cell r="F45" t="str">
            <v>KARRY RAJU</v>
          </cell>
        </row>
        <row r="46">
          <cell r="C46">
            <v>11043</v>
          </cell>
          <cell r="D46" t="str">
            <v>Sravan Kumar</v>
          </cell>
          <cell r="E46">
            <v>102090573913</v>
          </cell>
          <cell r="F46" t="str">
            <v>VADLA SRAVAN KUMAR</v>
          </cell>
        </row>
        <row r="47">
          <cell r="C47">
            <v>11912</v>
          </cell>
          <cell r="D47" t="str">
            <v xml:space="preserve">Naveen Kumar </v>
          </cell>
          <cell r="E47">
            <v>101795119718</v>
          </cell>
          <cell r="F47" t="str">
            <v>BAPANAPALLY NAVEENKUMAR</v>
          </cell>
        </row>
        <row r="48">
          <cell r="C48">
            <v>11714</v>
          </cell>
          <cell r="D48" t="str">
            <v>ABJAL ALI</v>
          </cell>
          <cell r="E48">
            <v>102037499870</v>
          </cell>
          <cell r="F48" t="str">
            <v>ABJOL ALI</v>
          </cell>
        </row>
        <row r="49">
          <cell r="C49">
            <v>10097</v>
          </cell>
          <cell r="D49" t="str">
            <v>Ganji Narmada</v>
          </cell>
          <cell r="E49">
            <v>101340368098</v>
          </cell>
          <cell r="F49" t="str">
            <v>GANJI NARMADHA</v>
          </cell>
        </row>
        <row r="50">
          <cell r="C50">
            <v>10478</v>
          </cell>
          <cell r="D50" t="str">
            <v>Abhishek</v>
          </cell>
          <cell r="E50">
            <v>101891804540</v>
          </cell>
          <cell r="F50" t="str">
            <v>ABHISHEK TANTUBAI</v>
          </cell>
        </row>
        <row r="51">
          <cell r="C51">
            <v>10532</v>
          </cell>
          <cell r="D51" t="str">
            <v>H.Lavanya</v>
          </cell>
          <cell r="E51">
            <v>101917861447</v>
          </cell>
          <cell r="F51" t="str">
            <v>H LAVANYA</v>
          </cell>
        </row>
        <row r="52">
          <cell r="C52">
            <v>11898</v>
          </cell>
          <cell r="D52" t="str">
            <v>Nilamma</v>
          </cell>
          <cell r="E52">
            <v>101545856437</v>
          </cell>
          <cell r="F52" t="str">
            <v>NELAMMA</v>
          </cell>
        </row>
        <row r="53">
          <cell r="C53">
            <v>10294</v>
          </cell>
          <cell r="D53" t="str">
            <v>Sarva Bee</v>
          </cell>
          <cell r="E53">
            <v>101298193593</v>
          </cell>
          <cell r="F53" t="str">
            <v>MOHAMMAD SARWER BEE</v>
          </cell>
        </row>
        <row r="54">
          <cell r="C54">
            <v>10681</v>
          </cell>
          <cell r="D54" t="str">
            <v>Animesh Tangubai</v>
          </cell>
          <cell r="E54">
            <v>101480183386</v>
          </cell>
          <cell r="F54" t="str">
            <v>ANIMESH TANTUBAI</v>
          </cell>
        </row>
        <row r="55">
          <cell r="C55">
            <v>10533</v>
          </cell>
          <cell r="D55" t="str">
            <v>Suresh Sharma</v>
          </cell>
          <cell r="E55">
            <v>101887742675</v>
          </cell>
          <cell r="F55" t="str">
            <v>SURESH SHARMA</v>
          </cell>
        </row>
        <row r="56">
          <cell r="C56">
            <v>11053</v>
          </cell>
          <cell r="D56" t="str">
            <v>K.Sunitha</v>
          </cell>
          <cell r="E56">
            <v>101273125424</v>
          </cell>
          <cell r="F56" t="str">
            <v>K SUNITA ACHARY</v>
          </cell>
        </row>
        <row r="57">
          <cell r="C57">
            <v>10611</v>
          </cell>
          <cell r="D57" t="str">
            <v>Torajul Islam</v>
          </cell>
          <cell r="E57">
            <v>100000707467</v>
          </cell>
          <cell r="F57" t="str">
            <v>TORAJUL ISLAM</v>
          </cell>
        </row>
        <row r="58">
          <cell r="C58">
            <v>11293</v>
          </cell>
          <cell r="D58" t="str">
            <v>Shariful Islam</v>
          </cell>
          <cell r="E58">
            <v>101905493640</v>
          </cell>
          <cell r="F58" t="str">
            <v>SORIFUL ISLAM</v>
          </cell>
        </row>
        <row r="59">
          <cell r="C59">
            <v>11825</v>
          </cell>
          <cell r="D59" t="str">
            <v>FAIJUL ISLAM</v>
          </cell>
          <cell r="E59">
            <v>100457064457</v>
          </cell>
          <cell r="F59" t="str">
            <v>FAIJUL ISLAM</v>
          </cell>
        </row>
        <row r="60">
          <cell r="C60">
            <v>11503</v>
          </cell>
          <cell r="D60" t="str">
            <v>G.Rajeswari</v>
          </cell>
          <cell r="E60">
            <v>101485678129</v>
          </cell>
          <cell r="F60" t="str">
            <v>GADDAM RAJESHWARI</v>
          </cell>
        </row>
        <row r="61">
          <cell r="C61">
            <v>10637</v>
          </cell>
          <cell r="D61" t="str">
            <v>Suman Das</v>
          </cell>
          <cell r="E61">
            <v>101333656960</v>
          </cell>
          <cell r="F61" t="str">
            <v>SUMAN DAS</v>
          </cell>
        </row>
        <row r="62">
          <cell r="C62">
            <v>11781</v>
          </cell>
          <cell r="D62" t="str">
            <v>AMIR HAMJA</v>
          </cell>
          <cell r="E62">
            <v>101876182290</v>
          </cell>
          <cell r="F62" t="str">
            <v>AMIR HAMZA</v>
          </cell>
        </row>
        <row r="63">
          <cell r="C63">
            <v>11739</v>
          </cell>
          <cell r="D63" t="str">
            <v>AJIT DEBANTH</v>
          </cell>
          <cell r="E63">
            <v>101693394549</v>
          </cell>
          <cell r="F63" t="str">
            <v>AJIT DEBNATH</v>
          </cell>
        </row>
        <row r="64">
          <cell r="C64">
            <v>11615</v>
          </cell>
          <cell r="D64" t="str">
            <v>B.SATYAVATHI</v>
          </cell>
          <cell r="E64">
            <v>101750439653</v>
          </cell>
          <cell r="F64" t="str">
            <v>BONDI SATYAVATHI</v>
          </cell>
        </row>
        <row r="65">
          <cell r="C65">
            <v>11597</v>
          </cell>
          <cell r="D65" t="str">
            <v>MANILA</v>
          </cell>
          <cell r="E65">
            <v>100013602265</v>
          </cell>
          <cell r="F65" t="str">
            <v>TRINATH GANTA</v>
          </cell>
        </row>
        <row r="66">
          <cell r="C66">
            <v>11747</v>
          </cell>
          <cell r="D66" t="str">
            <v>RAHUL.ISLAM</v>
          </cell>
          <cell r="E66">
            <v>101454160123</v>
          </cell>
          <cell r="F66" t="str">
            <v>RAHUL ISLAM</v>
          </cell>
        </row>
        <row r="67">
          <cell r="C67">
            <v>11803</v>
          </cell>
          <cell r="D67" t="str">
            <v>SABAVAT DASTIBAI</v>
          </cell>
          <cell r="E67">
            <v>101543399998</v>
          </cell>
          <cell r="F67" t="str">
            <v>SABAVAT DASLIBAI</v>
          </cell>
        </row>
        <row r="68">
          <cell r="C68">
            <v>11873</v>
          </cell>
          <cell r="D68" t="str">
            <v>DAMMU  PRASAD</v>
          </cell>
          <cell r="E68">
            <v>102303103258</v>
          </cell>
          <cell r="F68" t="str">
            <v>DAMMU PRASAD</v>
          </cell>
        </row>
        <row r="69">
          <cell r="C69">
            <v>11860</v>
          </cell>
          <cell r="D69" t="str">
            <v xml:space="preserve">SWAPAN TANTRIPAUL </v>
          </cell>
          <cell r="E69">
            <v>101714969119</v>
          </cell>
          <cell r="F69" t="str">
            <v>SWAPAN TANTRIPAUL</v>
          </cell>
        </row>
        <row r="70">
          <cell r="C70">
            <v>11896</v>
          </cell>
          <cell r="D70" t="str">
            <v>SULTAN AHMED</v>
          </cell>
          <cell r="E70">
            <v>100954345731</v>
          </cell>
          <cell r="F70" t="str">
            <v>SULTAN AHMMED</v>
          </cell>
        </row>
        <row r="71">
          <cell r="C71">
            <v>11935</v>
          </cell>
          <cell r="D71" t="str">
            <v>Farul Hussain</v>
          </cell>
          <cell r="E71">
            <v>102131650291</v>
          </cell>
          <cell r="F71" t="str">
            <v>FARUL HUSSAIN LASKAR</v>
          </cell>
        </row>
        <row r="72">
          <cell r="C72">
            <v>11925</v>
          </cell>
          <cell r="D72" t="str">
            <v>BIKI PEGU</v>
          </cell>
          <cell r="E72">
            <v>101874189618</v>
          </cell>
          <cell r="F72" t="str">
            <v>BIKI PEGU</v>
          </cell>
        </row>
        <row r="73">
          <cell r="C73">
            <v>11829</v>
          </cell>
          <cell r="D73" t="str">
            <v>KRISHNAVENI</v>
          </cell>
          <cell r="E73">
            <v>101890379926</v>
          </cell>
          <cell r="F73" t="str">
            <v>RAJ GOALA</v>
          </cell>
        </row>
        <row r="74">
          <cell r="C74">
            <v>11718</v>
          </cell>
          <cell r="D74" t="str">
            <v>MOJIBUR RAHMAN</v>
          </cell>
          <cell r="E74">
            <v>102264906832</v>
          </cell>
          <cell r="F74" t="str">
            <v>MOJIBUR RAHMAN</v>
          </cell>
        </row>
        <row r="75">
          <cell r="C75">
            <v>11717</v>
          </cell>
          <cell r="D75" t="str">
            <v>ACHADUL HAQUE</v>
          </cell>
          <cell r="E75">
            <v>101405283693</v>
          </cell>
          <cell r="F75" t="str">
            <v>ACHADUL HAQUE</v>
          </cell>
        </row>
        <row r="76">
          <cell r="C76">
            <v>11698</v>
          </cell>
          <cell r="D76" t="str">
            <v>SIVA DURGA</v>
          </cell>
          <cell r="E76">
            <v>102249104962</v>
          </cell>
          <cell r="F76" t="str">
            <v>KURUKURI SIVADURGA</v>
          </cell>
        </row>
        <row r="77">
          <cell r="C77">
            <v>11697</v>
          </cell>
          <cell r="D77" t="str">
            <v>P.DEVI</v>
          </cell>
          <cell r="E77">
            <v>101123172340</v>
          </cell>
          <cell r="F77" t="str">
            <v>PITLA DEVI</v>
          </cell>
        </row>
        <row r="78">
          <cell r="C78">
            <v>11404</v>
          </cell>
          <cell r="D78" t="str">
            <v>Mounika</v>
          </cell>
          <cell r="E78">
            <v>102175529496</v>
          </cell>
          <cell r="F78" t="str">
            <v>PISATI MOUNIKA</v>
          </cell>
        </row>
        <row r="79">
          <cell r="C79">
            <v>11525</v>
          </cell>
          <cell r="D79" t="str">
            <v>Praveen</v>
          </cell>
          <cell r="E79">
            <v>101557112388</v>
          </cell>
          <cell r="F79" t="str">
            <v>MALKAPURAM PRAVEEN</v>
          </cell>
        </row>
        <row r="80">
          <cell r="C80">
            <v>10687</v>
          </cell>
          <cell r="D80" t="str">
            <v>VEERESH</v>
          </cell>
          <cell r="E80">
            <v>101461234657</v>
          </cell>
          <cell r="F80" t="str">
            <v>VEERESH</v>
          </cell>
        </row>
        <row r="81">
          <cell r="C81">
            <v>11054</v>
          </cell>
          <cell r="D81" t="str">
            <v>P.ANIL KUMAR</v>
          </cell>
          <cell r="E81">
            <v>100663842254</v>
          </cell>
          <cell r="F81" t="str">
            <v>POLA BOYINA ANIL KUMAR</v>
          </cell>
        </row>
        <row r="82">
          <cell r="C82">
            <v>10221</v>
          </cell>
          <cell r="D82" t="str">
            <v>SHAREEF</v>
          </cell>
          <cell r="E82">
            <v>101727230319</v>
          </cell>
          <cell r="F82" t="str">
            <v>MAHABOOB SHARIFF</v>
          </cell>
        </row>
        <row r="83">
          <cell r="C83">
            <v>10720</v>
          </cell>
          <cell r="D83" t="str">
            <v>YELIMELA GOPAL</v>
          </cell>
          <cell r="E83">
            <v>101737852753</v>
          </cell>
          <cell r="F83" t="str">
            <v>YELIMELA GOPAL</v>
          </cell>
        </row>
        <row r="84">
          <cell r="C84">
            <v>11281</v>
          </cell>
          <cell r="D84" t="str">
            <v>KARTHIK</v>
          </cell>
          <cell r="E84">
            <v>102106146600</v>
          </cell>
          <cell r="F84" t="str">
            <v>TALLA KARTHIK REDDY</v>
          </cell>
        </row>
        <row r="85">
          <cell r="C85">
            <v>11606</v>
          </cell>
          <cell r="D85" t="str">
            <v>Rajaul Karim</v>
          </cell>
          <cell r="E85">
            <v>102240607021</v>
          </cell>
          <cell r="F85" t="str">
            <v>RAJAUL KARIM LASKAR</v>
          </cell>
        </row>
        <row r="86">
          <cell r="C86">
            <v>11706</v>
          </cell>
          <cell r="D86" t="str">
            <v xml:space="preserve">Rejaul </v>
          </cell>
          <cell r="E86">
            <v>102192482403</v>
          </cell>
          <cell r="F86" t="str">
            <v>REJAUL ISLAM MAZUMDER</v>
          </cell>
        </row>
        <row r="87">
          <cell r="C87">
            <v>11704</v>
          </cell>
          <cell r="D87" t="str">
            <v>D.Sunitha</v>
          </cell>
          <cell r="E87">
            <v>102261566446</v>
          </cell>
          <cell r="F87" t="str">
            <v>DEPAVATH SUNITHA</v>
          </cell>
        </row>
        <row r="88">
          <cell r="C88">
            <v>11700</v>
          </cell>
          <cell r="D88" t="str">
            <v>Minaz Hussain</v>
          </cell>
          <cell r="E88">
            <v>101559268812</v>
          </cell>
          <cell r="F88" t="str">
            <v>MINAZ HUSSAIN MAZUMDER</v>
          </cell>
        </row>
        <row r="89">
          <cell r="C89">
            <v>10732</v>
          </cell>
          <cell r="D89" t="str">
            <v>Ankith</v>
          </cell>
          <cell r="E89">
            <v>102026106074</v>
          </cell>
          <cell r="F89" t="str">
            <v>ANKIT</v>
          </cell>
        </row>
        <row r="90">
          <cell r="C90">
            <v>11741</v>
          </cell>
          <cell r="D90" t="str">
            <v>Imdadul</v>
          </cell>
          <cell r="E90">
            <v>102268385119</v>
          </cell>
          <cell r="F90" t="str">
            <v>IMDADUL ALOM LASKAR</v>
          </cell>
        </row>
        <row r="91">
          <cell r="C91">
            <v>11086</v>
          </cell>
          <cell r="D91" t="str">
            <v>Bharathi</v>
          </cell>
          <cell r="E91">
            <v>100834677250</v>
          </cell>
          <cell r="F91" t="str">
            <v>CG BHARATHI</v>
          </cell>
        </row>
        <row r="92">
          <cell r="C92">
            <v>11282</v>
          </cell>
          <cell r="D92" t="str">
            <v>Sri Devi</v>
          </cell>
          <cell r="E92">
            <v>101337273865</v>
          </cell>
          <cell r="F92" t="str">
            <v>SAJJAPURAM SRIDEVI</v>
          </cell>
        </row>
        <row r="93">
          <cell r="C93">
            <v>10638</v>
          </cell>
          <cell r="D93" t="str">
            <v>S.Abhishek</v>
          </cell>
          <cell r="E93">
            <v>101616832865</v>
          </cell>
          <cell r="F93" t="str">
            <v>S ABISHEK</v>
          </cell>
        </row>
        <row r="94">
          <cell r="C94">
            <v>11674</v>
          </cell>
          <cell r="D94" t="str">
            <v>Mirazul Islam</v>
          </cell>
          <cell r="E94">
            <v>100954337647</v>
          </cell>
          <cell r="F94" t="str">
            <v>MIRAJUL ISLAM</v>
          </cell>
        </row>
        <row r="95">
          <cell r="C95">
            <v>11644</v>
          </cell>
          <cell r="D95" t="str">
            <v>Baharul Islam</v>
          </cell>
          <cell r="E95">
            <v>101943474281</v>
          </cell>
          <cell r="F95" t="str">
            <v>BAHARUL ISLAM BARBHUIYA</v>
          </cell>
        </row>
        <row r="96">
          <cell r="C96">
            <v>11139</v>
          </cell>
          <cell r="D96" t="str">
            <v>Sansira Begum</v>
          </cell>
          <cell r="E96">
            <v>102123198923</v>
          </cell>
          <cell r="F96" t="str">
            <v>SANSIRA BEGAM MAZUMDER</v>
          </cell>
        </row>
        <row r="97">
          <cell r="C97">
            <v>11100</v>
          </cell>
          <cell r="D97" t="str">
            <v>Ziabur Rahman</v>
          </cell>
          <cell r="E97">
            <v>102112812596</v>
          </cell>
          <cell r="F97" t="str">
            <v>ZIABUR RAHMAN</v>
          </cell>
        </row>
        <row r="98">
          <cell r="C98">
            <v>10240</v>
          </cell>
          <cell r="D98" t="str">
            <v>CH.KRANTHI</v>
          </cell>
          <cell r="E98">
            <v>101098740357</v>
          </cell>
          <cell r="F98" t="str">
            <v>CHAPALAMADUGU KRANTHI KUMAR</v>
          </cell>
        </row>
        <row r="99">
          <cell r="C99">
            <v>10242</v>
          </cell>
          <cell r="D99" t="str">
            <v>MANAMMA</v>
          </cell>
          <cell r="E99">
            <v>101098740388</v>
          </cell>
          <cell r="F99" t="str">
            <v>MEESALA MANEMMA</v>
          </cell>
        </row>
        <row r="100">
          <cell r="C100">
            <v>10248</v>
          </cell>
          <cell r="D100" t="str">
            <v>Zaheer Khan</v>
          </cell>
          <cell r="E100">
            <v>101098740374</v>
          </cell>
          <cell r="F100" t="str">
            <v>ZAHEER KHAN</v>
          </cell>
        </row>
        <row r="101">
          <cell r="C101">
            <v>10249</v>
          </cell>
          <cell r="D101" t="str">
            <v>K Balappa</v>
          </cell>
          <cell r="E101">
            <v>101098740498</v>
          </cell>
          <cell r="F101" t="str">
            <v>KATAKARI BALAPPA</v>
          </cell>
        </row>
        <row r="102">
          <cell r="C102">
            <v>10546</v>
          </cell>
          <cell r="D102" t="str">
            <v>ANTARAM VIJAY KUMAR</v>
          </cell>
          <cell r="E102">
            <v>101360236241</v>
          </cell>
          <cell r="F102" t="str">
            <v>ANTARAM VIJAY KUMAR</v>
          </cell>
        </row>
        <row r="103">
          <cell r="C103">
            <v>11927</v>
          </cell>
          <cell r="D103" t="str">
            <v>JAGDEESH</v>
          </cell>
          <cell r="E103">
            <v>101257041650</v>
          </cell>
          <cell r="F103" t="str">
            <v>DUBAKULA JAGADEESH</v>
          </cell>
        </row>
        <row r="104">
          <cell r="C104">
            <v>10544</v>
          </cell>
          <cell r="D104" t="str">
            <v>SHAIK GHOUSE BASSHA</v>
          </cell>
          <cell r="E104">
            <v>101063221124</v>
          </cell>
          <cell r="F104" t="str">
            <v>SHAIK GHOUSE BASSHA</v>
          </cell>
        </row>
        <row r="105">
          <cell r="C105">
            <v>10213</v>
          </cell>
          <cell r="D105" t="str">
            <v>MADHUSUDHAN</v>
          </cell>
          <cell r="E105">
            <v>100798107971</v>
          </cell>
          <cell r="F105" t="str">
            <v>S MADHUSUDANA RAO</v>
          </cell>
        </row>
        <row r="106">
          <cell r="C106">
            <v>11912</v>
          </cell>
          <cell r="D106" t="str">
            <v>NAVEEN</v>
          </cell>
          <cell r="E106">
            <v>101795119718</v>
          </cell>
          <cell r="F106" t="str">
            <v>BAPANAPALLY NAVEENKUMAR</v>
          </cell>
        </row>
        <row r="107">
          <cell r="C107">
            <v>11552</v>
          </cell>
          <cell r="D107" t="str">
            <v>OMKAR</v>
          </cell>
          <cell r="E107">
            <v>101770027482</v>
          </cell>
          <cell r="F107" t="str">
            <v>SINDHYE OMKAR</v>
          </cell>
        </row>
        <row r="108">
          <cell r="C108">
            <v>10727</v>
          </cell>
          <cell r="D108" t="str">
            <v>BALLU</v>
          </cell>
          <cell r="E108">
            <v>100885926638</v>
          </cell>
          <cell r="F108" t="str">
            <v>BALLU</v>
          </cell>
        </row>
        <row r="109">
          <cell r="C109">
            <v>10968</v>
          </cell>
          <cell r="D109" t="str">
            <v>SWAPNA DEVASANI</v>
          </cell>
          <cell r="E109">
            <v>101624204968</v>
          </cell>
          <cell r="F109" t="str">
            <v>SWAPNA DEVASANI</v>
          </cell>
        </row>
        <row r="110">
          <cell r="C110">
            <v>10961</v>
          </cell>
          <cell r="D110" t="str">
            <v>VORIKUTI  KRISHNAVENI</v>
          </cell>
          <cell r="E110">
            <v>101577443239</v>
          </cell>
          <cell r="F110" t="str">
            <v>VORIKUTI KRISHNAVENI</v>
          </cell>
        </row>
        <row r="111">
          <cell r="C111">
            <v>11067</v>
          </cell>
          <cell r="D111" t="str">
            <v>BASUTKAR ANURADHA</v>
          </cell>
          <cell r="E111">
            <v>101545856369</v>
          </cell>
          <cell r="F111" t="str">
            <v>BASUTKAR ANURADHA</v>
          </cell>
        </row>
        <row r="112">
          <cell r="C112">
            <v>10582</v>
          </cell>
          <cell r="D112" t="str">
            <v>SHAMSHAD</v>
          </cell>
          <cell r="E112">
            <v>101777823372</v>
          </cell>
          <cell r="F112" t="str">
            <v>SHAMSHAD HAWARI</v>
          </cell>
        </row>
        <row r="113">
          <cell r="C113">
            <v>11552</v>
          </cell>
          <cell r="D113" t="str">
            <v>OMKAR</v>
          </cell>
          <cell r="E113">
            <v>101770027482</v>
          </cell>
          <cell r="F113" t="str">
            <v>SINDHYE OMKAR</v>
          </cell>
        </row>
        <row r="114">
          <cell r="C114">
            <v>11841</v>
          </cell>
          <cell r="D114" t="str">
            <v>ASIT CHOWDHURY</v>
          </cell>
          <cell r="E114">
            <v>101786997460</v>
          </cell>
          <cell r="F114" t="str">
            <v>ASIT CHOWDHURY</v>
          </cell>
        </row>
        <row r="115">
          <cell r="C115">
            <v>11816</v>
          </cell>
          <cell r="D115" t="str">
            <v>DILZAN BEGUM</v>
          </cell>
          <cell r="E115">
            <v>101698360453</v>
          </cell>
          <cell r="F115" t="str">
            <v>DILJAN BEGUM</v>
          </cell>
        </row>
        <row r="116">
          <cell r="C116">
            <v>11815</v>
          </cell>
          <cell r="D116" t="str">
            <v>SRILATHA</v>
          </cell>
          <cell r="E116">
            <v>101905364157</v>
          </cell>
          <cell r="F116" t="str">
            <v>SARIGOMMULA SRILATHA</v>
          </cell>
        </row>
        <row r="117">
          <cell r="C117">
            <v>11817</v>
          </cell>
          <cell r="D117" t="str">
            <v>AJAY</v>
          </cell>
          <cell r="E117">
            <v>101718154666</v>
          </cell>
          <cell r="F117" t="str">
            <v>AJAY CHOWDHURY</v>
          </cell>
        </row>
        <row r="118">
          <cell r="C118">
            <v>11915</v>
          </cell>
          <cell r="D118" t="str">
            <v>N SRINIVAS</v>
          </cell>
          <cell r="E118">
            <v>102174683741</v>
          </cell>
          <cell r="F118" t="str">
            <v>NADARGI SRINIVAS</v>
          </cell>
        </row>
        <row r="119">
          <cell r="C119">
            <v>11926</v>
          </cell>
          <cell r="D119" t="str">
            <v xml:space="preserve">  PABBALA SHANTAMMA</v>
          </cell>
          <cell r="E119">
            <v>101394976255</v>
          </cell>
          <cell r="F119" t="str">
            <v>PABBALA SHANTAMMA</v>
          </cell>
        </row>
        <row r="120">
          <cell r="C120">
            <v>11818</v>
          </cell>
          <cell r="D120" t="str">
            <v>GOURI SHANKAR</v>
          </cell>
          <cell r="E120">
            <v>102263115429</v>
          </cell>
          <cell r="F120" t="str">
            <v>GOURISHANKAR CHOWDHURY</v>
          </cell>
        </row>
        <row r="121">
          <cell r="C121">
            <v>10320</v>
          </cell>
          <cell r="D121" t="str">
            <v>PONNANA KARTEEK</v>
          </cell>
          <cell r="E121">
            <v>101810862627</v>
          </cell>
          <cell r="F121" t="str">
            <v>PONNANA KARTEEK</v>
          </cell>
        </row>
        <row r="122">
          <cell r="C122">
            <v>10305</v>
          </cell>
          <cell r="D122" t="str">
            <v>M Ravi Kumar</v>
          </cell>
          <cell r="E122">
            <v>101519320939</v>
          </cell>
          <cell r="F122" t="str">
            <v>MUKKERA RAVI KUMAR</v>
          </cell>
        </row>
        <row r="123">
          <cell r="C123">
            <v>11400</v>
          </cell>
          <cell r="D123" t="str">
            <v>M.Suresh</v>
          </cell>
          <cell r="E123">
            <v>102193519329</v>
          </cell>
          <cell r="F123" t="str">
            <v>MADIGA SURESH</v>
          </cell>
        </row>
        <row r="124">
          <cell r="C124">
            <v>11879</v>
          </cell>
          <cell r="D124" t="str">
            <v>Abhijit</v>
          </cell>
          <cell r="E124">
            <v>101398948699</v>
          </cell>
          <cell r="F124" t="str">
            <v>ABHIJIT GOGOI</v>
          </cell>
        </row>
        <row r="125">
          <cell r="C125">
            <v>10307</v>
          </cell>
          <cell r="D125" t="str">
            <v>Nita Acharjaya</v>
          </cell>
          <cell r="E125">
            <v>100636053046</v>
          </cell>
          <cell r="F125" t="str">
            <v>NITA ACHARJAYA</v>
          </cell>
        </row>
        <row r="126">
          <cell r="C126">
            <v>10304</v>
          </cell>
          <cell r="D126" t="str">
            <v>Jetti Kuruvamma</v>
          </cell>
          <cell r="E126">
            <v>101381542340</v>
          </cell>
          <cell r="F126" t="str">
            <v>JETTI KURUVAMMA</v>
          </cell>
        </row>
        <row r="127">
          <cell r="C127">
            <v>10680</v>
          </cell>
          <cell r="D127" t="str">
            <v>Jayanti Das</v>
          </cell>
          <cell r="E127">
            <v>101922836689</v>
          </cell>
          <cell r="F127" t="str">
            <v>JAYANTI DAS</v>
          </cell>
        </row>
        <row r="128">
          <cell r="C128">
            <v>11224</v>
          </cell>
          <cell r="D128" t="str">
            <v>Reshma Begum</v>
          </cell>
          <cell r="E128">
            <v>101933880880</v>
          </cell>
          <cell r="F128" t="str">
            <v>RESHMA BEGUM</v>
          </cell>
        </row>
        <row r="129">
          <cell r="C129">
            <v>11535</v>
          </cell>
          <cell r="D129" t="str">
            <v>PROHLAD SAPKOTA</v>
          </cell>
          <cell r="E129">
            <v>101548958042</v>
          </cell>
          <cell r="F129" t="str">
            <v>PROHLAD SAPKOTA</v>
          </cell>
        </row>
        <row r="130">
          <cell r="C130">
            <v>11148</v>
          </cell>
          <cell r="D130" t="str">
            <v>Salamuddin Miya</v>
          </cell>
          <cell r="E130">
            <v>101759656591</v>
          </cell>
          <cell r="F130" t="str">
            <v>SALAM UDDIN MIA</v>
          </cell>
        </row>
        <row r="131">
          <cell r="C131">
            <v>11445</v>
          </cell>
          <cell r="D131" t="str">
            <v>Maruf Ahmed</v>
          </cell>
          <cell r="E131">
            <v>102123506591</v>
          </cell>
          <cell r="F131" t="str">
            <v>MARUF AHMED MAZUMDER</v>
          </cell>
        </row>
        <row r="132">
          <cell r="C132">
            <v>10303</v>
          </cell>
          <cell r="D132" t="str">
            <v>Sobir Uddin Laskar</v>
          </cell>
          <cell r="E132">
            <v>101449158378</v>
          </cell>
          <cell r="F132" t="str">
            <v>SOBIR UDDIN LASKAR</v>
          </cell>
        </row>
        <row r="133">
          <cell r="C133">
            <v>11836</v>
          </cell>
          <cell r="D133" t="str">
            <v>P CHANNAMMA</v>
          </cell>
          <cell r="E133">
            <v>100760509431</v>
          </cell>
          <cell r="F133" t="str">
            <v>PANIGATOLU CHANNAMMA</v>
          </cell>
        </row>
        <row r="134">
          <cell r="C134">
            <v>11661</v>
          </cell>
          <cell r="D134" t="str">
            <v>Musthafa Ahmed</v>
          </cell>
          <cell r="E134">
            <v>102212920816</v>
          </cell>
          <cell r="F134" t="str">
            <v>MUSTAFA AHMED BARBHUIYA</v>
          </cell>
        </row>
        <row r="135">
          <cell r="C135">
            <v>11536</v>
          </cell>
          <cell r="D135" t="str">
            <v>A.Kalyan</v>
          </cell>
          <cell r="E135">
            <v>101305339175</v>
          </cell>
          <cell r="F135" t="str">
            <v>ANTHATI KALYAN</v>
          </cell>
        </row>
        <row r="136">
          <cell r="C136">
            <v>11534</v>
          </cell>
          <cell r="D136" t="str">
            <v>Subodh</v>
          </cell>
          <cell r="E136">
            <v>101397301419</v>
          </cell>
          <cell r="F136" t="str">
            <v>SUBODH PATABANDHA</v>
          </cell>
        </row>
        <row r="137">
          <cell r="C137">
            <v>11501</v>
          </cell>
          <cell r="D137" t="str">
            <v>Hemanta</v>
          </cell>
          <cell r="E137">
            <v>100024420681</v>
          </cell>
          <cell r="F137" t="str">
            <v>HEMANTA PATRA</v>
          </cell>
        </row>
        <row r="138">
          <cell r="C138">
            <v>11510</v>
          </cell>
          <cell r="D138" t="str">
            <v>Sukadeb</v>
          </cell>
          <cell r="E138">
            <v>101690173127</v>
          </cell>
          <cell r="F138" t="str">
            <v>SUKADEB SI</v>
          </cell>
        </row>
        <row r="139">
          <cell r="C139">
            <v>11499</v>
          </cell>
          <cell r="D139" t="str">
            <v>Jagabandu Das</v>
          </cell>
          <cell r="E139">
            <v>101271939205</v>
          </cell>
          <cell r="F139" t="str">
            <v>JAGABANDHU DAS</v>
          </cell>
        </row>
        <row r="140">
          <cell r="C140">
            <v>11529</v>
          </cell>
          <cell r="D140" t="str">
            <v>Upender Si</v>
          </cell>
          <cell r="E140">
            <v>101353149374</v>
          </cell>
          <cell r="F140" t="str">
            <v>UPENDRA SI</v>
          </cell>
        </row>
        <row r="141">
          <cell r="C141">
            <v>11866</v>
          </cell>
          <cell r="D141" t="str">
            <v>NAIROD BHANJA</v>
          </cell>
          <cell r="E141">
            <v>102301186198</v>
          </cell>
          <cell r="F141" t="str">
            <v>NIROD BHANJA</v>
          </cell>
        </row>
        <row r="142">
          <cell r="C142">
            <v>11537</v>
          </cell>
          <cell r="D142" t="str">
            <v>Ashok</v>
          </cell>
          <cell r="E142">
            <v>101853065519</v>
          </cell>
          <cell r="F142" t="str">
            <v>NARAYAN SENAPATI</v>
          </cell>
        </row>
        <row r="143">
          <cell r="C143">
            <v>11500</v>
          </cell>
          <cell r="D143" t="str">
            <v>Karthik Beera</v>
          </cell>
          <cell r="E143">
            <v>101639449256</v>
          </cell>
          <cell r="F143" t="str">
            <v>KARTTIK BEHERA</v>
          </cell>
        </row>
        <row r="144">
          <cell r="C144">
            <v>11509</v>
          </cell>
          <cell r="D144" t="str">
            <v>Jagannath Nanda</v>
          </cell>
          <cell r="E144">
            <v>100026468999</v>
          </cell>
          <cell r="F144" t="str">
            <v>JAGANNATH NANDA</v>
          </cell>
        </row>
        <row r="145">
          <cell r="C145">
            <v>11056</v>
          </cell>
          <cell r="D145" t="str">
            <v>Prakash Dal</v>
          </cell>
          <cell r="E145">
            <v>102097292437</v>
          </cell>
          <cell r="F145" t="str">
            <v>ASHOK KUMAR MALLIK</v>
          </cell>
        </row>
        <row r="146">
          <cell r="C146">
            <v>11530</v>
          </cell>
          <cell r="D146" t="str">
            <v>Shiva Prasad Das</v>
          </cell>
          <cell r="E146">
            <v>102214699396</v>
          </cell>
          <cell r="F146" t="str">
            <v>SHIB PRASAD DAS</v>
          </cell>
        </row>
        <row r="147">
          <cell r="C147">
            <v>11672</v>
          </cell>
          <cell r="D147" t="str">
            <v>Karthik Deo</v>
          </cell>
          <cell r="E147">
            <v>102256486772</v>
          </cell>
          <cell r="F147" t="str">
            <v>KARTIK DEO</v>
          </cell>
        </row>
        <row r="148">
          <cell r="C148">
            <v>11690</v>
          </cell>
          <cell r="D148" t="str">
            <v>B THARA</v>
          </cell>
          <cell r="E148">
            <v>102260321508</v>
          </cell>
          <cell r="F148" t="str">
            <v>BHUKYA THARA</v>
          </cell>
        </row>
        <row r="149">
          <cell r="C149">
            <v>11531</v>
          </cell>
          <cell r="D149" t="str">
            <v>Thalasani Srilatha</v>
          </cell>
          <cell r="E149">
            <v>101760744671</v>
          </cell>
          <cell r="F149" t="str">
            <v>THALASANI SRILATHA</v>
          </cell>
        </row>
        <row r="150">
          <cell r="C150">
            <v>11538</v>
          </cell>
          <cell r="D150" t="str">
            <v>Kunchala NagaVenkatalaksmi</v>
          </cell>
          <cell r="E150">
            <v>102127151892</v>
          </cell>
          <cell r="F150" t="str">
            <v>KUNCHALA NAGAVENKATA LAKSHMI</v>
          </cell>
        </row>
        <row r="151">
          <cell r="C151">
            <v>11513</v>
          </cell>
          <cell r="D151" t="str">
            <v>Gujjula Anitha</v>
          </cell>
          <cell r="E151">
            <v>101779456844</v>
          </cell>
          <cell r="F151" t="str">
            <v>GUJJULA ANITHA</v>
          </cell>
        </row>
        <row r="152">
          <cell r="C152">
            <v>11511</v>
          </cell>
          <cell r="D152" t="str">
            <v>Mudidana Vijaya Laxmi</v>
          </cell>
          <cell r="E152">
            <v>100490422402</v>
          </cell>
          <cell r="F152" t="str">
            <v>MUDIDANA VIJAYA LAXMI</v>
          </cell>
        </row>
        <row r="153">
          <cell r="C153">
            <v>11539</v>
          </cell>
          <cell r="D153" t="str">
            <v>Nallakapu Navanitha</v>
          </cell>
          <cell r="E153">
            <v>102215456032</v>
          </cell>
          <cell r="F153" t="str">
            <v>NALLAKAPU NAVANITHA</v>
          </cell>
        </row>
        <row r="154">
          <cell r="C154">
            <v>11671</v>
          </cell>
          <cell r="D154" t="str">
            <v>B.Nagalaxmi</v>
          </cell>
          <cell r="E154">
            <v>102204467918</v>
          </cell>
          <cell r="F154" t="str">
            <v>BODA NAGALAXMI</v>
          </cell>
        </row>
        <row r="155">
          <cell r="C155">
            <v>11670</v>
          </cell>
          <cell r="D155" t="str">
            <v>K Shilpa</v>
          </cell>
          <cell r="E155">
            <v>102175312327</v>
          </cell>
          <cell r="F155" t="str">
            <v>KASHANNOLLA SHILPA</v>
          </cell>
        </row>
        <row r="156">
          <cell r="C156">
            <v>11703</v>
          </cell>
          <cell r="D156" t="str">
            <v>B Jyothi</v>
          </cell>
          <cell r="E156">
            <v>102212333293</v>
          </cell>
          <cell r="F156" t="str">
            <v>B JYOTHI</v>
          </cell>
        </row>
        <row r="157">
          <cell r="C157">
            <v>11533</v>
          </cell>
          <cell r="D157" t="str">
            <v>Kadri Suguna</v>
          </cell>
          <cell r="E157">
            <v>102215015252</v>
          </cell>
          <cell r="F157" t="str">
            <v>KADRI SUGUNA</v>
          </cell>
        </row>
        <row r="158">
          <cell r="C158">
            <v>10905</v>
          </cell>
          <cell r="D158" t="str">
            <v>YADAVALLI ASHOK KUMAR</v>
          </cell>
          <cell r="E158">
            <v>101252450609</v>
          </cell>
          <cell r="F158" t="str">
            <v>YADAVALLI ASHOK KUMAR</v>
          </cell>
        </row>
        <row r="159">
          <cell r="C159">
            <v>11046</v>
          </cell>
          <cell r="D159" t="str">
            <v>MADHU KANDURU</v>
          </cell>
          <cell r="E159">
            <v>101187041563</v>
          </cell>
          <cell r="F159" t="str">
            <v>MADHU KANDURU</v>
          </cell>
        </row>
        <row r="160">
          <cell r="C160">
            <v>11057</v>
          </cell>
          <cell r="D160" t="str">
            <v>ALAUDDIN</v>
          </cell>
          <cell r="E160">
            <v>101303655148</v>
          </cell>
          <cell r="F160" t="str">
            <v>ALAUDDIN</v>
          </cell>
        </row>
        <row r="161">
          <cell r="C161">
            <v>11899</v>
          </cell>
          <cell r="D161" t="str">
            <v>B NAGESH</v>
          </cell>
          <cell r="E161">
            <v>101247834522</v>
          </cell>
          <cell r="F161" t="str">
            <v>NAGESH BALABHEEM</v>
          </cell>
        </row>
        <row r="162">
          <cell r="C162">
            <v>11737</v>
          </cell>
          <cell r="D162" t="str">
            <v>BANDARI PRAVEEN KUMAR</v>
          </cell>
          <cell r="E162">
            <v>101427038585</v>
          </cell>
          <cell r="F162" t="str">
            <v>BANDARI PRAVEEN KUMAR</v>
          </cell>
        </row>
        <row r="163">
          <cell r="C163">
            <v>11597</v>
          </cell>
          <cell r="D163" t="str">
            <v>TRINATH</v>
          </cell>
          <cell r="E163">
            <v>100013602265</v>
          </cell>
          <cell r="F163" t="str">
            <v>TRINATH GANTA</v>
          </cell>
        </row>
        <row r="164">
          <cell r="C164">
            <v>11727</v>
          </cell>
          <cell r="D164" t="str">
            <v>SANGALA MAHESH</v>
          </cell>
          <cell r="E164">
            <v>101133035465</v>
          </cell>
          <cell r="F164" t="str">
            <v>SANGALA MAHESH</v>
          </cell>
        </row>
        <row r="165">
          <cell r="C165">
            <v>11783</v>
          </cell>
          <cell r="D165" t="str">
            <v>CHADRAKALA</v>
          </cell>
          <cell r="E165">
            <v>101178674097</v>
          </cell>
          <cell r="F165" t="str">
            <v>SANGAMONI CHANDRAKALA</v>
          </cell>
        </row>
        <row r="166">
          <cell r="C166">
            <v>11936</v>
          </cell>
          <cell r="D166" t="str">
            <v>NAGARJU</v>
          </cell>
          <cell r="E166">
            <v>101899392754</v>
          </cell>
          <cell r="F166" t="str">
            <v>MIRYALA NAGARAJU</v>
          </cell>
        </row>
        <row r="167">
          <cell r="C167">
            <v>11939</v>
          </cell>
          <cell r="D167" t="str">
            <v>JOSEF</v>
          </cell>
          <cell r="E167">
            <v>101574198687</v>
          </cell>
          <cell r="F167" t="str">
            <v>ANTHONY FALLIOUS JOSEPH</v>
          </cell>
        </row>
        <row r="168">
          <cell r="C168">
            <v>11409</v>
          </cell>
          <cell r="D168" t="str">
            <v>SANDEEP</v>
          </cell>
          <cell r="E168">
            <v>102124327752</v>
          </cell>
          <cell r="F168" t="str">
            <v>SANDEEP KUMAR</v>
          </cell>
        </row>
        <row r="169">
          <cell r="C169">
            <v>10839</v>
          </cell>
          <cell r="D169" t="str">
            <v>PANDULA GANGADHAR</v>
          </cell>
          <cell r="E169">
            <v>101389814426</v>
          </cell>
          <cell r="F169" t="str">
            <v>PANDULA GANGADHAR</v>
          </cell>
        </row>
        <row r="170">
          <cell r="C170">
            <v>11301</v>
          </cell>
          <cell r="D170" t="str">
            <v>RAJ KUMAR BURU</v>
          </cell>
          <cell r="E170">
            <v>100103450428</v>
          </cell>
          <cell r="F170" t="str">
            <v>BURU RAJ KUMAR GOUD</v>
          </cell>
        </row>
        <row r="171">
          <cell r="C171">
            <v>11302</v>
          </cell>
          <cell r="D171" t="str">
            <v>DEVARAJ K</v>
          </cell>
          <cell r="E171">
            <v>101547858419</v>
          </cell>
          <cell r="F171" t="str">
            <v>KOMMULA DEVA RAJU</v>
          </cell>
        </row>
        <row r="172">
          <cell r="C172">
            <v>11932</v>
          </cell>
          <cell r="D172" t="str">
            <v>ARUNKUMAR</v>
          </cell>
          <cell r="E172">
            <v>101905225812</v>
          </cell>
          <cell r="F172" t="str">
            <v>SUNKARA ARUN KUMAR</v>
          </cell>
        </row>
        <row r="173">
          <cell r="C173">
            <v>11304</v>
          </cell>
          <cell r="D173" t="str">
            <v>SHYAMALA RAHUL REDDY</v>
          </cell>
          <cell r="E173">
            <v>101972813204</v>
          </cell>
          <cell r="F173" t="str">
            <v>SHYAMALA RAHUL REDDY</v>
          </cell>
        </row>
        <row r="174">
          <cell r="C174">
            <v>11298</v>
          </cell>
          <cell r="D174" t="str">
            <v>SHRAVAN</v>
          </cell>
          <cell r="E174">
            <v>101301963714</v>
          </cell>
          <cell r="F174" t="str">
            <v>AKUNURI SRAVAN</v>
          </cell>
        </row>
        <row r="175">
          <cell r="C175">
            <v>11305</v>
          </cell>
          <cell r="D175" t="str">
            <v>SURANI BANDAIAH</v>
          </cell>
          <cell r="E175">
            <v>101588708518</v>
          </cell>
          <cell r="F175" t="str">
            <v>SURANI BANDAIAH</v>
          </cell>
        </row>
        <row r="176">
          <cell r="C176">
            <v>11667</v>
          </cell>
          <cell r="D176" t="str">
            <v>SITANSU SAHOO</v>
          </cell>
          <cell r="E176">
            <v>101151192244</v>
          </cell>
          <cell r="F176" t="str">
            <v>SITANSU SAHOO</v>
          </cell>
        </row>
        <row r="177">
          <cell r="C177">
            <v>11707</v>
          </cell>
          <cell r="D177" t="str">
            <v>D.AJAY</v>
          </cell>
          <cell r="E177">
            <v>101944590892</v>
          </cell>
          <cell r="F177" t="str">
            <v>D AJAY</v>
          </cell>
        </row>
        <row r="178">
          <cell r="C178">
            <v>11900</v>
          </cell>
          <cell r="D178" t="str">
            <v>NARESH</v>
          </cell>
          <cell r="E178">
            <v>102129011784</v>
          </cell>
          <cell r="F178" t="str">
            <v>UPPARI NARESH</v>
          </cell>
        </row>
        <row r="179">
          <cell r="C179">
            <v>11003</v>
          </cell>
          <cell r="D179" t="str">
            <v>ANANDARAO</v>
          </cell>
          <cell r="E179">
            <v>101823905731</v>
          </cell>
          <cell r="F179" t="str">
            <v>TAMALAPAKULA ANAND RAO</v>
          </cell>
        </row>
        <row r="180">
          <cell r="C180">
            <v>10863</v>
          </cell>
          <cell r="D180" t="str">
            <v>KINNERA ALIVELU</v>
          </cell>
          <cell r="E180">
            <v>102063472658</v>
          </cell>
          <cell r="F180" t="str">
            <v>KINNERA ALIVELU</v>
          </cell>
        </row>
        <row r="181">
          <cell r="C181">
            <v>10896</v>
          </cell>
          <cell r="D181" t="str">
            <v>RAMULU NAYEK</v>
          </cell>
          <cell r="E181">
            <v>102023347435</v>
          </cell>
          <cell r="F181" t="str">
            <v>RAMULU NAYAK</v>
          </cell>
        </row>
        <row r="182">
          <cell r="C182">
            <v>11928</v>
          </cell>
          <cell r="D182" t="str">
            <v>PANDURANG</v>
          </cell>
          <cell r="E182">
            <v>101969499320</v>
          </cell>
          <cell r="F182" t="str">
            <v>PANDURANG</v>
          </cell>
        </row>
        <row r="183">
          <cell r="C183">
            <v>11922</v>
          </cell>
          <cell r="D183" t="str">
            <v>DEEPAK</v>
          </cell>
          <cell r="E183">
            <v>102096801656</v>
          </cell>
          <cell r="F183" t="str">
            <v>DEEPAK SETHI</v>
          </cell>
        </row>
        <row r="184">
          <cell r="C184">
            <v>11931</v>
          </cell>
          <cell r="D184" t="str">
            <v>SANGEETHA</v>
          </cell>
          <cell r="E184">
            <v>101930298148</v>
          </cell>
          <cell r="F184" t="str">
            <v>SANGEETA</v>
          </cell>
        </row>
        <row r="185">
          <cell r="C185">
            <v>11013</v>
          </cell>
          <cell r="D185" t="str">
            <v>A.JYOTHI</v>
          </cell>
          <cell r="E185">
            <v>102088006073</v>
          </cell>
          <cell r="F185" t="str">
            <v>AJMEERA JYOTHI</v>
          </cell>
        </row>
        <row r="186">
          <cell r="C186">
            <v>11041</v>
          </cell>
          <cell r="D186" t="str">
            <v>SANTHU</v>
          </cell>
          <cell r="E186">
            <v>102089656878</v>
          </cell>
          <cell r="F186" t="str">
            <v>NETHAVATH SANTHU</v>
          </cell>
        </row>
        <row r="187">
          <cell r="C187">
            <v>11940</v>
          </cell>
          <cell r="D187" t="str">
            <v>SAIDA AFSAR</v>
          </cell>
          <cell r="E187">
            <v>102221691997</v>
          </cell>
          <cell r="F187" t="str">
            <v>SAYYAD AFSAR</v>
          </cell>
        </row>
        <row r="188">
          <cell r="C188">
            <v>11471</v>
          </cell>
          <cell r="D188" t="str">
            <v>PARAVTHI</v>
          </cell>
          <cell r="E188">
            <v>102204859901</v>
          </cell>
          <cell r="F188" t="str">
            <v>BANOTH PARVATHI</v>
          </cell>
        </row>
        <row r="189">
          <cell r="C189">
            <v>11623</v>
          </cell>
          <cell r="D189" t="str">
            <v>SAIRA</v>
          </cell>
          <cell r="E189">
            <v>102028722189</v>
          </cell>
          <cell r="F189" t="str">
            <v>SHAIK SAHEERA</v>
          </cell>
        </row>
        <row r="190">
          <cell r="C190">
            <v>11753</v>
          </cell>
          <cell r="D190" t="str">
            <v>ENDIRA</v>
          </cell>
          <cell r="E190">
            <v>101265578188</v>
          </cell>
          <cell r="F190" t="str">
            <v>TELUGU INDIRA</v>
          </cell>
        </row>
        <row r="191">
          <cell r="C191">
            <v>11763</v>
          </cell>
          <cell r="D191" t="str">
            <v>SHOBHA</v>
          </cell>
          <cell r="E191">
            <v>102035219956</v>
          </cell>
          <cell r="F191" t="str">
            <v>SHOBHA</v>
          </cell>
        </row>
        <row r="192">
          <cell r="C192">
            <v>11764</v>
          </cell>
          <cell r="D192" t="str">
            <v>AJAYKUMAR</v>
          </cell>
          <cell r="E192">
            <v>102268687170</v>
          </cell>
          <cell r="F192" t="str">
            <v>AJAY KUMAR LAHARE</v>
          </cell>
        </row>
        <row r="193">
          <cell r="C193">
            <v>11416</v>
          </cell>
          <cell r="D193" t="str">
            <v>SHABANA BEGUM</v>
          </cell>
          <cell r="E193">
            <v>102073765685</v>
          </cell>
          <cell r="F193" t="str">
            <v>SHABANA BEGUM</v>
          </cell>
        </row>
        <row r="194">
          <cell r="C194">
            <v>11760</v>
          </cell>
          <cell r="D194" t="str">
            <v>V.LAXMI</v>
          </cell>
          <cell r="E194">
            <v>101439030581</v>
          </cell>
          <cell r="F194" t="str">
            <v>VADLA LAKSHMI</v>
          </cell>
        </row>
        <row r="195">
          <cell r="C195">
            <v>11766</v>
          </cell>
          <cell r="D195" t="str">
            <v>FARHANABEGUM</v>
          </cell>
          <cell r="E195">
            <v>102273311616</v>
          </cell>
          <cell r="F195" t="str">
            <v>FARHANA BEGUM</v>
          </cell>
        </row>
        <row r="196">
          <cell r="C196">
            <v>11778</v>
          </cell>
          <cell r="D196" t="str">
            <v>ASHWITHA</v>
          </cell>
          <cell r="E196">
            <v>101692841661</v>
          </cell>
          <cell r="F196" t="str">
            <v>V ASHWITHA</v>
          </cell>
        </row>
        <row r="197">
          <cell r="C197">
            <v>11752</v>
          </cell>
          <cell r="D197" t="str">
            <v>JASHODA</v>
          </cell>
          <cell r="E197">
            <v>101074608658</v>
          </cell>
          <cell r="F197" t="str">
            <v>JASHODA RABHA</v>
          </cell>
        </row>
        <row r="198">
          <cell r="C198">
            <v>11759</v>
          </cell>
          <cell r="D198" t="str">
            <v>RANJITH</v>
          </cell>
          <cell r="E198">
            <v>102115419516</v>
          </cell>
          <cell r="F198" t="str">
            <v>RANJIT DUTTA</v>
          </cell>
        </row>
        <row r="199">
          <cell r="C199">
            <v>11930</v>
          </cell>
          <cell r="D199" t="str">
            <v>GAJAPAGA RAJU</v>
          </cell>
          <cell r="E199">
            <v>100886659355</v>
          </cell>
          <cell r="F199" t="str">
            <v>GAJAPAGA RAJU</v>
          </cell>
        </row>
        <row r="200">
          <cell r="C200">
            <v>11173</v>
          </cell>
          <cell r="D200" t="str">
            <v>RAMAVATH PEDDA LALITHA</v>
          </cell>
          <cell r="E200">
            <v>101889388890</v>
          </cell>
          <cell r="F200" t="str">
            <v>RAMAVATH PEDDA LALITHA</v>
          </cell>
        </row>
        <row r="201">
          <cell r="C201">
            <v>11258</v>
          </cell>
          <cell r="D201" t="str">
            <v>K RENUKA</v>
          </cell>
          <cell r="E201">
            <v>101539775632</v>
          </cell>
          <cell r="F201" t="str">
            <v>KUKUDPAALA RENUKA</v>
          </cell>
        </row>
        <row r="202">
          <cell r="C202">
            <v>11627</v>
          </cell>
          <cell r="D202" t="str">
            <v>CH. MOUNIKA</v>
          </cell>
          <cell r="E202">
            <v>101398837571</v>
          </cell>
          <cell r="F202" t="str">
            <v>CHINOLA MOUNIKA</v>
          </cell>
        </row>
        <row r="203">
          <cell r="C203">
            <v>11009</v>
          </cell>
          <cell r="D203" t="str">
            <v>K.MOUNIKA</v>
          </cell>
          <cell r="E203">
            <v>102087878745</v>
          </cell>
          <cell r="F203" t="str">
            <v>KAMMARI MOUNIKA</v>
          </cell>
        </row>
        <row r="204">
          <cell r="C204">
            <v>11296</v>
          </cell>
          <cell r="D204" t="str">
            <v>NAKKA DAMAYANTHI</v>
          </cell>
          <cell r="E204">
            <v>100245580374</v>
          </cell>
          <cell r="F204" t="str">
            <v>NAKKA DAMAYANTHI</v>
          </cell>
        </row>
        <row r="205">
          <cell r="C205">
            <v>11297</v>
          </cell>
          <cell r="D205" t="str">
            <v>VIJAYA BODA</v>
          </cell>
          <cell r="E205">
            <v>100596073353</v>
          </cell>
          <cell r="F205" t="str">
            <v>BODA VIJAYA</v>
          </cell>
        </row>
        <row r="206">
          <cell r="C206">
            <v>11299</v>
          </cell>
          <cell r="D206" t="str">
            <v>VUGGELLI JYOTHI</v>
          </cell>
          <cell r="E206">
            <v>101788736701</v>
          </cell>
          <cell r="F206" t="str">
            <v>VUGGELLI JYOTHI</v>
          </cell>
        </row>
        <row r="207">
          <cell r="C207">
            <v>11300</v>
          </cell>
          <cell r="D207" t="str">
            <v>ANURADHA MANCHALA</v>
          </cell>
          <cell r="E207">
            <v>101253465275</v>
          </cell>
          <cell r="F207" t="str">
            <v>MANCHALA ANURADHA</v>
          </cell>
        </row>
        <row r="208">
          <cell r="C208">
            <v>10613</v>
          </cell>
          <cell r="D208" t="str">
            <v>Monjurol Hoque Laskar</v>
          </cell>
          <cell r="E208">
            <v>101130682502</v>
          </cell>
          <cell r="F208" t="str">
            <v>MONJURUL HOQUE LASKAR</v>
          </cell>
        </row>
        <row r="209">
          <cell r="C209">
            <v>10619</v>
          </cell>
          <cell r="D209" t="str">
            <v>Chandar Sekhar Pradhan</v>
          </cell>
          <cell r="E209">
            <v>101959766845</v>
          </cell>
          <cell r="F209" t="str">
            <v>CHANDRASEKHAR PRADHAN</v>
          </cell>
        </row>
        <row r="210">
          <cell r="C210">
            <v>10617</v>
          </cell>
          <cell r="D210" t="str">
            <v>Subrat Kumar Das</v>
          </cell>
          <cell r="E210">
            <v>101986366791</v>
          </cell>
          <cell r="F210" t="str">
            <v>SUBRAT KUMAR DAS</v>
          </cell>
        </row>
        <row r="211">
          <cell r="C211">
            <v>10620</v>
          </cell>
          <cell r="D211" t="str">
            <v>Mangal Singha</v>
          </cell>
          <cell r="E211">
            <v>101512896139</v>
          </cell>
          <cell r="F211" t="str">
            <v>MANGAL SINGHA</v>
          </cell>
        </row>
        <row r="212">
          <cell r="C212">
            <v>10925</v>
          </cell>
          <cell r="D212" t="str">
            <v>Sumonta Thakur</v>
          </cell>
          <cell r="E212">
            <v>101301984665</v>
          </cell>
          <cell r="F212" t="str">
            <v>SUMONTA THAKUR</v>
          </cell>
        </row>
        <row r="213">
          <cell r="C213">
            <v>10616</v>
          </cell>
          <cell r="D213" t="str">
            <v>Pradip Roy</v>
          </cell>
          <cell r="E213">
            <v>101852944913</v>
          </cell>
          <cell r="F213" t="str">
            <v>PRADIP ROY</v>
          </cell>
        </row>
        <row r="214">
          <cell r="C214">
            <v>11127</v>
          </cell>
          <cell r="D214" t="str">
            <v>Rintu Singha</v>
          </cell>
          <cell r="E214">
            <v>101213144296</v>
          </cell>
          <cell r="F214" t="str">
            <v>RINTU SINGHA</v>
          </cell>
        </row>
        <row r="215">
          <cell r="C215">
            <v>11669</v>
          </cell>
          <cell r="D215" t="str">
            <v>Chinmay Sahoo</v>
          </cell>
          <cell r="E215">
            <v>101965074658</v>
          </cell>
          <cell r="F215" t="str">
            <v>CHINMAYA SAHOO</v>
          </cell>
        </row>
        <row r="216">
          <cell r="C216">
            <v>10473</v>
          </cell>
          <cell r="D216" t="str">
            <v>Asia Horo</v>
          </cell>
          <cell r="E216">
            <v>101276562388</v>
          </cell>
          <cell r="F216" t="str">
            <v>ASIA HORO</v>
          </cell>
        </row>
        <row r="217">
          <cell r="C217">
            <v>11694</v>
          </cell>
          <cell r="D217" t="str">
            <v>Aka Pathrudu</v>
          </cell>
          <cell r="E217">
            <v>100605885041</v>
          </cell>
          <cell r="F217" t="str">
            <v>KANNURI AKKAPATHRUDU</v>
          </cell>
        </row>
        <row r="218">
          <cell r="C218">
            <v>11307</v>
          </cell>
          <cell r="D218" t="str">
            <v>Balaram Rout</v>
          </cell>
          <cell r="E218">
            <v>101490680773</v>
          </cell>
          <cell r="F218" t="str">
            <v>BALARAM ROUT</v>
          </cell>
        </row>
        <row r="219">
          <cell r="C219">
            <v>10471</v>
          </cell>
          <cell r="D219" t="str">
            <v>Aashish Ben</v>
          </cell>
          <cell r="E219">
            <v>101797537057</v>
          </cell>
          <cell r="F219" t="str">
            <v>AASHISH BEN</v>
          </cell>
        </row>
        <row r="220">
          <cell r="C220">
            <v>11861</v>
          </cell>
          <cell r="D220" t="str">
            <v>Vishnu Mohana Rao</v>
          </cell>
          <cell r="E220">
            <v>101840642190</v>
          </cell>
          <cell r="F220" t="str">
            <v>VISHNU MOHANA RAO</v>
          </cell>
        </row>
        <row r="221">
          <cell r="C221">
            <v>11863</v>
          </cell>
          <cell r="D221" t="str">
            <v>Paliki.Apparao</v>
          </cell>
          <cell r="E221">
            <v>101277325571</v>
          </cell>
          <cell r="F221" t="str">
            <v>PALIKI APPARAO</v>
          </cell>
        </row>
        <row r="222">
          <cell r="C222">
            <v>10771</v>
          </cell>
          <cell r="D222" t="str">
            <v>MUNAGALA PAKKIRA</v>
          </cell>
          <cell r="E222">
            <v>101377603896</v>
          </cell>
          <cell r="F222" t="str">
            <v>MUNAGALA PAKKIRA</v>
          </cell>
        </row>
        <row r="223">
          <cell r="C223">
            <v>10764</v>
          </cell>
          <cell r="D223" t="str">
            <v>DANDU SHOBA</v>
          </cell>
          <cell r="E223">
            <v>101928669373</v>
          </cell>
          <cell r="F223" t="str">
            <v>DANDU SHOBA</v>
          </cell>
        </row>
        <row r="224">
          <cell r="C224">
            <v>11641</v>
          </cell>
          <cell r="D224" t="str">
            <v>K.Krishna</v>
          </cell>
          <cell r="E224">
            <v>100971961389</v>
          </cell>
          <cell r="F224" t="str">
            <v>KUNTRU BULLI KRISHANA</v>
          </cell>
        </row>
        <row r="225">
          <cell r="C225">
            <v>10897</v>
          </cell>
          <cell r="D225" t="str">
            <v>KARKA BAHADUR</v>
          </cell>
          <cell r="E225">
            <v>101123231321</v>
          </cell>
          <cell r="F225" t="str">
            <v>KHARKA BAHADUR CHETRI</v>
          </cell>
        </row>
        <row r="226">
          <cell r="C226">
            <v>11029</v>
          </cell>
          <cell r="D226" t="str">
            <v>SUDHIR KUMAR RAUTARAY</v>
          </cell>
          <cell r="E226">
            <v>100776108439</v>
          </cell>
          <cell r="F226" t="str">
            <v>SUDHIR KUMAR RAUTARAY</v>
          </cell>
        </row>
        <row r="227">
          <cell r="C227">
            <v>11886</v>
          </cell>
          <cell r="D227" t="str">
            <v>MUKKERA RAVI</v>
          </cell>
          <cell r="E227">
            <v>101636035943</v>
          </cell>
          <cell r="F227" t="str">
            <v>MUKKERA RAVI</v>
          </cell>
        </row>
        <row r="228">
          <cell r="C228">
            <v>10984</v>
          </cell>
          <cell r="D228" t="str">
            <v>K.RAJYALAKSHMI</v>
          </cell>
          <cell r="E228">
            <v>101433827014</v>
          </cell>
          <cell r="F228" t="str">
            <v>KUMMARA RAJYALAKSHMI</v>
          </cell>
        </row>
        <row r="229">
          <cell r="C229">
            <v>10986</v>
          </cell>
          <cell r="D229" t="str">
            <v>KHIROD DAS</v>
          </cell>
          <cell r="E229">
            <v>101303714313</v>
          </cell>
          <cell r="F229" t="str">
            <v>KSHIROD KUMAR DAS</v>
          </cell>
        </row>
        <row r="230">
          <cell r="C230">
            <v>11886</v>
          </cell>
          <cell r="D230" t="str">
            <v>MUKKERA RAVI</v>
          </cell>
          <cell r="E230">
            <v>101636035943</v>
          </cell>
          <cell r="F230" t="str">
            <v>MUKKERA RAVI</v>
          </cell>
        </row>
        <row r="231">
          <cell r="C231">
            <v>10976</v>
          </cell>
          <cell r="D231" t="str">
            <v>KONGANI  NARAYANA</v>
          </cell>
          <cell r="E231">
            <v>101132041760</v>
          </cell>
          <cell r="F231" t="str">
            <v>KONGANI NARAYANA</v>
          </cell>
        </row>
        <row r="232">
          <cell r="C232">
            <v>10999</v>
          </cell>
          <cell r="D232" t="str">
            <v>VISHAL</v>
          </cell>
          <cell r="E232">
            <v>101593955135</v>
          </cell>
          <cell r="F232" t="str">
            <v>HAJNALE VISHAL KUMAR</v>
          </cell>
        </row>
        <row r="233">
          <cell r="C233">
            <v>10988</v>
          </cell>
          <cell r="D233" t="str">
            <v>K.BASHA</v>
          </cell>
          <cell r="E233">
            <v>101419332060</v>
          </cell>
          <cell r="F233" t="str">
            <v>KAKARLA BASHA</v>
          </cell>
        </row>
        <row r="234">
          <cell r="C234">
            <v>11064</v>
          </cell>
          <cell r="D234" t="str">
            <v>D.SANDEEP</v>
          </cell>
          <cell r="E234">
            <v>101591489642</v>
          </cell>
          <cell r="F234" t="str">
            <v>DUNNA SANDEEP</v>
          </cell>
        </row>
        <row r="235">
          <cell r="C235">
            <v>11365</v>
          </cell>
          <cell r="D235" t="str">
            <v>B.SANDEEP</v>
          </cell>
          <cell r="E235">
            <v>101294830082</v>
          </cell>
          <cell r="F235" t="str">
            <v>BADAM SANDEEP</v>
          </cell>
        </row>
        <row r="236">
          <cell r="C236">
            <v>11373</v>
          </cell>
          <cell r="D236" t="str">
            <v>SANGANA MADHAVA REDDY</v>
          </cell>
          <cell r="E236">
            <v>101439083210</v>
          </cell>
          <cell r="F236" t="str">
            <v>SANGANA MADHAVA REDDY</v>
          </cell>
        </row>
        <row r="237">
          <cell r="C237">
            <v>10013</v>
          </cell>
          <cell r="D237" t="str">
            <v>H.PANDA</v>
          </cell>
          <cell r="E237">
            <v>101336134979</v>
          </cell>
          <cell r="F237" t="str">
            <v>HRUSIKESH PANDA</v>
          </cell>
        </row>
        <row r="238">
          <cell r="C238">
            <v>10979</v>
          </cell>
          <cell r="D238" t="str">
            <v>B.APPANA</v>
          </cell>
          <cell r="E238">
            <v>101460853033</v>
          </cell>
          <cell r="F238" t="str">
            <v>BALAGA APPANNA</v>
          </cell>
        </row>
        <row r="239">
          <cell r="C239">
            <v>10982</v>
          </cell>
          <cell r="D239" t="str">
            <v>SAGAR KUMAR BEHERA</v>
          </cell>
          <cell r="E239">
            <v>101296008357</v>
          </cell>
          <cell r="F239" t="str">
            <v>SAGAR KUMAR BEHERA</v>
          </cell>
        </row>
        <row r="240">
          <cell r="C240">
            <v>11032</v>
          </cell>
          <cell r="D240" t="str">
            <v>ANANDA SHA</v>
          </cell>
          <cell r="E240">
            <v>101760846764</v>
          </cell>
          <cell r="F240" t="str">
            <v>ANANDA SHA</v>
          </cell>
        </row>
        <row r="241">
          <cell r="C241">
            <v>11217</v>
          </cell>
          <cell r="D241" t="str">
            <v>K.TARUN</v>
          </cell>
          <cell r="E241">
            <v>102106814769</v>
          </cell>
          <cell r="F241" t="str">
            <v>KANDIKONDA TARUN</v>
          </cell>
        </row>
        <row r="242">
          <cell r="C242">
            <v>10981</v>
          </cell>
          <cell r="D242" t="str">
            <v>C. GANESH</v>
          </cell>
          <cell r="E242">
            <v>101730007908</v>
          </cell>
          <cell r="F242" t="str">
            <v>CHINTHAKUNTA GANESH</v>
          </cell>
        </row>
        <row r="243">
          <cell r="C243">
            <v>11634</v>
          </cell>
          <cell r="D243" t="str">
            <v>JAYA KRISHNA</v>
          </cell>
          <cell r="E243">
            <v>102012283440</v>
          </cell>
          <cell r="F243" t="str">
            <v>INTURI JAYA KRISHNA DAS</v>
          </cell>
        </row>
        <row r="244">
          <cell r="C244">
            <v>11377</v>
          </cell>
          <cell r="D244" t="str">
            <v>MANOJ KUMAR</v>
          </cell>
          <cell r="E244">
            <v>101471889153</v>
          </cell>
          <cell r="F244" t="str">
            <v>MANOJ KUMAR DAS</v>
          </cell>
        </row>
        <row r="245">
          <cell r="C245">
            <v>11651</v>
          </cell>
          <cell r="D245" t="str">
            <v>RUDRA MADHAB SENAPATI</v>
          </cell>
          <cell r="E245">
            <v>101676777523</v>
          </cell>
          <cell r="F245" t="str">
            <v>RUDRA MADHAB  SENAPATI</v>
          </cell>
        </row>
        <row r="246">
          <cell r="C246">
            <v>11834</v>
          </cell>
          <cell r="D246" t="str">
            <v>G.SAGAR NAIK</v>
          </cell>
          <cell r="E246">
            <v>102092142367</v>
          </cell>
          <cell r="F246" t="str">
            <v>GUGULOTH SAGAR NAIK</v>
          </cell>
        </row>
        <row r="247">
          <cell r="C247">
            <v>11907</v>
          </cell>
          <cell r="D247" t="str">
            <v>P.SAI SATHISH</v>
          </cell>
          <cell r="E247">
            <v>102227705635</v>
          </cell>
          <cell r="F247" t="str">
            <v>PEDDAMODU SAI SATHEESH</v>
          </cell>
        </row>
        <row r="248">
          <cell r="C248">
            <v>11370</v>
          </cell>
          <cell r="D248" t="str">
            <v>KOPPISETTI MOHAN RAM</v>
          </cell>
          <cell r="E248">
            <v>100678483239</v>
          </cell>
          <cell r="F248" t="str">
            <v>KOPPISETTI MOHAN RAM</v>
          </cell>
        </row>
        <row r="249">
          <cell r="C249">
            <v>11311</v>
          </cell>
          <cell r="D249" t="str">
            <v>MOTUPALLI RAVI SANKARA DURGA</v>
          </cell>
          <cell r="E249">
            <v>101109085478</v>
          </cell>
          <cell r="F249" t="str">
            <v>MOTUPALLI RAVI SANKARA DURGA</v>
          </cell>
        </row>
        <row r="250">
          <cell r="C250">
            <v>11022</v>
          </cell>
          <cell r="D250" t="str">
            <v>P.SADDAM</v>
          </cell>
          <cell r="E250">
            <v>101467151132</v>
          </cell>
          <cell r="F250" t="str">
            <v>POTHUGANTI SADDAM</v>
          </cell>
        </row>
        <row r="251">
          <cell r="C251">
            <v>10330</v>
          </cell>
          <cell r="D251" t="str">
            <v>G.SANDESH</v>
          </cell>
          <cell r="E251">
            <v>101571256244</v>
          </cell>
          <cell r="F251" t="str">
            <v>GOTRU SANDESH</v>
          </cell>
        </row>
        <row r="252">
          <cell r="C252">
            <v>10990</v>
          </cell>
          <cell r="D252" t="str">
            <v>MUKESH SRICHANDAN</v>
          </cell>
          <cell r="E252">
            <v>101881581733</v>
          </cell>
          <cell r="F252" t="str">
            <v>MUKES SRICHANDAN</v>
          </cell>
        </row>
        <row r="253">
          <cell r="C253">
            <v>11193</v>
          </cell>
          <cell r="D253" t="str">
            <v>T.ARCHANA</v>
          </cell>
          <cell r="E253">
            <v>102136413687</v>
          </cell>
          <cell r="F253" t="str">
            <v>THALARI ARCHANA</v>
          </cell>
        </row>
        <row r="254">
          <cell r="C254">
            <v>11000</v>
          </cell>
          <cell r="D254" t="str">
            <v>ALLAUDDIN MAINODDIN KHAJURE</v>
          </cell>
          <cell r="E254">
            <v>101617561953</v>
          </cell>
          <cell r="F254" t="str">
            <v>ALLAUDDIN MAINUDDIN KHAJURE</v>
          </cell>
        </row>
        <row r="255">
          <cell r="C255">
            <v>11551</v>
          </cell>
          <cell r="D255" t="str">
            <v>RAUPYA PRAKASH</v>
          </cell>
          <cell r="E255">
            <v>101917143472</v>
          </cell>
          <cell r="F255" t="str">
            <v>RAUPYAPRAKASH MOHANTY</v>
          </cell>
        </row>
        <row r="256">
          <cell r="C256">
            <v>11774</v>
          </cell>
          <cell r="D256" t="str">
            <v>P.DURGA RAMAKRISHNA</v>
          </cell>
          <cell r="E256">
            <v>102183736019</v>
          </cell>
          <cell r="F256" t="str">
            <v>POTHULA DURGA RAMAKRISHNA</v>
          </cell>
        </row>
        <row r="257">
          <cell r="C257">
            <v>11049</v>
          </cell>
          <cell r="D257" t="str">
            <v>D.RAVI</v>
          </cell>
          <cell r="E257">
            <v>102095604570</v>
          </cell>
          <cell r="F257" t="str">
            <v>DUNDALWAR RAVI</v>
          </cell>
        </row>
        <row r="258">
          <cell r="C258">
            <v>11273</v>
          </cell>
          <cell r="D258" t="str">
            <v>CHANDRA SHAKHER</v>
          </cell>
          <cell r="E258">
            <v>101331571871</v>
          </cell>
          <cell r="F258" t="str">
            <v>P CHANDRA SEKHAR PATRA</v>
          </cell>
        </row>
        <row r="259">
          <cell r="C259">
            <v>10991</v>
          </cell>
          <cell r="D259" t="str">
            <v>JOGENDRA SETHI</v>
          </cell>
          <cell r="E259">
            <v>100589905743</v>
          </cell>
          <cell r="F259" t="str">
            <v>JOGENDRA SETHI</v>
          </cell>
        </row>
        <row r="260">
          <cell r="C260">
            <v>11476</v>
          </cell>
          <cell r="D260" t="str">
            <v>HARISH KHAN</v>
          </cell>
          <cell r="E260">
            <v>102191204659</v>
          </cell>
          <cell r="F260" t="str">
            <v>HARISH KHAN</v>
          </cell>
        </row>
        <row r="261">
          <cell r="C261">
            <v>11486</v>
          </cell>
          <cell r="D261" t="str">
            <v>VENKATESH</v>
          </cell>
          <cell r="E261">
            <v>102207167919</v>
          </cell>
          <cell r="F261" t="str">
            <v>ALALA VENKATESH</v>
          </cell>
        </row>
        <row r="262">
          <cell r="C262">
            <v>11742</v>
          </cell>
          <cell r="D262" t="str">
            <v>KUMMARA KULLAYI</v>
          </cell>
          <cell r="E262">
            <v>102268419814</v>
          </cell>
          <cell r="F262" t="str">
            <v>KUMMARA KULLAYI</v>
          </cell>
        </row>
        <row r="263">
          <cell r="C263">
            <v>11749</v>
          </cell>
          <cell r="D263" t="str">
            <v>SAJID HUSAIN</v>
          </cell>
          <cell r="E263">
            <v>102271131502</v>
          </cell>
          <cell r="F263" t="str">
            <v>SAJID HUSSAIN</v>
          </cell>
        </row>
        <row r="264">
          <cell r="C264">
            <v>11862</v>
          </cell>
          <cell r="D264" t="str">
            <v>MOHAMAD REHAN RAJE</v>
          </cell>
          <cell r="E264">
            <v>102300787853</v>
          </cell>
          <cell r="F264" t="str">
            <v>MOHAMMADREHANRAZA SHAIKH</v>
          </cell>
        </row>
        <row r="265">
          <cell r="C265">
            <v>11878</v>
          </cell>
          <cell r="D265" t="str">
            <v>MAREDI SAI KUMAR</v>
          </cell>
          <cell r="E265">
            <v>101303948679</v>
          </cell>
          <cell r="F265" t="str">
            <v>MAREDI SAI KUMAR</v>
          </cell>
        </row>
        <row r="266">
          <cell r="C266">
            <v>10980</v>
          </cell>
          <cell r="D266" t="str">
            <v>ANURUDHA  SAMAL</v>
          </cell>
          <cell r="E266">
            <v>101455564664</v>
          </cell>
          <cell r="F266" t="str">
            <v>ANURUDHA SAMAL</v>
          </cell>
        </row>
        <row r="267">
          <cell r="C267">
            <v>10978</v>
          </cell>
          <cell r="D267" t="str">
            <v>PABITRA MALIK</v>
          </cell>
          <cell r="E267">
            <v>101574086938</v>
          </cell>
          <cell r="F267" t="str">
            <v>PABITRA MALIK</v>
          </cell>
        </row>
        <row r="268">
          <cell r="C268">
            <v>10974</v>
          </cell>
          <cell r="D268" t="str">
            <v>GADADHAR MALIK</v>
          </cell>
          <cell r="E268">
            <v>101978749567</v>
          </cell>
          <cell r="F268" t="str">
            <v>GADADHAR MALIK</v>
          </cell>
        </row>
        <row r="269">
          <cell r="C269">
            <v>11439</v>
          </cell>
          <cell r="D269" t="str">
            <v>RAJA MALIK</v>
          </cell>
          <cell r="E269">
            <v>102200504860</v>
          </cell>
          <cell r="F269" t="str">
            <v>RAJA MALIK</v>
          </cell>
        </row>
        <row r="270">
          <cell r="C270">
            <v>10983</v>
          </cell>
          <cell r="D270" t="str">
            <v>SUDHAKAR</v>
          </cell>
          <cell r="E270">
            <v>102012365701</v>
          </cell>
          <cell r="F270" t="str">
            <v>NEELAIAH GARI SUDHAKAR</v>
          </cell>
        </row>
        <row r="271">
          <cell r="C271">
            <v>11158</v>
          </cell>
          <cell r="D271" t="str">
            <v>NARESH DAS</v>
          </cell>
          <cell r="E271">
            <v>101220132820</v>
          </cell>
          <cell r="F271" t="str">
            <v>NARESH DAS</v>
          </cell>
        </row>
        <row r="272">
          <cell r="C272">
            <v>11203</v>
          </cell>
          <cell r="D272" t="str">
            <v>BISWAJIT SAHOO</v>
          </cell>
          <cell r="E272">
            <v>102140355601</v>
          </cell>
          <cell r="F272" t="str">
            <v>BISWAJIT SAHOO</v>
          </cell>
        </row>
        <row r="273">
          <cell r="C273">
            <v>11874</v>
          </cell>
          <cell r="D273" t="str">
            <v>DEV PRASHAD</v>
          </cell>
          <cell r="E273">
            <v>101959381484</v>
          </cell>
          <cell r="F273" t="str">
            <v>DEBAPRASAD ROUT</v>
          </cell>
        </row>
        <row r="274">
          <cell r="C274">
            <v>11276</v>
          </cell>
          <cell r="D274" t="str">
            <v>GOPAL ROUT</v>
          </cell>
          <cell r="E274">
            <v>102075233629</v>
          </cell>
          <cell r="F274" t="str">
            <v>GOPAL ROUT</v>
          </cell>
        </row>
        <row r="275">
          <cell r="C275">
            <v>11572</v>
          </cell>
          <cell r="D275" t="str">
            <v>KALLOL SEN</v>
          </cell>
          <cell r="E275">
            <v>101898951955</v>
          </cell>
          <cell r="F275" t="str">
            <v>KALLOL SEN</v>
          </cell>
        </row>
        <row r="276">
          <cell r="C276">
            <v>11214</v>
          </cell>
          <cell r="D276" t="str">
            <v>M.LAXMINARAYANA</v>
          </cell>
          <cell r="E276">
            <v>102141445630</v>
          </cell>
          <cell r="F276" t="str">
            <v>M LAXMI NARAYANA</v>
          </cell>
        </row>
        <row r="277">
          <cell r="C277">
            <v>11640</v>
          </cell>
          <cell r="D277" t="str">
            <v>BODESH</v>
          </cell>
          <cell r="E277">
            <v>102191607544</v>
          </cell>
          <cell r="F277" t="str">
            <v>DUNGA BODESH</v>
          </cell>
        </row>
        <row r="278">
          <cell r="C278">
            <v>11830</v>
          </cell>
          <cell r="D278" t="str">
            <v xml:space="preserve"> BADUGU SAI KUMAR</v>
          </cell>
          <cell r="E278">
            <v>102141471344</v>
          </cell>
          <cell r="F278" t="str">
            <v>BADUGU SAI KUMAR</v>
          </cell>
        </row>
        <row r="279">
          <cell r="C279">
            <v>10141</v>
          </cell>
          <cell r="D279" t="str">
            <v>SURIGI ANFEBEYULU</v>
          </cell>
          <cell r="E279">
            <v>101108164847</v>
          </cell>
          <cell r="F279" t="str">
            <v>SURIGI ANJANEYULU</v>
          </cell>
        </row>
        <row r="280">
          <cell r="C280">
            <v>10311</v>
          </cell>
          <cell r="D280" t="str">
            <v>RAVIKUMAR B S</v>
          </cell>
          <cell r="E280">
            <v>101497454382</v>
          </cell>
          <cell r="F280" t="str">
            <v>RAVIKUMAR B S</v>
          </cell>
        </row>
        <row r="281">
          <cell r="C281">
            <v>10265</v>
          </cell>
          <cell r="D281" t="str">
            <v>P SANTHOSH</v>
          </cell>
          <cell r="E281">
            <v>101767119796</v>
          </cell>
          <cell r="F281" t="str">
            <v>PONAMANTI SANTHOSH</v>
          </cell>
        </row>
        <row r="282">
          <cell r="C282">
            <v>11351</v>
          </cell>
          <cell r="D282" t="str">
            <v>MYLA SUDHAKAR</v>
          </cell>
          <cell r="E282">
            <v>101878254820</v>
          </cell>
          <cell r="F282" t="str">
            <v>MYLA SUDHAKAR</v>
          </cell>
        </row>
        <row r="283">
          <cell r="C283">
            <v>10200</v>
          </cell>
          <cell r="D283" t="str">
            <v>MANAMADHA RAO</v>
          </cell>
          <cell r="E283">
            <v>101709382238</v>
          </cell>
          <cell r="F283" t="str">
            <v>MANTRI MANMADARAO</v>
          </cell>
        </row>
        <row r="284">
          <cell r="C284">
            <v>10422</v>
          </cell>
          <cell r="D284" t="str">
            <v>Simha chalam</v>
          </cell>
          <cell r="E284">
            <v>101873885594</v>
          </cell>
          <cell r="F284" t="str">
            <v>MENDA SIMHACHALAM</v>
          </cell>
        </row>
        <row r="285">
          <cell r="C285">
            <v>11658</v>
          </cell>
          <cell r="D285" t="str">
            <v>PULLARAO</v>
          </cell>
          <cell r="E285">
            <v>101154703591</v>
          </cell>
          <cell r="F285" t="str">
            <v>YAKKALA PULLARAO</v>
          </cell>
        </row>
        <row r="286">
          <cell r="C286">
            <v>10222</v>
          </cell>
          <cell r="D286" t="str">
            <v>A Srinivas</v>
          </cell>
          <cell r="E286">
            <v>101367022989</v>
          </cell>
          <cell r="F286" t="str">
            <v>ANAGANDULA SRINIVAS</v>
          </cell>
        </row>
        <row r="287">
          <cell r="C287">
            <v>11514</v>
          </cell>
          <cell r="D287" t="str">
            <v>JAGANMOHAN</v>
          </cell>
          <cell r="E287">
            <v>102213244802</v>
          </cell>
          <cell r="F287" t="str">
            <v>BADANA JAGAN MOHAN RAO</v>
          </cell>
        </row>
        <row r="288">
          <cell r="C288">
            <v>11288</v>
          </cell>
          <cell r="D288" t="str">
            <v>MD ABID</v>
          </cell>
          <cell r="E288">
            <v>101919631613</v>
          </cell>
          <cell r="F288" t="str">
            <v>MD ABID</v>
          </cell>
        </row>
        <row r="289">
          <cell r="C289">
            <v>11573</v>
          </cell>
          <cell r="D289" t="str">
            <v>VANAPATLA RAMCHAR</v>
          </cell>
          <cell r="E289">
            <v>102086307355</v>
          </cell>
          <cell r="F289" t="str">
            <v>VANAPATLA RAMCHARAN</v>
          </cell>
        </row>
        <row r="290">
          <cell r="C290">
            <v>10272</v>
          </cell>
          <cell r="D290" t="str">
            <v>N Ananad raju</v>
          </cell>
          <cell r="E290">
            <v>100752389798</v>
          </cell>
          <cell r="F290" t="str">
            <v>NATHI ANANDARAJU</v>
          </cell>
        </row>
        <row r="291">
          <cell r="C291">
            <v>10202</v>
          </cell>
          <cell r="D291" t="str">
            <v>SRIKANTH MALLIK</v>
          </cell>
          <cell r="E291">
            <v>101335348795</v>
          </cell>
          <cell r="F291" t="str">
            <v>SRIKANTA MALLICK</v>
          </cell>
        </row>
        <row r="292">
          <cell r="C292">
            <v>11138</v>
          </cell>
          <cell r="D292" t="str">
            <v>DEEPAK DAS</v>
          </cell>
          <cell r="E292">
            <v>102122808232</v>
          </cell>
          <cell r="F292" t="str">
            <v>DEEPAK DAS</v>
          </cell>
        </row>
        <row r="293">
          <cell r="C293">
            <v>11745</v>
          </cell>
          <cell r="D293" t="str">
            <v>Pranaya malik</v>
          </cell>
          <cell r="E293">
            <v>101716355791</v>
          </cell>
          <cell r="F293" t="str">
            <v>PRANAYA KUMAR MALIK</v>
          </cell>
        </row>
        <row r="294">
          <cell r="C294">
            <v>11908</v>
          </cell>
          <cell r="D294" t="str">
            <v>DEEPAK ROUT</v>
          </cell>
          <cell r="E294">
            <v>102041495695</v>
          </cell>
          <cell r="F294" t="str">
            <v>DEEPAK ROUT</v>
          </cell>
        </row>
        <row r="295">
          <cell r="C295">
            <v>11719</v>
          </cell>
          <cell r="D295" t="str">
            <v>Nishi kanta patna</v>
          </cell>
          <cell r="E295">
            <v>101654653316</v>
          </cell>
          <cell r="F295" t="str">
            <v>NISHIKANTA PATRA</v>
          </cell>
        </row>
        <row r="296">
          <cell r="C296">
            <v>11909</v>
          </cell>
          <cell r="D296" t="str">
            <v>RAMESH</v>
          </cell>
          <cell r="E296">
            <v>101637951357</v>
          </cell>
          <cell r="F296" t="str">
            <v>RAMESH CHANDRA MALIK</v>
          </cell>
        </row>
        <row r="297">
          <cell r="C297">
            <v>10209</v>
          </cell>
          <cell r="D297" t="str">
            <v>BHUBAN MALIK</v>
          </cell>
          <cell r="E297">
            <v>101712576210</v>
          </cell>
          <cell r="F297" t="str">
            <v>BHUBAN MALIK</v>
          </cell>
        </row>
        <row r="298">
          <cell r="C298">
            <v>10936</v>
          </cell>
          <cell r="D298" t="str">
            <v>A PURNA CHANDRA RAO</v>
          </cell>
          <cell r="E298">
            <v>101970363135</v>
          </cell>
          <cell r="F298" t="str">
            <v>AKULA PURNACHANDRA RAO</v>
          </cell>
        </row>
        <row r="299">
          <cell r="C299">
            <v>11740</v>
          </cell>
          <cell r="D299" t="str">
            <v>T.INDHU</v>
          </cell>
          <cell r="E299">
            <v>102267306945</v>
          </cell>
          <cell r="F299" t="str">
            <v>TALLA INDHU</v>
          </cell>
        </row>
        <row r="300">
          <cell r="C300">
            <v>11833</v>
          </cell>
          <cell r="D300" t="str">
            <v>P.SURYA</v>
          </cell>
          <cell r="E300">
            <v>102253632464</v>
          </cell>
          <cell r="F300" t="str">
            <v>PAMIDIPATI SURYA</v>
          </cell>
        </row>
        <row r="301">
          <cell r="C301">
            <v>11853</v>
          </cell>
          <cell r="D301" t="str">
            <v>VENKATESWARA RAO</v>
          </cell>
          <cell r="E301">
            <v>102300205197</v>
          </cell>
          <cell r="F301" t="str">
            <v>MALLADHI VENKATESWARARAO</v>
          </cell>
        </row>
        <row r="302">
          <cell r="C302">
            <v>11850</v>
          </cell>
          <cell r="D302" t="str">
            <v>RAKESH</v>
          </cell>
          <cell r="E302">
            <v>102207688162</v>
          </cell>
          <cell r="F302" t="str">
            <v>PUPPALA RAKESH</v>
          </cell>
        </row>
        <row r="303">
          <cell r="C303">
            <v>11322</v>
          </cell>
          <cell r="D303" t="str">
            <v>RAVI NAIK</v>
          </cell>
          <cell r="E303">
            <v>102172260908</v>
          </cell>
          <cell r="F303" t="str">
            <v>RAVI NAIK</v>
          </cell>
        </row>
        <row r="304">
          <cell r="C304">
            <v>11192</v>
          </cell>
          <cell r="D304" t="str">
            <v>M.Nikhil</v>
          </cell>
          <cell r="E304">
            <v>102136409098</v>
          </cell>
          <cell r="F304" t="str">
            <v>MALLEPOGU NIKHIL</v>
          </cell>
        </row>
        <row r="305">
          <cell r="C305">
            <v>11194</v>
          </cell>
          <cell r="D305" t="str">
            <v>M.BAL KRISHNA</v>
          </cell>
          <cell r="E305">
            <v>102136414959</v>
          </cell>
          <cell r="F305" t="str">
            <v>MUKALLA BALAKRUSHNA</v>
          </cell>
        </row>
        <row r="306">
          <cell r="C306">
            <v>10476</v>
          </cell>
          <cell r="D306" t="str">
            <v>Pawan Kalyan</v>
          </cell>
          <cell r="E306">
            <v>101477591305</v>
          </cell>
          <cell r="F306" t="str">
            <v>KALINGA LEELA KRISHNA DURGA PAVAN KALYAN</v>
          </cell>
        </row>
        <row r="307">
          <cell r="C307">
            <v>11163</v>
          </cell>
          <cell r="D307" t="str">
            <v>AKHIL</v>
          </cell>
          <cell r="E307">
            <v>102130298813</v>
          </cell>
          <cell r="F307" t="str">
            <v>M AKHIL</v>
          </cell>
        </row>
        <row r="308">
          <cell r="C308">
            <v>11216</v>
          </cell>
          <cell r="D308" t="str">
            <v>DILESHWAR</v>
          </cell>
          <cell r="E308">
            <v>102141829556</v>
          </cell>
          <cell r="F308" t="str">
            <v>MENDA DILLESWARA RAO</v>
          </cell>
        </row>
        <row r="309">
          <cell r="C309">
            <v>10459</v>
          </cell>
          <cell r="D309" t="str">
            <v>Shiva Krishna</v>
          </cell>
          <cell r="E309">
            <v>101866113509</v>
          </cell>
          <cell r="F309" t="str">
            <v>ANISETTI SIVA KRISHNA</v>
          </cell>
        </row>
        <row r="310">
          <cell r="C310">
            <v>11160</v>
          </cell>
          <cell r="D310" t="str">
            <v>M MOHAN RAO</v>
          </cell>
          <cell r="E310">
            <v>102130074981</v>
          </cell>
          <cell r="F310" t="str">
            <v>MUKALLA MOHANA RAO</v>
          </cell>
        </row>
        <row r="311">
          <cell r="C311">
            <v>11238</v>
          </cell>
          <cell r="D311" t="str">
            <v>VENKATESWARA RAO</v>
          </cell>
          <cell r="E311">
            <v>101810780878</v>
          </cell>
          <cell r="F311" t="str">
            <v>AMPOLU VENKATESWARA RAO</v>
          </cell>
        </row>
        <row r="312">
          <cell r="C312">
            <v>11786</v>
          </cell>
          <cell r="D312" t="str">
            <v>Yogeswarao</v>
          </cell>
          <cell r="E312">
            <v>102275283452</v>
          </cell>
          <cell r="F312" t="str">
            <v>BORA YOGESWARA RAO</v>
          </cell>
        </row>
        <row r="313">
          <cell r="C313">
            <v>11892</v>
          </cell>
          <cell r="D313" t="str">
            <v>D.VENKATA KUMAR</v>
          </cell>
          <cell r="E313">
            <v>102306090741</v>
          </cell>
          <cell r="F313" t="str">
            <v>DERANGULA VENKATA KUMAR</v>
          </cell>
        </row>
        <row r="314">
          <cell r="C314">
            <v>10786</v>
          </cell>
          <cell r="D314" t="str">
            <v>Yesu RAJU</v>
          </cell>
          <cell r="E314">
            <v>101859193285</v>
          </cell>
          <cell r="F314" t="str">
            <v>LELLA YESU RAJU</v>
          </cell>
        </row>
        <row r="315">
          <cell r="C315">
            <v>10658</v>
          </cell>
          <cell r="D315" t="str">
            <v>P.RAVI</v>
          </cell>
          <cell r="E315">
            <v>101169817246</v>
          </cell>
          <cell r="F315" t="str">
            <v>PARLAPALLY RAVI</v>
          </cell>
        </row>
        <row r="316">
          <cell r="C316">
            <v>11810</v>
          </cell>
          <cell r="D316" t="str">
            <v>V.Ramesh</v>
          </cell>
          <cell r="E316">
            <v>101521765519</v>
          </cell>
          <cell r="F316" t="str">
            <v>VEMULA RAMESH</v>
          </cell>
        </row>
        <row r="317">
          <cell r="C317">
            <v>11351</v>
          </cell>
          <cell r="D317" t="str">
            <v>M Sudhkar</v>
          </cell>
          <cell r="E317">
            <v>101878254820</v>
          </cell>
          <cell r="F317" t="str">
            <v>MYLA SUDHAKAR</v>
          </cell>
        </row>
        <row r="318">
          <cell r="C318">
            <v>10200</v>
          </cell>
          <cell r="D318" t="str">
            <v>M.MANMADHA RAO</v>
          </cell>
          <cell r="E318">
            <v>101709382238</v>
          </cell>
          <cell r="F318" t="str">
            <v>MANTRI MANMADARAO</v>
          </cell>
        </row>
        <row r="319">
          <cell r="C319">
            <v>10311</v>
          </cell>
          <cell r="D319" t="str">
            <v>RAVI KUMAR.B.S</v>
          </cell>
          <cell r="E319">
            <v>101497454382</v>
          </cell>
          <cell r="F319" t="str">
            <v>RAVIKUMAR B S</v>
          </cell>
        </row>
        <row r="320">
          <cell r="C320">
            <v>10422</v>
          </cell>
          <cell r="D320" t="str">
            <v>Simhachalam</v>
          </cell>
          <cell r="E320">
            <v>101873885594</v>
          </cell>
          <cell r="F320" t="str">
            <v>MENDA SIMHACHALAM</v>
          </cell>
        </row>
        <row r="321">
          <cell r="C321">
            <v>11658</v>
          </cell>
          <cell r="D321" t="str">
            <v>PULLARAO</v>
          </cell>
          <cell r="E321">
            <v>101154703591</v>
          </cell>
          <cell r="F321" t="str">
            <v>YAKKALA PULLARAO</v>
          </cell>
        </row>
        <row r="322">
          <cell r="C322">
            <v>10141</v>
          </cell>
          <cell r="D322" t="str">
            <v>Surigi Anjaneyulu</v>
          </cell>
          <cell r="E322">
            <v>101108164847</v>
          </cell>
          <cell r="F322" t="str">
            <v>SURIGI ANJANEYULU</v>
          </cell>
        </row>
        <row r="323">
          <cell r="C323">
            <v>10265</v>
          </cell>
          <cell r="D323" t="str">
            <v>SANTHOSH</v>
          </cell>
          <cell r="E323">
            <v>101767119796</v>
          </cell>
          <cell r="F323" t="str">
            <v>PONAMANTI SANTHOSH</v>
          </cell>
        </row>
        <row r="324">
          <cell r="C324">
            <v>10476</v>
          </cell>
          <cell r="D324" t="str">
            <v>K. Pawan kalyan</v>
          </cell>
          <cell r="E324">
            <v>101477591305</v>
          </cell>
          <cell r="F324" t="str">
            <v>KALINGA LEELA KRISHNA DURGA PAVAN KALYAN</v>
          </cell>
        </row>
        <row r="325">
          <cell r="C325">
            <v>11163</v>
          </cell>
          <cell r="D325" t="str">
            <v>AKHIL</v>
          </cell>
          <cell r="E325">
            <v>102130298813</v>
          </cell>
          <cell r="F325" t="str">
            <v>M AKHIL</v>
          </cell>
        </row>
        <row r="326">
          <cell r="C326">
            <v>11216</v>
          </cell>
          <cell r="D326" t="str">
            <v>DILLESWARA RAO</v>
          </cell>
          <cell r="E326">
            <v>102141829556</v>
          </cell>
          <cell r="F326" t="str">
            <v>MENDA DILLESWARA RAO</v>
          </cell>
        </row>
        <row r="327">
          <cell r="C327">
            <v>11192</v>
          </cell>
          <cell r="D327" t="str">
            <v>M.Nikhil</v>
          </cell>
          <cell r="E327">
            <v>102136409098</v>
          </cell>
          <cell r="F327" t="str">
            <v>MALLEPOGU NIKHIL</v>
          </cell>
        </row>
        <row r="328">
          <cell r="C328">
            <v>11654</v>
          </cell>
          <cell r="D328" t="str">
            <v>B.NARSIMHA</v>
          </cell>
          <cell r="E328">
            <v>102246116832</v>
          </cell>
          <cell r="F328" t="str">
            <v>BOOKA NARASIMHA</v>
          </cell>
        </row>
        <row r="329">
          <cell r="C329">
            <v>10209</v>
          </cell>
          <cell r="D329" t="str">
            <v>Bhuban Malik</v>
          </cell>
          <cell r="E329">
            <v>101712576210</v>
          </cell>
          <cell r="F329" t="str">
            <v>BHUBAN MALIK</v>
          </cell>
        </row>
        <row r="330">
          <cell r="C330">
            <v>11695</v>
          </cell>
          <cell r="D330" t="str">
            <v>LAKSHMI PRASANA</v>
          </cell>
          <cell r="E330">
            <v>102009169745</v>
          </cell>
          <cell r="F330" t="str">
            <v>YELLAVULA LAXMI PRASANNA</v>
          </cell>
        </row>
        <row r="331">
          <cell r="C331">
            <v>11853</v>
          </cell>
          <cell r="D331" t="str">
            <v>M. VENKATESWARA RAO</v>
          </cell>
          <cell r="E331">
            <v>102300205197</v>
          </cell>
          <cell r="F331" t="str">
            <v>MALLADHI VENKATESWARARAO</v>
          </cell>
        </row>
        <row r="332">
          <cell r="C332">
            <v>10936</v>
          </cell>
          <cell r="D332" t="str">
            <v>PURNA CHANDRA RAO</v>
          </cell>
          <cell r="E332">
            <v>101970363135</v>
          </cell>
          <cell r="F332" t="str">
            <v>AKULA PURNACHANDRA RAO</v>
          </cell>
        </row>
        <row r="333">
          <cell r="C333">
            <v>10272</v>
          </cell>
          <cell r="D333" t="str">
            <v>ANANDA RAJU</v>
          </cell>
          <cell r="E333">
            <v>100752389798</v>
          </cell>
          <cell r="F333" t="str">
            <v>NATHI ANANDARAJU</v>
          </cell>
        </row>
        <row r="334">
          <cell r="C334">
            <v>11909</v>
          </cell>
          <cell r="D334" t="str">
            <v>RAMESH</v>
          </cell>
          <cell r="E334">
            <v>101637951357</v>
          </cell>
          <cell r="F334" t="str">
            <v>RAMESH CHANDRA MALIK</v>
          </cell>
        </row>
        <row r="335">
          <cell r="C335">
            <v>11908</v>
          </cell>
          <cell r="D335" t="str">
            <v>DEEPAK ROUT</v>
          </cell>
          <cell r="E335">
            <v>102041495695</v>
          </cell>
          <cell r="F335" t="str">
            <v>DEEPAK ROUT</v>
          </cell>
        </row>
        <row r="336">
          <cell r="C336">
            <v>11719</v>
          </cell>
          <cell r="D336" t="str">
            <v>NISHIKANTA PATRA</v>
          </cell>
          <cell r="E336">
            <v>101654653316</v>
          </cell>
          <cell r="F336" t="str">
            <v>NISHIKANTA PATRA</v>
          </cell>
        </row>
        <row r="337">
          <cell r="C337">
            <v>11721</v>
          </cell>
          <cell r="D337" t="str">
            <v>CHINMAY MALIK</v>
          </cell>
          <cell r="E337">
            <v>101314245671</v>
          </cell>
          <cell r="F337" t="str">
            <v>CHINMAY MALIK</v>
          </cell>
        </row>
        <row r="338">
          <cell r="C338">
            <v>10795</v>
          </cell>
          <cell r="D338" t="str">
            <v>PRAKASH KUMAR MALIK</v>
          </cell>
          <cell r="E338">
            <v>101417484639</v>
          </cell>
          <cell r="F338" t="str">
            <v>PRAKASH KUMAR MALIK</v>
          </cell>
        </row>
        <row r="339">
          <cell r="C339">
            <v>10900</v>
          </cell>
          <cell r="D339" t="str">
            <v>SHASHI KANTA PATRA</v>
          </cell>
          <cell r="E339">
            <v>102070500328</v>
          </cell>
          <cell r="F339" t="str">
            <v>SHASHIKANTA PATRA</v>
          </cell>
        </row>
        <row r="340">
          <cell r="C340">
            <v>11514</v>
          </cell>
          <cell r="D340" t="str">
            <v>JAGANMOHAN</v>
          </cell>
          <cell r="E340">
            <v>102213244802</v>
          </cell>
          <cell r="F340" t="str">
            <v>BADANA JAGAN MOHAN RAO</v>
          </cell>
        </row>
        <row r="341">
          <cell r="C341">
            <v>11678</v>
          </cell>
          <cell r="D341" t="str">
            <v>UMA MAHESH</v>
          </cell>
          <cell r="E341">
            <v>101887869810</v>
          </cell>
          <cell r="F341" t="str">
            <v>MANTRI UMAMAHESH</v>
          </cell>
        </row>
        <row r="342">
          <cell r="C342">
            <v>11733</v>
          </cell>
          <cell r="D342" t="str">
            <v xml:space="preserve">MD.RISALAT </v>
          </cell>
          <cell r="E342">
            <v>102270415482</v>
          </cell>
          <cell r="F342" t="str">
            <v>MD RISALAT ALAM</v>
          </cell>
        </row>
        <row r="343">
          <cell r="C343">
            <v>11354</v>
          </cell>
          <cell r="D343" t="str">
            <v>Shafik Ansari</v>
          </cell>
          <cell r="E343">
            <v>102190804913</v>
          </cell>
          <cell r="F343" t="str">
            <v>SHAFIQ ANSARI</v>
          </cell>
        </row>
        <row r="344">
          <cell r="C344">
            <v>10459</v>
          </cell>
          <cell r="D344" t="str">
            <v>A.SIVA KRISHNA</v>
          </cell>
          <cell r="E344">
            <v>101866113509</v>
          </cell>
          <cell r="F344" t="str">
            <v>ANISETTI SIVA KRISHNA</v>
          </cell>
        </row>
        <row r="345">
          <cell r="C345">
            <v>11160</v>
          </cell>
          <cell r="D345" t="str">
            <v>MOHAN RAO</v>
          </cell>
          <cell r="E345">
            <v>102130074981</v>
          </cell>
          <cell r="F345" t="str">
            <v>MUKALLA MOHANA RAO</v>
          </cell>
        </row>
        <row r="346">
          <cell r="C346">
            <v>10222</v>
          </cell>
          <cell r="D346" t="str">
            <v>A. SRINIVAS</v>
          </cell>
          <cell r="E346">
            <v>101367022989</v>
          </cell>
          <cell r="F346" t="str">
            <v>ANAGANDULA SRINIVAS</v>
          </cell>
        </row>
        <row r="347">
          <cell r="C347">
            <v>11656</v>
          </cell>
          <cell r="D347" t="str">
            <v>ALI ANWAR</v>
          </cell>
          <cell r="E347">
            <v>102248051102</v>
          </cell>
          <cell r="F347" t="str">
            <v>ALI ANWAR</v>
          </cell>
        </row>
        <row r="348">
          <cell r="C348">
            <v>11227</v>
          </cell>
          <cell r="D348" t="str">
            <v>ABHILASH</v>
          </cell>
          <cell r="E348">
            <v>102150248606</v>
          </cell>
          <cell r="F348" t="str">
            <v>SANNILLA ABHILASH</v>
          </cell>
        </row>
        <row r="349">
          <cell r="C349">
            <v>11278</v>
          </cell>
          <cell r="D349" t="str">
            <v>KRISHNA</v>
          </cell>
          <cell r="E349">
            <v>100323983861</v>
          </cell>
          <cell r="F349" t="str">
            <v>S.KRISHNA</v>
          </cell>
        </row>
        <row r="350">
          <cell r="C350">
            <v>10038</v>
          </cell>
          <cell r="D350" t="str">
            <v>Mantri Ramu</v>
          </cell>
          <cell r="E350">
            <v>100920328752</v>
          </cell>
          <cell r="F350" t="str">
            <v>MANTRI RAMU</v>
          </cell>
        </row>
        <row r="351">
          <cell r="C351">
            <v>11215</v>
          </cell>
          <cell r="D351" t="str">
            <v>K.RAMESH</v>
          </cell>
          <cell r="E351">
            <v>101817835987</v>
          </cell>
          <cell r="F351" t="str">
            <v>KOMMU RAMESH</v>
          </cell>
        </row>
        <row r="352">
          <cell r="C352">
            <v>10153</v>
          </cell>
          <cell r="D352" t="str">
            <v>L. HARI BABU</v>
          </cell>
          <cell r="E352">
            <v>101388576613</v>
          </cell>
          <cell r="F352" t="str">
            <v>LUKULAPU HARI</v>
          </cell>
        </row>
        <row r="353">
          <cell r="C353">
            <v>10517</v>
          </cell>
          <cell r="D353" t="str">
            <v>NITESH</v>
          </cell>
          <cell r="E353">
            <v>101491025422</v>
          </cell>
          <cell r="F353" t="str">
            <v>NITESH</v>
          </cell>
        </row>
        <row r="354">
          <cell r="C354">
            <v>11882</v>
          </cell>
          <cell r="D354" t="str">
            <v>MOHAN (B7)</v>
          </cell>
          <cell r="E354">
            <v>102214294561</v>
          </cell>
          <cell r="F354" t="str">
            <v>AADI REDDY MOHAN REDDY</v>
          </cell>
        </row>
        <row r="355">
          <cell r="C355">
            <v>10696</v>
          </cell>
          <cell r="D355" t="str">
            <v>ASIF RAZA</v>
          </cell>
          <cell r="E355">
            <v>101794580140</v>
          </cell>
          <cell r="F355" t="str">
            <v>MD ASIF</v>
          </cell>
        </row>
        <row r="356">
          <cell r="C356">
            <v>10114</v>
          </cell>
          <cell r="D356" t="str">
            <v>RAWOOF KHAN</v>
          </cell>
          <cell r="E356">
            <v>101636601289</v>
          </cell>
          <cell r="F356" t="str">
            <v>LOBY PATAN RAWOOF KHAN</v>
          </cell>
        </row>
        <row r="357">
          <cell r="C357">
            <v>10848</v>
          </cell>
          <cell r="D357" t="str">
            <v>Samendra dalai</v>
          </cell>
          <cell r="E357">
            <v>102062806914</v>
          </cell>
          <cell r="F357" t="str">
            <v>SAUMENDRA DALAI</v>
          </cell>
        </row>
        <row r="358">
          <cell r="C358">
            <v>11238</v>
          </cell>
          <cell r="D358" t="str">
            <v>A.VENKATESH</v>
          </cell>
          <cell r="E358">
            <v>101810780878</v>
          </cell>
          <cell r="F358" t="str">
            <v>AMPOLU VENKATESWARA RAO</v>
          </cell>
        </row>
        <row r="359">
          <cell r="C359">
            <v>11319</v>
          </cell>
          <cell r="D359" t="str">
            <v>DUDIMETLA LARENCE</v>
          </cell>
          <cell r="E359">
            <v>102171784337</v>
          </cell>
          <cell r="F359" t="str">
            <v>DUDIMETLA LARENCE</v>
          </cell>
        </row>
        <row r="360">
          <cell r="C360">
            <v>11350</v>
          </cell>
          <cell r="D360" t="str">
            <v>A.BALAKRISHNA</v>
          </cell>
          <cell r="E360">
            <v>101745131621</v>
          </cell>
          <cell r="F360" t="str">
            <v>AMPOLU BALAKRISHNA</v>
          </cell>
        </row>
        <row r="361">
          <cell r="C361">
            <v>10717</v>
          </cell>
          <cell r="D361" t="str">
            <v>V. HEMANTH (B7)</v>
          </cell>
          <cell r="E361">
            <v>102022163149</v>
          </cell>
          <cell r="F361" t="str">
            <v>VASA HEMANTH</v>
          </cell>
        </row>
        <row r="362">
          <cell r="C362">
            <v>10459</v>
          </cell>
          <cell r="D362" t="str">
            <v>A.SIVA KRISHNA (B3)</v>
          </cell>
          <cell r="E362">
            <v>101866113509</v>
          </cell>
          <cell r="F362" t="str">
            <v>ANISETTI SIVA KRISHNA</v>
          </cell>
        </row>
        <row r="363">
          <cell r="C363">
            <v>11160</v>
          </cell>
          <cell r="D363" t="str">
            <v>M. MOHAN RAO (B3)</v>
          </cell>
          <cell r="E363">
            <v>102130074981</v>
          </cell>
          <cell r="F363" t="str">
            <v>MUKALLA MOHANA RAO</v>
          </cell>
        </row>
        <row r="364">
          <cell r="C364">
            <v>10010</v>
          </cell>
          <cell r="D364" t="str">
            <v>Y.SAIDAKAR RAO (B7)</v>
          </cell>
          <cell r="E364">
            <v>100552846122</v>
          </cell>
          <cell r="F364" t="str">
            <v>YADAGIRI SAIDAKARA RAO</v>
          </cell>
        </row>
        <row r="365">
          <cell r="C365">
            <v>11685</v>
          </cell>
          <cell r="D365" t="str">
            <v>CH. RAJU</v>
          </cell>
          <cell r="E365">
            <v>102257629767</v>
          </cell>
          <cell r="F365" t="str">
            <v>CHILKA RAJA</v>
          </cell>
        </row>
        <row r="366">
          <cell r="C366">
            <v>10024</v>
          </cell>
          <cell r="D366" t="str">
            <v>Dillip muduli</v>
          </cell>
          <cell r="E366">
            <v>100552673652</v>
          </cell>
          <cell r="F366" t="str">
            <v>DILLIP MUDULI</v>
          </cell>
        </row>
        <row r="367">
          <cell r="C367">
            <v>10034</v>
          </cell>
          <cell r="D367" t="str">
            <v>Jakkamsetti DurgaPrasad</v>
          </cell>
          <cell r="E367">
            <v>100552892940</v>
          </cell>
          <cell r="F367" t="str">
            <v>JAKKAMSETTI DURGAPRASAD</v>
          </cell>
        </row>
        <row r="368">
          <cell r="C368">
            <v>11567</v>
          </cell>
          <cell r="D368" t="str">
            <v>M.VENKATA RAMANA</v>
          </cell>
          <cell r="E368">
            <v>101975985629</v>
          </cell>
          <cell r="F368" t="str">
            <v>MUDDADA VENKATARAMANA</v>
          </cell>
        </row>
        <row r="369">
          <cell r="C369">
            <v>11574</v>
          </cell>
          <cell r="D369" t="str">
            <v>UMESH MALIK</v>
          </cell>
          <cell r="E369">
            <v>101482114278</v>
          </cell>
          <cell r="F369" t="str">
            <v>UMESH MAHALIK</v>
          </cell>
        </row>
        <row r="370">
          <cell r="C370">
            <v>11128</v>
          </cell>
          <cell r="D370" t="str">
            <v>SRIDHAR MALIK (B7)</v>
          </cell>
          <cell r="E370">
            <v>102012721397</v>
          </cell>
          <cell r="F370" t="str">
            <v>SRIDHAR MALIK</v>
          </cell>
        </row>
        <row r="371">
          <cell r="C371">
            <v>11895</v>
          </cell>
          <cell r="D371" t="str">
            <v>AKASH DAS</v>
          </cell>
          <cell r="E371">
            <v>102306652214</v>
          </cell>
          <cell r="F371" t="str">
            <v>AKASH DAS</v>
          </cell>
        </row>
        <row r="372">
          <cell r="C372">
            <v>11868</v>
          </cell>
          <cell r="D372" t="str">
            <v>PABITRA (B7)</v>
          </cell>
          <cell r="E372">
            <v>101318197243</v>
          </cell>
          <cell r="F372" t="str">
            <v>PABITRA KUMAR RAUT</v>
          </cell>
        </row>
        <row r="373">
          <cell r="C373">
            <v>11097</v>
          </cell>
          <cell r="D373" t="str">
            <v>DIPAK (B7)</v>
          </cell>
          <cell r="E373">
            <v>102031497967</v>
          </cell>
          <cell r="F373" t="str">
            <v>DIPAK KUMAR MALIK</v>
          </cell>
        </row>
        <row r="374">
          <cell r="C374">
            <v>11743</v>
          </cell>
          <cell r="D374" t="str">
            <v>MANOJ MALIK</v>
          </cell>
          <cell r="E374">
            <v>102269861992</v>
          </cell>
          <cell r="F374" t="str">
            <v>MANOJ MALIK</v>
          </cell>
        </row>
        <row r="375">
          <cell r="C375">
            <v>10575</v>
          </cell>
          <cell r="D375" t="str">
            <v xml:space="preserve">M . Santhosh </v>
          </cell>
          <cell r="E375">
            <v>101965831923</v>
          </cell>
          <cell r="F375" t="str">
            <v>MEGEDA SANTOSH</v>
          </cell>
        </row>
        <row r="376">
          <cell r="C376">
            <v>10539</v>
          </cell>
          <cell r="D376" t="str">
            <v>MD.IBRAHIM</v>
          </cell>
          <cell r="E376">
            <v>101165930889</v>
          </cell>
          <cell r="F376" t="str">
            <v>MOHD IBRAHIM</v>
          </cell>
        </row>
        <row r="377">
          <cell r="C377">
            <v>11316</v>
          </cell>
          <cell r="D377" t="str">
            <v>RAYUDU JAYAKRISHNA</v>
          </cell>
          <cell r="E377">
            <v>102170767835</v>
          </cell>
          <cell r="F377" t="str">
            <v>RAYUDU JAYAKRISHNA</v>
          </cell>
        </row>
        <row r="378">
          <cell r="C378">
            <v>10837</v>
          </cell>
          <cell r="D378" t="str">
            <v>Palli Srihari Rao</v>
          </cell>
          <cell r="E378">
            <v>102058687472</v>
          </cell>
          <cell r="F378" t="str">
            <v>PALLI SRI HARI RAO</v>
          </cell>
        </row>
        <row r="379">
          <cell r="C379">
            <v>11428</v>
          </cell>
          <cell r="D379" t="str">
            <v>M.SASI KIRAN</v>
          </cell>
          <cell r="E379">
            <v>102062099865</v>
          </cell>
          <cell r="F379" t="str">
            <v>MADDALA SASI KIRAN</v>
          </cell>
        </row>
        <row r="380">
          <cell r="C380">
            <v>11663</v>
          </cell>
          <cell r="D380" t="str">
            <v>A.DURGA PRASAD (B7)</v>
          </cell>
          <cell r="E380">
            <v>101920469920</v>
          </cell>
          <cell r="F380" t="str">
            <v>AINAPURAPU DURGA PRASAD</v>
          </cell>
        </row>
        <row r="381">
          <cell r="C381">
            <v>11688</v>
          </cell>
          <cell r="D381" t="str">
            <v>B.UDAY KUMAR</v>
          </cell>
          <cell r="E381">
            <v>101867946815</v>
          </cell>
          <cell r="F381" t="str">
            <v>BURRA UDAYKUMAR</v>
          </cell>
        </row>
        <row r="382">
          <cell r="C382">
            <v>11519</v>
          </cell>
          <cell r="D382" t="str">
            <v>TIRUPATAMMA</v>
          </cell>
          <cell r="E382">
            <v>102073228879</v>
          </cell>
          <cell r="F382" t="str">
            <v>VEERABOINA TIRUPATAMMA</v>
          </cell>
        </row>
        <row r="383">
          <cell r="C383">
            <v>11176</v>
          </cell>
          <cell r="D383" t="str">
            <v>AMITH BEHERA</v>
          </cell>
          <cell r="E383">
            <v>101202926095</v>
          </cell>
          <cell r="F383" t="str">
            <v>AMIT  KUMAR BEHERA</v>
          </cell>
        </row>
        <row r="384">
          <cell r="C384">
            <v>11835</v>
          </cell>
          <cell r="D384" t="str">
            <v>S. SHASHI KUMAR</v>
          </cell>
          <cell r="E384">
            <v>102231957374</v>
          </cell>
          <cell r="F384" t="str">
            <v>SIRIPURAM SHASHI KUMAR</v>
          </cell>
        </row>
        <row r="385">
          <cell r="C385">
            <v>11807</v>
          </cell>
          <cell r="D385" t="str">
            <v xml:space="preserve">B.ASHOK (B7) </v>
          </cell>
          <cell r="E385">
            <v>102269508530</v>
          </cell>
          <cell r="F385" t="str">
            <v>BHUKYA ASHOK NAYAK</v>
          </cell>
        </row>
        <row r="386">
          <cell r="C386">
            <v>11709</v>
          </cell>
          <cell r="D386" t="str">
            <v>SUMANTH KUMAR</v>
          </cell>
          <cell r="E386">
            <v>102062098033</v>
          </cell>
          <cell r="F386" t="str">
            <v>MERUGU SUMANTH KUMAR</v>
          </cell>
        </row>
        <row r="387">
          <cell r="C387">
            <v>10631</v>
          </cell>
          <cell r="D387" t="str">
            <v>Bhupthi shiva</v>
          </cell>
          <cell r="E387">
            <v>101995909807</v>
          </cell>
          <cell r="F387" t="str">
            <v>BHUPATHI SHIVA</v>
          </cell>
        </row>
        <row r="388">
          <cell r="C388">
            <v>10705</v>
          </cell>
          <cell r="D388" t="str">
            <v>Uday kiran</v>
          </cell>
          <cell r="E388">
            <v>101957756383</v>
          </cell>
          <cell r="F388" t="str">
            <v>DHARAVATH UDAY KIRAN</v>
          </cell>
        </row>
        <row r="389">
          <cell r="C389">
            <v>11243</v>
          </cell>
          <cell r="D389" t="str">
            <v xml:space="preserve">N.VENKATESH </v>
          </cell>
          <cell r="E389">
            <v>102153853904</v>
          </cell>
          <cell r="F389" t="str">
            <v>NAMPALLI VENKATESH</v>
          </cell>
        </row>
        <row r="390">
          <cell r="C390">
            <v>11187</v>
          </cell>
          <cell r="D390" t="str">
            <v>G.SANDEEP</v>
          </cell>
          <cell r="E390">
            <v>102135391050</v>
          </cell>
          <cell r="F390" t="str">
            <v>GALI SANDEEP</v>
          </cell>
        </row>
        <row r="391">
          <cell r="C391">
            <v>11801</v>
          </cell>
          <cell r="D391" t="str">
            <v>B.JAGADEESH</v>
          </cell>
          <cell r="E391">
            <v>102286613800</v>
          </cell>
          <cell r="F391" t="str">
            <v>B JAGADEESHWAR REDDY</v>
          </cell>
        </row>
        <row r="392">
          <cell r="C392">
            <v>10939</v>
          </cell>
          <cell r="D392" t="str">
            <v>S.DHARMA TEJA (B7)</v>
          </cell>
          <cell r="E392">
            <v>102082995439</v>
          </cell>
          <cell r="F392" t="str">
            <v>SETTUM DHARMA TEJA</v>
          </cell>
        </row>
        <row r="393">
          <cell r="C393">
            <v>11867</v>
          </cell>
          <cell r="D393" t="str">
            <v>P.ABHISHEK</v>
          </cell>
          <cell r="E393">
            <v>102185168158</v>
          </cell>
          <cell r="F393" t="str">
            <v>PUNEM ABHISHEK</v>
          </cell>
        </row>
        <row r="394">
          <cell r="C394">
            <v>10313</v>
          </cell>
          <cell r="D394" t="str">
            <v>SURYA RAO</v>
          </cell>
          <cell r="E394">
            <v>100262651287</v>
          </cell>
          <cell r="F394" t="str">
            <v>PALIVELA SURYARAO</v>
          </cell>
        </row>
        <row r="395">
          <cell r="C395">
            <v>11493</v>
          </cell>
          <cell r="D395" t="str">
            <v>I.SIMHADRI</v>
          </cell>
          <cell r="E395">
            <v>102121152610</v>
          </cell>
          <cell r="F395" t="str">
            <v>INJARAPU SIMHADRI</v>
          </cell>
        </row>
        <row r="396">
          <cell r="C396">
            <v>11269</v>
          </cell>
          <cell r="D396" t="str">
            <v>RAHIM UDDIN</v>
          </cell>
          <cell r="E396">
            <v>102107467281</v>
          </cell>
          <cell r="F396" t="str">
            <v>RAHIM UDDIN LASKAR</v>
          </cell>
        </row>
        <row r="397">
          <cell r="C397">
            <v>11295</v>
          </cell>
          <cell r="D397" t="str">
            <v>P. POCHAIAH</v>
          </cell>
          <cell r="E397">
            <v>102027774854</v>
          </cell>
          <cell r="F397" t="str">
            <v>PEDDAGOLLA POCHAIAH</v>
          </cell>
        </row>
        <row r="398">
          <cell r="C398">
            <v>11919</v>
          </cell>
          <cell r="D398" t="str">
            <v xml:space="preserve">M. HARISH </v>
          </cell>
          <cell r="E398">
            <v>102312722370</v>
          </cell>
          <cell r="F398" t="str">
            <v>MATTA HAREESH</v>
          </cell>
        </row>
        <row r="399">
          <cell r="C399">
            <v>11270</v>
          </cell>
          <cell r="D399" t="str">
            <v>BAHARUL  ALOM</v>
          </cell>
          <cell r="E399">
            <v>101911049960</v>
          </cell>
          <cell r="F399" t="str">
            <v>BAHARUL ALOM BARBHUIYA</v>
          </cell>
        </row>
        <row r="400">
          <cell r="C400">
            <v>10114</v>
          </cell>
          <cell r="D400" t="str">
            <v>Loby Patan Rawoof Khan</v>
          </cell>
          <cell r="E400">
            <v>101636601289</v>
          </cell>
          <cell r="F400" t="str">
            <v>LOBY PATAN RAWOOF KHAN</v>
          </cell>
        </row>
        <row r="401">
          <cell r="C401">
            <v>10213</v>
          </cell>
          <cell r="D401" t="str">
            <v>Madhu sudhana rao</v>
          </cell>
          <cell r="E401">
            <v>100798107971</v>
          </cell>
          <cell r="F401" t="str">
            <v>S MADHUSUDANA RAO</v>
          </cell>
        </row>
        <row r="402">
          <cell r="C402">
            <v>10696</v>
          </cell>
          <cell r="D402" t="str">
            <v xml:space="preserve">Asif </v>
          </cell>
          <cell r="E402">
            <v>101794580140</v>
          </cell>
          <cell r="F402" t="str">
            <v>MD ASIF</v>
          </cell>
        </row>
        <row r="403">
          <cell r="C403">
            <v>10038</v>
          </cell>
          <cell r="D403" t="str">
            <v>M.RAMU(B6)</v>
          </cell>
          <cell r="E403">
            <v>100920328752</v>
          </cell>
          <cell r="F403" t="str">
            <v>MANTRI RAMU</v>
          </cell>
        </row>
        <row r="404">
          <cell r="C404">
            <v>10153</v>
          </cell>
          <cell r="D404" t="str">
            <v>L. HARI(B6)</v>
          </cell>
          <cell r="E404">
            <v>101388576613</v>
          </cell>
          <cell r="F404" t="str">
            <v>LUKULAPU HARI</v>
          </cell>
        </row>
        <row r="405">
          <cell r="C405">
            <v>11664</v>
          </cell>
          <cell r="D405" t="str">
            <v>CHINNA PRASAD</v>
          </cell>
          <cell r="E405">
            <v>101109014322</v>
          </cell>
          <cell r="F405" t="str">
            <v>JOGI CHINNA PRASAD</v>
          </cell>
        </row>
        <row r="406">
          <cell r="C406">
            <v>11882</v>
          </cell>
          <cell r="D406" t="str">
            <v>MOHAN REDDY</v>
          </cell>
          <cell r="E406">
            <v>102214294561</v>
          </cell>
          <cell r="F406" t="str">
            <v>AADI REDDY MOHAN REDDY</v>
          </cell>
        </row>
        <row r="407">
          <cell r="C407">
            <v>10517</v>
          </cell>
          <cell r="D407" t="str">
            <v>Nitesh(b6)</v>
          </cell>
          <cell r="E407">
            <v>101491025422</v>
          </cell>
          <cell r="F407" t="str">
            <v>NITESH</v>
          </cell>
        </row>
        <row r="408">
          <cell r="C408">
            <v>10717</v>
          </cell>
          <cell r="D408" t="str">
            <v>Hemanth</v>
          </cell>
          <cell r="E408">
            <v>102022163149</v>
          </cell>
          <cell r="F408" t="str">
            <v>VASA HEMANTH</v>
          </cell>
        </row>
        <row r="409">
          <cell r="C409">
            <v>11480</v>
          </cell>
          <cell r="D409" t="str">
            <v>J MAHENDAR</v>
          </cell>
          <cell r="E409">
            <v>101160795229</v>
          </cell>
          <cell r="F409" t="str">
            <v>JANGILI MAHENDAR</v>
          </cell>
        </row>
        <row r="410">
          <cell r="C410">
            <v>11350</v>
          </cell>
          <cell r="D410" t="str">
            <v>Balakrishna</v>
          </cell>
          <cell r="E410">
            <v>101745131621</v>
          </cell>
          <cell r="F410" t="str">
            <v>AMPOLU BALAKRISHNA</v>
          </cell>
        </row>
        <row r="411">
          <cell r="C411">
            <v>11319</v>
          </cell>
          <cell r="D411" t="str">
            <v>LARENCE</v>
          </cell>
          <cell r="E411">
            <v>102171784337</v>
          </cell>
          <cell r="F411" t="str">
            <v>DUDIMETLA LARENCE</v>
          </cell>
        </row>
        <row r="412">
          <cell r="C412">
            <v>10010</v>
          </cell>
          <cell r="D412" t="str">
            <v>SAIDA KARA RAO</v>
          </cell>
          <cell r="E412">
            <v>100552846122</v>
          </cell>
          <cell r="F412" t="str">
            <v>YADAGIRI SAIDAKARA RAO</v>
          </cell>
        </row>
        <row r="413">
          <cell r="C413">
            <v>11128</v>
          </cell>
          <cell r="D413" t="str">
            <v>SREEDHAR MALLIK</v>
          </cell>
          <cell r="E413">
            <v>102012721397</v>
          </cell>
          <cell r="F413" t="str">
            <v>SRIDHAR MALIK</v>
          </cell>
        </row>
        <row r="414">
          <cell r="C414">
            <v>10048</v>
          </cell>
          <cell r="D414" t="str">
            <v>Mohd Layeeq</v>
          </cell>
          <cell r="E414">
            <v>100589984388</v>
          </cell>
          <cell r="F414" t="str">
            <v>MOHD LAYEEQ</v>
          </cell>
        </row>
        <row r="415">
          <cell r="C415">
            <v>11097</v>
          </cell>
          <cell r="D415" t="str">
            <v>Deepak Kumar mailk</v>
          </cell>
          <cell r="E415">
            <v>102031497967</v>
          </cell>
          <cell r="F415" t="str">
            <v>DIPAK KUMAR MALIK</v>
          </cell>
        </row>
        <row r="416">
          <cell r="C416">
            <v>11923</v>
          </cell>
          <cell r="D416" t="str">
            <v xml:space="preserve">TITU MALIK </v>
          </cell>
          <cell r="E416">
            <v>101948320677</v>
          </cell>
          <cell r="F416" t="str">
            <v>TITU MALIK</v>
          </cell>
        </row>
        <row r="417">
          <cell r="C417">
            <v>11920</v>
          </cell>
          <cell r="D417" t="str">
            <v>LAXMIDHAR ROUT</v>
          </cell>
          <cell r="E417">
            <v>102069380333</v>
          </cell>
          <cell r="F417" t="str">
            <v>LAXMIDHAR ROUT</v>
          </cell>
        </row>
        <row r="418">
          <cell r="C418">
            <v>10575</v>
          </cell>
          <cell r="D418" t="str">
            <v>M.SANTHOSH (B6)</v>
          </cell>
          <cell r="E418">
            <v>101965831923</v>
          </cell>
          <cell r="F418" t="str">
            <v>MEGEDA SANTOSH</v>
          </cell>
        </row>
        <row r="419">
          <cell r="C419">
            <v>11895</v>
          </cell>
          <cell r="D419" t="str">
            <v>AKASH(B6)</v>
          </cell>
          <cell r="E419">
            <v>102306652214</v>
          </cell>
          <cell r="F419" t="str">
            <v>AKASH DAS</v>
          </cell>
        </row>
        <row r="420">
          <cell r="C420">
            <v>11868</v>
          </cell>
          <cell r="D420" t="str">
            <v>PABITRA KUMAR ROUT</v>
          </cell>
          <cell r="E420">
            <v>101318197243</v>
          </cell>
          <cell r="F420" t="str">
            <v>PABITRA KUMAR RAUT</v>
          </cell>
        </row>
        <row r="421">
          <cell r="C421">
            <v>11588</v>
          </cell>
          <cell r="D421" t="str">
            <v>ARJUN BEHRA</v>
          </cell>
          <cell r="E421">
            <v>101800942640</v>
          </cell>
          <cell r="F421" t="str">
            <v>ARJUN BEHERA</v>
          </cell>
        </row>
        <row r="422">
          <cell r="C422">
            <v>11854</v>
          </cell>
          <cell r="D422" t="str">
            <v>Durga prasad</v>
          </cell>
          <cell r="E422">
            <v>101572307067</v>
          </cell>
          <cell r="F422" t="str">
            <v>DEVARAKONDA DURGAPRASAD</v>
          </cell>
        </row>
        <row r="423">
          <cell r="C423">
            <v>11807</v>
          </cell>
          <cell r="D423" t="str">
            <v>B.Ashok</v>
          </cell>
          <cell r="E423">
            <v>102269508530</v>
          </cell>
          <cell r="F423" t="str">
            <v>BHUKYA ASHOK NAYAK</v>
          </cell>
        </row>
        <row r="424">
          <cell r="C424">
            <v>11637</v>
          </cell>
          <cell r="D424" t="str">
            <v>VENKANTA SAI</v>
          </cell>
          <cell r="E424">
            <v>101970971718</v>
          </cell>
          <cell r="F424" t="str">
            <v>GARIKIPATI VENKATA SAI KUMAR</v>
          </cell>
        </row>
        <row r="425">
          <cell r="C425">
            <v>11709</v>
          </cell>
          <cell r="D425" t="str">
            <v>M.SUMANTH(B6)</v>
          </cell>
          <cell r="E425">
            <v>102062098033</v>
          </cell>
          <cell r="F425" t="str">
            <v>MERUGU SUMANTH KUMAR</v>
          </cell>
        </row>
        <row r="426">
          <cell r="C426">
            <v>11871</v>
          </cell>
          <cell r="D426" t="str">
            <v>K.Kamala</v>
          </cell>
          <cell r="E426">
            <v>102284073492</v>
          </cell>
          <cell r="F426" t="str">
            <v>KALAPALA KAMALA KUMARI</v>
          </cell>
        </row>
        <row r="427">
          <cell r="C427">
            <v>10526</v>
          </cell>
          <cell r="D427" t="str">
            <v>K.RAMBABU</v>
          </cell>
          <cell r="E427">
            <v>101942974458</v>
          </cell>
          <cell r="F427" t="str">
            <v>KUKKALA RAMBABU</v>
          </cell>
        </row>
        <row r="428">
          <cell r="C428">
            <v>11835</v>
          </cell>
          <cell r="D428" t="str">
            <v>SHASHI KUMAR(B6)</v>
          </cell>
          <cell r="E428">
            <v>102231957374</v>
          </cell>
          <cell r="F428" t="str">
            <v>SIRIPURAM SHASHI KUMAR</v>
          </cell>
        </row>
        <row r="429">
          <cell r="C429">
            <v>10313</v>
          </cell>
          <cell r="D429" t="str">
            <v>P. Surya Rao</v>
          </cell>
          <cell r="E429">
            <v>100262651287</v>
          </cell>
          <cell r="F429" t="str">
            <v>PALIVELA SURYARAO</v>
          </cell>
        </row>
        <row r="430">
          <cell r="C430">
            <v>10939</v>
          </cell>
          <cell r="D430" t="str">
            <v>Dharma Teja</v>
          </cell>
          <cell r="E430">
            <v>102082995439</v>
          </cell>
          <cell r="F430" t="str">
            <v>SETTUM DHARMA TEJA</v>
          </cell>
        </row>
        <row r="431">
          <cell r="C431">
            <v>11187</v>
          </cell>
          <cell r="D431" t="str">
            <v>G SANDEEP</v>
          </cell>
          <cell r="E431">
            <v>102135391050</v>
          </cell>
          <cell r="F431" t="str">
            <v>GALI SANDEEP</v>
          </cell>
        </row>
        <row r="432">
          <cell r="C432">
            <v>11477</v>
          </cell>
          <cell r="D432" t="str">
            <v xml:space="preserve">KISHOR </v>
          </cell>
          <cell r="E432">
            <v>102205289813</v>
          </cell>
          <cell r="F432" t="str">
            <v>B RAMAKRISHNA  KISHORE</v>
          </cell>
        </row>
        <row r="433">
          <cell r="C433">
            <v>11243</v>
          </cell>
          <cell r="D433" t="str">
            <v>N.Venkatesh(b6)</v>
          </cell>
          <cell r="E433">
            <v>102153853904</v>
          </cell>
          <cell r="F433" t="str">
            <v>NAMPALLI VENKATESH</v>
          </cell>
        </row>
        <row r="434">
          <cell r="C434">
            <v>11202</v>
          </cell>
          <cell r="D434" t="str">
            <v>SYAMALA RAO</v>
          </cell>
          <cell r="E434">
            <v>102021736060</v>
          </cell>
          <cell r="F434" t="str">
            <v>MUDDADA SYAMALARAO</v>
          </cell>
        </row>
        <row r="435">
          <cell r="C435">
            <v>11256</v>
          </cell>
          <cell r="D435" t="str">
            <v>HARISH</v>
          </cell>
          <cell r="E435">
            <v>102155632619</v>
          </cell>
          <cell r="F435" t="str">
            <v>S HARISH</v>
          </cell>
        </row>
        <row r="436">
          <cell r="C436">
            <v>11493</v>
          </cell>
          <cell r="D436" t="str">
            <v>I.SIMHANDRI (B6)</v>
          </cell>
          <cell r="E436">
            <v>102121152610</v>
          </cell>
          <cell r="F436" t="str">
            <v>INJARAPU SIMHADRI</v>
          </cell>
        </row>
        <row r="437">
          <cell r="C437">
            <v>10705</v>
          </cell>
          <cell r="D437" t="str">
            <v>UDAY KIRAN (B6)</v>
          </cell>
          <cell r="E437">
            <v>101957756383</v>
          </cell>
          <cell r="F437" t="str">
            <v>DHARAVATH UDAY KIRAN</v>
          </cell>
        </row>
        <row r="438">
          <cell r="C438">
            <v>10631</v>
          </cell>
          <cell r="D438" t="str">
            <v>SHIVA B6)</v>
          </cell>
          <cell r="E438">
            <v>101995909807</v>
          </cell>
          <cell r="F438" t="str">
            <v>BHUPATHI SHIVA</v>
          </cell>
        </row>
        <row r="439">
          <cell r="C439">
            <v>11313</v>
          </cell>
          <cell r="D439" t="str">
            <v>V.SHIVAKUMAR(B7)</v>
          </cell>
          <cell r="E439">
            <v>101945909041</v>
          </cell>
          <cell r="F439" t="str">
            <v>VASA SHIVA KUMARM</v>
          </cell>
        </row>
        <row r="440">
          <cell r="C440">
            <v>11663</v>
          </cell>
          <cell r="D440" t="str">
            <v>A.DURGA PRASAD</v>
          </cell>
          <cell r="E440">
            <v>101920469920</v>
          </cell>
          <cell r="F440" t="str">
            <v>AINAPURAPU DURGA PRASAD</v>
          </cell>
        </row>
        <row r="441">
          <cell r="C441">
            <v>11316</v>
          </cell>
          <cell r="D441" t="str">
            <v>JAYA KRISHNA(B6)</v>
          </cell>
          <cell r="E441">
            <v>102170767835</v>
          </cell>
          <cell r="F441" t="str">
            <v>RAYUDU JAYAKRISHNA</v>
          </cell>
        </row>
        <row r="442">
          <cell r="C442">
            <v>10706</v>
          </cell>
          <cell r="D442" t="str">
            <v>Md. Anwar Uddin Barbhuiya</v>
          </cell>
          <cell r="E442">
            <v>100595915770</v>
          </cell>
          <cell r="F442" t="str">
            <v>ANOWAR UDDIN BARBHUIYA</v>
          </cell>
        </row>
        <row r="443">
          <cell r="C443">
            <v>11849</v>
          </cell>
          <cell r="D443" t="str">
            <v>VEMURI RAMESH</v>
          </cell>
          <cell r="E443">
            <v>102299368458</v>
          </cell>
          <cell r="F443" t="str">
            <v>VEMURI RAMESH</v>
          </cell>
        </row>
        <row r="444">
          <cell r="C444">
            <v>11886</v>
          </cell>
          <cell r="D444" t="str">
            <v xml:space="preserve">M RAVI </v>
          </cell>
          <cell r="E444">
            <v>101636035943</v>
          </cell>
          <cell r="F444" t="str">
            <v>MUKKERA RAVI</v>
          </cell>
        </row>
        <row r="445">
          <cell r="C445">
            <v>11373</v>
          </cell>
          <cell r="D445" t="str">
            <v>S.MADHAVA REDDY</v>
          </cell>
          <cell r="E445">
            <v>101439083210</v>
          </cell>
          <cell r="F445" t="str">
            <v>SANGANA MADHAVA REDDY</v>
          </cell>
        </row>
        <row r="446">
          <cell r="C446">
            <v>11368</v>
          </cell>
          <cell r="D446" t="str">
            <v>G.HARI DAS</v>
          </cell>
          <cell r="E446">
            <v>101834555853</v>
          </cell>
          <cell r="F446" t="str">
            <v>GANI HARI DAS</v>
          </cell>
        </row>
        <row r="447">
          <cell r="C447">
            <v>11391</v>
          </cell>
          <cell r="D447" t="str">
            <v xml:space="preserve">M.ANIL </v>
          </cell>
          <cell r="E447">
            <v>101114431341</v>
          </cell>
          <cell r="F447" t="str">
            <v>MADDURI ANIL</v>
          </cell>
        </row>
        <row r="448">
          <cell r="C448">
            <v>11064</v>
          </cell>
          <cell r="D448" t="str">
            <v>D.SANDEEP</v>
          </cell>
          <cell r="E448">
            <v>101591489642</v>
          </cell>
          <cell r="F448" t="str">
            <v>DUNNA SANDEEP</v>
          </cell>
        </row>
        <row r="449">
          <cell r="C449">
            <v>11370</v>
          </cell>
          <cell r="D449" t="str">
            <v>K.MOHAN RAM</v>
          </cell>
          <cell r="E449">
            <v>100678483239</v>
          </cell>
          <cell r="F449" t="str">
            <v>KOPPISETTI MOHAN RAM</v>
          </cell>
        </row>
        <row r="450">
          <cell r="C450">
            <v>11371</v>
          </cell>
          <cell r="D450" t="str">
            <v xml:space="preserve">K.SANGAMESH </v>
          </cell>
          <cell r="E450">
            <v>101866887713</v>
          </cell>
          <cell r="F450" t="str">
            <v>K SANGAMESH</v>
          </cell>
        </row>
        <row r="451">
          <cell r="C451">
            <v>11358</v>
          </cell>
          <cell r="D451" t="str">
            <v>D.SIVA SAI HAREESH</v>
          </cell>
          <cell r="E451">
            <v>102191147300</v>
          </cell>
          <cell r="F451" t="str">
            <v>DEVARAKONDA SIVA SAI HAREESH</v>
          </cell>
        </row>
        <row r="452">
          <cell r="C452">
            <v>11732</v>
          </cell>
          <cell r="D452" t="str">
            <v>S.ARAVINDASWAMY</v>
          </cell>
          <cell r="E452">
            <v>102267253269</v>
          </cell>
          <cell r="F452" t="str">
            <v>SUKAMANCHI ARAVINDASWAMI</v>
          </cell>
        </row>
        <row r="453">
          <cell r="C453">
            <v>11834</v>
          </cell>
          <cell r="D453" t="str">
            <v xml:space="preserve">SAGAR NAIK </v>
          </cell>
          <cell r="E453">
            <v>102092142367</v>
          </cell>
          <cell r="F453" t="str">
            <v>GUGULOTH SAGAR NAIK</v>
          </cell>
        </row>
        <row r="454">
          <cell r="C454">
            <v>10979</v>
          </cell>
          <cell r="D454" t="str">
            <v>APPANNA</v>
          </cell>
          <cell r="E454">
            <v>101460853033</v>
          </cell>
          <cell r="F454" t="str">
            <v>BALAGA APPANNA</v>
          </cell>
        </row>
        <row r="455">
          <cell r="C455">
            <v>10981</v>
          </cell>
          <cell r="D455" t="str">
            <v>GANESH</v>
          </cell>
          <cell r="E455">
            <v>101730007908</v>
          </cell>
          <cell r="F455" t="str">
            <v>CHINTHAKUNTA GANESH</v>
          </cell>
        </row>
        <row r="456">
          <cell r="C456">
            <v>11379</v>
          </cell>
          <cell r="D456" t="str">
            <v>VEERANNA</v>
          </cell>
          <cell r="E456">
            <v>100916451300</v>
          </cell>
          <cell r="F456" t="str">
            <v>GONE VEERANNA</v>
          </cell>
        </row>
        <row r="457">
          <cell r="C457">
            <v>11380</v>
          </cell>
          <cell r="D457" t="str">
            <v>SATISH KUMAR</v>
          </cell>
          <cell r="E457">
            <v>102000373913</v>
          </cell>
          <cell r="F457" t="str">
            <v>DANOLA SATISH KUMAR</v>
          </cell>
        </row>
        <row r="458">
          <cell r="C458">
            <v>10991</v>
          </cell>
          <cell r="D458" t="str">
            <v>JOGENDRA SETTY</v>
          </cell>
          <cell r="E458">
            <v>100589905743</v>
          </cell>
          <cell r="F458" t="str">
            <v>JOGENDRA SETHI</v>
          </cell>
        </row>
        <row r="459">
          <cell r="C459">
            <v>11907</v>
          </cell>
          <cell r="D459" t="str">
            <v>SAI SATHEESH</v>
          </cell>
          <cell r="E459">
            <v>102227705635</v>
          </cell>
          <cell r="F459" t="str">
            <v>PEDDAMODU SAI SATHEESH</v>
          </cell>
        </row>
        <row r="460">
          <cell r="C460">
            <v>11486</v>
          </cell>
          <cell r="D460" t="str">
            <v>A VENKATESH</v>
          </cell>
          <cell r="E460">
            <v>102207167919</v>
          </cell>
          <cell r="F460" t="str">
            <v>ALALA VENKATESH</v>
          </cell>
        </row>
        <row r="461">
          <cell r="C461">
            <v>11476</v>
          </cell>
          <cell r="D461" t="str">
            <v>HARISH KHAN</v>
          </cell>
          <cell r="E461">
            <v>102191204659</v>
          </cell>
          <cell r="F461" t="str">
            <v>HARISH KHAN</v>
          </cell>
        </row>
        <row r="462">
          <cell r="C462">
            <v>11742</v>
          </cell>
          <cell r="D462" t="str">
            <v>K KULLAYI</v>
          </cell>
          <cell r="E462">
            <v>102268419814</v>
          </cell>
          <cell r="F462" t="str">
            <v>KUMMARA KULLAYI</v>
          </cell>
        </row>
        <row r="463">
          <cell r="C463">
            <v>10982</v>
          </cell>
          <cell r="D463" t="str">
            <v>SAGAR KUMAR BEHARA</v>
          </cell>
          <cell r="E463">
            <v>101296008357</v>
          </cell>
          <cell r="F463" t="str">
            <v>SAGAR KUMAR BEHERA</v>
          </cell>
        </row>
        <row r="464">
          <cell r="C464">
            <v>11889</v>
          </cell>
          <cell r="D464" t="str">
            <v>SANJIT DALAI</v>
          </cell>
          <cell r="E464">
            <v>100003011856</v>
          </cell>
          <cell r="F464" t="str">
            <v>SANJAT DALAI</v>
          </cell>
        </row>
        <row r="465">
          <cell r="C465">
            <v>11551</v>
          </cell>
          <cell r="D465" t="str">
            <v>RAUPVA PRAKASH MOHANTY</v>
          </cell>
          <cell r="E465">
            <v>101917143472</v>
          </cell>
          <cell r="F465" t="str">
            <v>RAUPYAPRAKASH MOHANTY</v>
          </cell>
        </row>
        <row r="466">
          <cell r="C466">
            <v>11273</v>
          </cell>
          <cell r="D466" t="str">
            <v>CHANDRA SEKHAR</v>
          </cell>
          <cell r="E466">
            <v>101331571871</v>
          </cell>
          <cell r="F466" t="str">
            <v>P CHANDRA SEKHAR PATRA</v>
          </cell>
        </row>
        <row r="467">
          <cell r="C467">
            <v>10214</v>
          </cell>
          <cell r="D467" t="str">
            <v>B.VENKATESH</v>
          </cell>
          <cell r="E467">
            <v>100469573552</v>
          </cell>
          <cell r="F467" t="str">
            <v>BALLEM VENKATESHAM</v>
          </cell>
        </row>
        <row r="468">
          <cell r="C468">
            <v>11049</v>
          </cell>
          <cell r="D468" t="str">
            <v>D.RAVI</v>
          </cell>
          <cell r="E468">
            <v>102095604570</v>
          </cell>
          <cell r="F468" t="str">
            <v>DUNDALWAR RAVI</v>
          </cell>
        </row>
        <row r="469">
          <cell r="C469">
            <v>11032</v>
          </cell>
          <cell r="D469" t="str">
            <v>ANADA SHA</v>
          </cell>
          <cell r="E469">
            <v>101760846764</v>
          </cell>
          <cell r="F469" t="str">
            <v>ANANDA SHA</v>
          </cell>
        </row>
        <row r="470">
          <cell r="C470">
            <v>11872</v>
          </cell>
          <cell r="D470" t="str">
            <v>M. VENKATA KISHORE</v>
          </cell>
          <cell r="E470">
            <v>101171795073</v>
          </cell>
          <cell r="F470" t="str">
            <v>M VENKATA KISHORE</v>
          </cell>
        </row>
        <row r="471">
          <cell r="C471">
            <v>11376</v>
          </cell>
          <cell r="D471" t="str">
            <v>J.CHAITANYA</v>
          </cell>
          <cell r="E471">
            <v>101805102703</v>
          </cell>
          <cell r="F471" t="str">
            <v>J CHAITANYA</v>
          </cell>
        </row>
        <row r="472">
          <cell r="C472">
            <v>10146</v>
          </cell>
          <cell r="D472" t="str">
            <v>JANA ALOK KUMAR</v>
          </cell>
          <cell r="E472">
            <v>101486912528</v>
          </cell>
          <cell r="F472" t="str">
            <v>ALOK KUMAR JENA</v>
          </cell>
        </row>
        <row r="473">
          <cell r="C473">
            <v>11774</v>
          </cell>
          <cell r="D473" t="str">
            <v>P.DURGA RAMAKRISHNA</v>
          </cell>
          <cell r="E473">
            <v>102183736019</v>
          </cell>
          <cell r="F473" t="str">
            <v>POTHULA DURGA RAMAKRISHNA</v>
          </cell>
        </row>
        <row r="474">
          <cell r="C474">
            <v>11311</v>
          </cell>
          <cell r="D474" t="str">
            <v>RAVI SHANKAR</v>
          </cell>
          <cell r="E474">
            <v>101109085478</v>
          </cell>
          <cell r="F474" t="str">
            <v>MOTUPALLI RAVI SANKARA DURGA</v>
          </cell>
        </row>
        <row r="475">
          <cell r="C475">
            <v>11377</v>
          </cell>
          <cell r="D475" t="str">
            <v>MANOJ KUMAR DAS</v>
          </cell>
          <cell r="E475">
            <v>101471889153</v>
          </cell>
          <cell r="F475" t="str">
            <v>MANOJ KUMAR DAS</v>
          </cell>
        </row>
        <row r="476">
          <cell r="C476">
            <v>10330</v>
          </cell>
          <cell r="D476" t="str">
            <v>SANDESH</v>
          </cell>
          <cell r="E476">
            <v>101571256244</v>
          </cell>
          <cell r="F476" t="str">
            <v>GOTRU SANDESH</v>
          </cell>
        </row>
        <row r="477">
          <cell r="C477">
            <v>11403</v>
          </cell>
          <cell r="D477" t="str">
            <v>MD.AZIZ AHMED</v>
          </cell>
          <cell r="E477">
            <v>102193712275</v>
          </cell>
          <cell r="F477" t="str">
            <v>MOHAMMED AZIZ AHMED</v>
          </cell>
        </row>
        <row r="478">
          <cell r="C478">
            <v>11384</v>
          </cell>
          <cell r="D478" t="str">
            <v>RANJAN MALIK</v>
          </cell>
          <cell r="E478">
            <v>101962637943</v>
          </cell>
          <cell r="F478" t="str">
            <v>RANJAN MALIK</v>
          </cell>
        </row>
        <row r="479">
          <cell r="C479">
            <v>11395</v>
          </cell>
          <cell r="D479" t="str">
            <v>JAGABANDHU GHADEI</v>
          </cell>
          <cell r="E479">
            <v>101686377954</v>
          </cell>
          <cell r="F479" t="str">
            <v>JAGABANDHU GHADEI</v>
          </cell>
        </row>
        <row r="480">
          <cell r="C480">
            <v>11812</v>
          </cell>
          <cell r="D480" t="str">
            <v>SHEKAR</v>
          </cell>
          <cell r="E480">
            <v>101734587138</v>
          </cell>
          <cell r="F480" t="str">
            <v>SEKHAR MALIK</v>
          </cell>
        </row>
        <row r="481">
          <cell r="C481">
            <v>11397</v>
          </cell>
          <cell r="D481" t="str">
            <v>SHIBASIS SAMAL</v>
          </cell>
          <cell r="E481">
            <v>102005970009</v>
          </cell>
          <cell r="F481" t="str">
            <v>SHIBASIS SAMAL</v>
          </cell>
        </row>
        <row r="482">
          <cell r="C482">
            <v>11789</v>
          </cell>
          <cell r="D482" t="str">
            <v>BALARAM DAS</v>
          </cell>
          <cell r="E482">
            <v>101319487117</v>
          </cell>
          <cell r="F482" t="str">
            <v>BALARAM DAS</v>
          </cell>
        </row>
        <row r="483">
          <cell r="C483">
            <v>11729</v>
          </cell>
          <cell r="D483" t="str">
            <v>RAHUL DAS</v>
          </cell>
          <cell r="E483">
            <v>102266464815</v>
          </cell>
          <cell r="F483" t="str">
            <v>RAHUL DAS</v>
          </cell>
        </row>
        <row r="484">
          <cell r="C484">
            <v>10525</v>
          </cell>
          <cell r="D484" t="str">
            <v>G.TIRUPATHI NAIDU</v>
          </cell>
          <cell r="E484">
            <v>100431208355</v>
          </cell>
          <cell r="F484" t="str">
            <v>GUNTREDDI TIRUPATHI NAIDU</v>
          </cell>
        </row>
        <row r="485">
          <cell r="C485">
            <v>10751</v>
          </cell>
          <cell r="D485" t="str">
            <v xml:space="preserve">G.SATISH </v>
          </cell>
          <cell r="E485">
            <v>101741666795</v>
          </cell>
          <cell r="F485" t="str">
            <v>GUNDIMALLA SATHISH</v>
          </cell>
        </row>
        <row r="486">
          <cell r="C486">
            <v>11386</v>
          </cell>
          <cell r="D486" t="str">
            <v>K. RAMESH CHOWHAN</v>
          </cell>
          <cell r="E486">
            <v>102051405422</v>
          </cell>
          <cell r="F486" t="str">
            <v>RAMESH CHOWHAN KORRAVATH</v>
          </cell>
        </row>
        <row r="487">
          <cell r="C487">
            <v>11924</v>
          </cell>
          <cell r="D487" t="str">
            <v>P.Srinivas</v>
          </cell>
          <cell r="E487">
            <v>101153100642</v>
          </cell>
          <cell r="F487" t="str">
            <v>PERUMALLA SRINIVASULU</v>
          </cell>
        </row>
        <row r="488">
          <cell r="C488">
            <v>11823</v>
          </cell>
          <cell r="D488" t="str">
            <v>DUDEKULA YAKUB PASHA</v>
          </cell>
          <cell r="E488">
            <v>102104500943</v>
          </cell>
          <cell r="F488" t="str">
            <v>DUDEKULA YAKUB PASHA</v>
          </cell>
        </row>
        <row r="489">
          <cell r="C489">
            <v>11417</v>
          </cell>
          <cell r="D489" t="str">
            <v>AJAY Rai</v>
          </cell>
          <cell r="E489">
            <v>102174050601</v>
          </cell>
          <cell r="F489" t="str">
            <v>AJAY RAI</v>
          </cell>
        </row>
        <row r="490">
          <cell r="C490">
            <v>11819</v>
          </cell>
          <cell r="D490" t="str">
            <v>SAMLESWARI</v>
          </cell>
          <cell r="E490">
            <v>101812071795</v>
          </cell>
          <cell r="F490" t="str">
            <v>SAMLESHWARI</v>
          </cell>
        </row>
        <row r="491">
          <cell r="C491">
            <v>11087</v>
          </cell>
          <cell r="D491" t="str">
            <v>Uday Bhanu</v>
          </cell>
          <cell r="E491">
            <v>102109793745</v>
          </cell>
          <cell r="F491" t="str">
            <v>VADLA UDAYA BHANU</v>
          </cell>
        </row>
        <row r="492">
          <cell r="C492">
            <v>11916</v>
          </cell>
          <cell r="D492" t="str">
            <v>A.Suresh</v>
          </cell>
          <cell r="E492">
            <v>101772585485</v>
          </cell>
          <cell r="F492" t="str">
            <v>ATTILI SURESH BABU</v>
          </cell>
        </row>
        <row r="493">
          <cell r="C493">
            <v>11453</v>
          </cell>
          <cell r="D493" t="str">
            <v>B SURESH</v>
          </cell>
          <cell r="E493">
            <v>102194408588</v>
          </cell>
          <cell r="F493" t="str">
            <v>BODA SURESH</v>
          </cell>
        </row>
        <row r="494">
          <cell r="C494">
            <v>11425</v>
          </cell>
          <cell r="D494" t="str">
            <v>Pasha</v>
          </cell>
          <cell r="E494">
            <v>101934909196</v>
          </cell>
          <cell r="F494" t="str">
            <v>CHANDPASHAN HASANN SHAIKH</v>
          </cell>
        </row>
        <row r="495">
          <cell r="C495">
            <v>11424</v>
          </cell>
          <cell r="D495" t="str">
            <v>Linga Swamy</v>
          </cell>
          <cell r="E495">
            <v>101475069516</v>
          </cell>
          <cell r="F495" t="str">
            <v>VALLAPU LINGAIAH</v>
          </cell>
        </row>
        <row r="496">
          <cell r="C496">
            <v>11840</v>
          </cell>
          <cell r="D496" t="str">
            <v>SHAIK RAFI</v>
          </cell>
          <cell r="E496">
            <v>102297596269</v>
          </cell>
          <cell r="F496" t="str">
            <v>SHAIK RAFI</v>
          </cell>
        </row>
        <row r="497">
          <cell r="C497">
            <v>11912</v>
          </cell>
          <cell r="D497" t="str">
            <v>Naveen Kumar</v>
          </cell>
          <cell r="E497">
            <v>101795119718</v>
          </cell>
          <cell r="F497" t="str">
            <v>BAPANAPALLY NAVEENKUMAR</v>
          </cell>
        </row>
        <row r="498">
          <cell r="C498">
            <v>11905</v>
          </cell>
          <cell r="D498" t="str">
            <v>Jaidul</v>
          </cell>
          <cell r="E498">
            <v>101824734985</v>
          </cell>
          <cell r="F498" t="str">
            <v>JIADUL RAHMAN BARBHUIYA</v>
          </cell>
        </row>
        <row r="499">
          <cell r="C499">
            <v>11383</v>
          </cell>
          <cell r="D499" t="str">
            <v>Basant Sahoo</v>
          </cell>
          <cell r="E499">
            <v>101933818657</v>
          </cell>
          <cell r="F499" t="str">
            <v>BASANTA KUMAR SETHY</v>
          </cell>
        </row>
        <row r="500">
          <cell r="C500">
            <v>11938</v>
          </cell>
          <cell r="D500" t="str">
            <v>Juber Husssain</v>
          </cell>
          <cell r="E500">
            <v>101560898181</v>
          </cell>
          <cell r="F500" t="str">
            <v>JUBAIR HUSSAIN BARBHUIYA</v>
          </cell>
        </row>
        <row r="501">
          <cell r="C501">
            <v>11014</v>
          </cell>
          <cell r="D501" t="str">
            <v>BADAVATH NARESH</v>
          </cell>
          <cell r="E501">
            <v>102088023742</v>
          </cell>
          <cell r="F501" t="str">
            <v>BADAVATHU NARESH</v>
          </cell>
        </row>
        <row r="502">
          <cell r="C502">
            <v>11433</v>
          </cell>
          <cell r="D502" t="str">
            <v>Johnvali</v>
          </cell>
          <cell r="E502">
            <v>101725427714</v>
          </cell>
          <cell r="F502" t="str">
            <v>SHAIK JOHN VALI</v>
          </cell>
        </row>
        <row r="503">
          <cell r="C503">
            <v>10943</v>
          </cell>
          <cell r="D503" t="str">
            <v>Praveen</v>
          </cell>
          <cell r="E503">
            <v>102083532953</v>
          </cell>
          <cell r="F503" t="str">
            <v>PAMULA PRAVEEN</v>
          </cell>
        </row>
        <row r="504">
          <cell r="C504">
            <v>10883</v>
          </cell>
          <cell r="D504" t="str">
            <v>DARAVATH UMESH</v>
          </cell>
          <cell r="E504">
            <v>102063777568</v>
          </cell>
          <cell r="F504" t="str">
            <v>DHARAVATH UMESH</v>
          </cell>
        </row>
        <row r="505">
          <cell r="C505">
            <v>11325</v>
          </cell>
          <cell r="D505" t="str">
            <v>SABITHA WARE</v>
          </cell>
          <cell r="E505">
            <v>101906837503</v>
          </cell>
          <cell r="F505" t="str">
            <v>SABITA WARE</v>
          </cell>
        </row>
        <row r="506">
          <cell r="C506">
            <v>11449</v>
          </cell>
          <cell r="D506" t="str">
            <v>S.Sudhakar</v>
          </cell>
          <cell r="E506">
            <v>102140550716</v>
          </cell>
          <cell r="F506" t="str">
            <v>SONABOINA SUDHAKAR</v>
          </cell>
        </row>
        <row r="507">
          <cell r="C507">
            <v>11894</v>
          </cell>
          <cell r="D507" t="str">
            <v xml:space="preserve">NOMULA PRABHUDAS  </v>
          </cell>
          <cell r="E507">
            <v>102162329349</v>
          </cell>
          <cell r="F507" t="str">
            <v>NOMULA PRABHUDAS</v>
          </cell>
        </row>
        <row r="508">
          <cell r="C508">
            <v>11646</v>
          </cell>
          <cell r="D508" t="str">
            <v>D.REKHA</v>
          </cell>
          <cell r="E508">
            <v>100878914897</v>
          </cell>
          <cell r="F508" t="str">
            <v>DHARAMGUNDU REKHA</v>
          </cell>
        </row>
        <row r="509">
          <cell r="C509">
            <v>11677</v>
          </cell>
          <cell r="D509" t="str">
            <v>BODA SURESH</v>
          </cell>
          <cell r="E509">
            <v>101506115598</v>
          </cell>
          <cell r="F509" t="str">
            <v>BODA SURESH</v>
          </cell>
        </row>
        <row r="510">
          <cell r="C510">
            <v>11710</v>
          </cell>
          <cell r="D510" t="str">
            <v>L.LAXMI</v>
          </cell>
          <cell r="E510">
            <v>102067539795</v>
          </cell>
          <cell r="F510" t="str">
            <v>LONKA LAKSHMI</v>
          </cell>
        </row>
        <row r="511">
          <cell r="C511">
            <v>11788</v>
          </cell>
          <cell r="D511" t="str">
            <v>B.KALAVATHI</v>
          </cell>
          <cell r="E511">
            <v>101506115611</v>
          </cell>
          <cell r="F511" t="str">
            <v>BANOTH KALAVATHI</v>
          </cell>
        </row>
        <row r="512">
          <cell r="C512">
            <v>11543</v>
          </cell>
          <cell r="D512" t="str">
            <v>ALTHA HUSSAIN</v>
          </cell>
          <cell r="E512">
            <v>102203227517</v>
          </cell>
          <cell r="F512" t="str">
            <v>ALTA HUSSAIN MAZUMDER</v>
          </cell>
        </row>
        <row r="513">
          <cell r="C513">
            <v>11843</v>
          </cell>
          <cell r="D513" t="str">
            <v>T.JYOTHI</v>
          </cell>
          <cell r="E513">
            <v>101038030588</v>
          </cell>
          <cell r="F513" t="str">
            <v>THANNIRU JYOTHI</v>
          </cell>
        </row>
        <row r="514">
          <cell r="C514">
            <v>11452</v>
          </cell>
          <cell r="D514" t="str">
            <v>MOUNIKA.S</v>
          </cell>
          <cell r="E514">
            <v>102140550697</v>
          </cell>
          <cell r="F514" t="str">
            <v>SONABOINA MOWNIKA</v>
          </cell>
        </row>
        <row r="515">
          <cell r="C515">
            <v>11524</v>
          </cell>
          <cell r="D515" t="str">
            <v>D.LAXMI</v>
          </cell>
          <cell r="E515">
            <v>101420937985</v>
          </cell>
          <cell r="F515" t="str">
            <v>DANDU VEERA VENKATA LAKSHMI</v>
          </cell>
        </row>
        <row r="516">
          <cell r="C516">
            <v>11884</v>
          </cell>
          <cell r="D516" t="str">
            <v>BITTU</v>
          </cell>
          <cell r="E516">
            <v>101094117918</v>
          </cell>
          <cell r="F516" t="str">
            <v>BITTU BAHADUR PRADHAN</v>
          </cell>
        </row>
        <row r="517">
          <cell r="C517">
            <v>11549</v>
          </cell>
          <cell r="D517" t="str">
            <v>P RANJITH KUMAR</v>
          </cell>
          <cell r="E517">
            <v>101861503829</v>
          </cell>
          <cell r="F517" t="str">
            <v>RANJIT KUMAR BISWAL</v>
          </cell>
        </row>
        <row r="518">
          <cell r="C518">
            <v>11893</v>
          </cell>
          <cell r="D518" t="str">
            <v>ANIL KUMAR</v>
          </cell>
          <cell r="E518">
            <v>102307154760</v>
          </cell>
          <cell r="F518" t="str">
            <v>BEJJAM ANIL KUMAR</v>
          </cell>
        </row>
        <row r="519">
          <cell r="C519">
            <v>11890</v>
          </cell>
          <cell r="D519" t="str">
            <v>LAKKOJU RATNI KUMARI</v>
          </cell>
          <cell r="E519">
            <v>101441183220</v>
          </cell>
          <cell r="F519" t="str">
            <v>LAKKOJU RATNA KUMARI</v>
          </cell>
        </row>
        <row r="520">
          <cell r="C520">
            <v>11883</v>
          </cell>
          <cell r="D520" t="str">
            <v>MD SAKIL</v>
          </cell>
          <cell r="E520">
            <v>101445842446</v>
          </cell>
          <cell r="F520" t="str">
            <v>MOHAMMED SHEKHEL</v>
          </cell>
        </row>
        <row r="521">
          <cell r="C521">
            <v>11903</v>
          </cell>
          <cell r="D521" t="str">
            <v>Anuradha</v>
          </cell>
          <cell r="E521">
            <v>101870441891</v>
          </cell>
          <cell r="F521" t="str">
            <v>DASI ANURADHA</v>
          </cell>
        </row>
        <row r="522">
          <cell r="C522">
            <v>11901</v>
          </cell>
          <cell r="D522" t="str">
            <v>P.Sharada</v>
          </cell>
          <cell r="E522">
            <v>101542345439</v>
          </cell>
          <cell r="F522" t="str">
            <v>PEETLA SHARADA</v>
          </cell>
        </row>
        <row r="523">
          <cell r="C523">
            <v>11911</v>
          </cell>
          <cell r="D523" t="str">
            <v>S.Anitha</v>
          </cell>
          <cell r="E523">
            <v>101489122196</v>
          </cell>
          <cell r="F523" t="str">
            <v>SUDHAGANI ANITHA</v>
          </cell>
        </row>
        <row r="524">
          <cell r="C524">
            <v>11902</v>
          </cell>
          <cell r="D524" t="str">
            <v>BALLAM SURESH</v>
          </cell>
          <cell r="E524">
            <v>100639190666</v>
          </cell>
          <cell r="F524" t="str">
            <v>BOLLUM SURESH</v>
          </cell>
        </row>
        <row r="525">
          <cell r="C525">
            <v>11897</v>
          </cell>
          <cell r="D525" t="str">
            <v>KARIKE VANAJA</v>
          </cell>
          <cell r="E525">
            <v>102307416043</v>
          </cell>
          <cell r="F525" t="str">
            <v>KARIKE VANAJA</v>
          </cell>
        </row>
        <row r="526">
          <cell r="C526">
            <v>11877</v>
          </cell>
          <cell r="D526" t="str">
            <v>CHANDU PATTEY</v>
          </cell>
          <cell r="E526">
            <v>101905359708</v>
          </cell>
          <cell r="F526" t="str">
            <v>CHANDU PATTEY</v>
          </cell>
        </row>
        <row r="527">
          <cell r="C527">
            <v>11876</v>
          </cell>
          <cell r="D527" t="str">
            <v>AZIZUR RAHMAN</v>
          </cell>
          <cell r="E527">
            <v>101432013499</v>
          </cell>
          <cell r="F527" t="str">
            <v>AZIZUR RAHMAN</v>
          </cell>
        </row>
        <row r="528">
          <cell r="C528">
            <v>11824</v>
          </cell>
          <cell r="D528" t="str">
            <v>AMGOTH MANJI</v>
          </cell>
          <cell r="E528">
            <v>102258377645</v>
          </cell>
          <cell r="F528" t="str">
            <v>AMGOTH MANJI</v>
          </cell>
        </row>
        <row r="529">
          <cell r="C529">
            <v>11832</v>
          </cell>
          <cell r="D529" t="str">
            <v>AMGOTH GORI</v>
          </cell>
          <cell r="E529">
            <v>101973130574</v>
          </cell>
          <cell r="F529" t="str">
            <v>AMGOTH GORI</v>
          </cell>
        </row>
        <row r="530">
          <cell r="C530">
            <v>11467</v>
          </cell>
          <cell r="D530" t="str">
            <v>P.VENKATAMMA</v>
          </cell>
          <cell r="E530">
            <v>102178409152</v>
          </cell>
          <cell r="F530" t="str">
            <v>PAPOLU VENKATRAVAMMA</v>
          </cell>
        </row>
        <row r="531">
          <cell r="C531">
            <v>11526</v>
          </cell>
          <cell r="D531" t="str">
            <v>M.CHANDRAVATHI</v>
          </cell>
          <cell r="E531">
            <v>101795530191</v>
          </cell>
          <cell r="F531" t="str">
            <v>MEDEPALLY CHANDRAVATHI</v>
          </cell>
        </row>
        <row r="532">
          <cell r="C532">
            <v>10324</v>
          </cell>
          <cell r="D532" t="str">
            <v>A. Yadagiri</v>
          </cell>
          <cell r="E532">
            <v>101812919680</v>
          </cell>
          <cell r="F532" t="str">
            <v>A YADAGIRI</v>
          </cell>
        </row>
        <row r="533">
          <cell r="C533">
            <v>10064</v>
          </cell>
          <cell r="D533" t="str">
            <v>Maheswaram Tirumala Gouri</v>
          </cell>
          <cell r="E533">
            <v>101339294646</v>
          </cell>
          <cell r="F533" t="str">
            <v>MAHESWARAM TIRUMALA GOURI</v>
          </cell>
        </row>
        <row r="534">
          <cell r="C534">
            <v>11829</v>
          </cell>
          <cell r="D534" t="str">
            <v>RAJ GOULA</v>
          </cell>
          <cell r="E534">
            <v>101890379926</v>
          </cell>
          <cell r="F534" t="str">
            <v>RAJ GOALA</v>
          </cell>
        </row>
        <row r="535">
          <cell r="C535">
            <v>11856</v>
          </cell>
          <cell r="D535" t="str">
            <v>RANGAPPA K MUTHAPPA</v>
          </cell>
          <cell r="E535">
            <v>100864270589</v>
          </cell>
          <cell r="F535" t="str">
            <v>RANGAPPA K M</v>
          </cell>
        </row>
        <row r="536">
          <cell r="C536">
            <v>11857</v>
          </cell>
          <cell r="D536" t="str">
            <v>OM PRAKASH CHOUDHURY</v>
          </cell>
          <cell r="E536">
            <v>100864575341</v>
          </cell>
          <cell r="F536" t="str">
            <v>OM PRAKASH CHOUDHURY</v>
          </cell>
        </row>
        <row r="537">
          <cell r="C537">
            <v>11858</v>
          </cell>
          <cell r="D537" t="str">
            <v>RANJEET PASWAN</v>
          </cell>
          <cell r="E537">
            <v>100868852278</v>
          </cell>
          <cell r="F537" t="str">
            <v>RANJEET PASWAN</v>
          </cell>
        </row>
        <row r="538">
          <cell r="C538">
            <v>10410</v>
          </cell>
          <cell r="D538" t="str">
            <v>KALLU PRAKASH REDDY</v>
          </cell>
          <cell r="E538">
            <v>101084203530</v>
          </cell>
          <cell r="F538" t="str">
            <v>KALLU PRAKASH REDDY</v>
          </cell>
        </row>
        <row r="539">
          <cell r="C539">
            <v>10413</v>
          </cell>
          <cell r="D539" t="str">
            <v xml:space="preserve"> PALNATI CHANDRA SEKHAR REDDY</v>
          </cell>
          <cell r="E539">
            <v>101084176195</v>
          </cell>
          <cell r="F539" t="str">
            <v>PALNATI CHANDRA SEKHAR REDDY</v>
          </cell>
        </row>
        <row r="540">
          <cell r="C540">
            <v>11609</v>
          </cell>
          <cell r="D540" t="str">
            <v>Kishore</v>
          </cell>
          <cell r="E540">
            <v>101717623938</v>
          </cell>
          <cell r="F540" t="str">
            <v>BURADA KISHORE</v>
          </cell>
        </row>
        <row r="541">
          <cell r="C541">
            <v>10935</v>
          </cell>
          <cell r="D541" t="str">
            <v>ERUGU VISWAS</v>
          </cell>
          <cell r="E541">
            <v>101832266943</v>
          </cell>
          <cell r="F541" t="str">
            <v>ERUGU VISWAS</v>
          </cell>
        </row>
        <row r="542">
          <cell r="C542">
            <v>10502</v>
          </cell>
          <cell r="D542" t="str">
            <v>MADUGUNDU VEERESH</v>
          </cell>
          <cell r="E542">
            <v>100209627800</v>
          </cell>
          <cell r="F542" t="str">
            <v>MADUGUNDU VEERESH</v>
          </cell>
        </row>
        <row r="543">
          <cell r="C543">
            <v>10886</v>
          </cell>
          <cell r="D543" t="str">
            <v>THANDRA ANAND KUMAR</v>
          </cell>
          <cell r="E543">
            <v>101971795621</v>
          </cell>
          <cell r="F543" t="str">
            <v>THANDRA ANAND KUMAR</v>
          </cell>
        </row>
        <row r="544">
          <cell r="C544">
            <v>11289</v>
          </cell>
          <cell r="D544" t="str">
            <v>P SATHISH</v>
          </cell>
          <cell r="E544">
            <v>101919558098</v>
          </cell>
          <cell r="F544" t="str">
            <v>PANNEERU SATHISH</v>
          </cell>
        </row>
        <row r="545">
          <cell r="C545">
            <v>11388</v>
          </cell>
          <cell r="D545" t="str">
            <v>Parameshwer</v>
          </cell>
          <cell r="E545">
            <v>101831423230</v>
          </cell>
          <cell r="F545" t="str">
            <v>M PARAMESHWAR</v>
          </cell>
        </row>
        <row r="546">
          <cell r="C546">
            <v>11006</v>
          </cell>
          <cell r="D546" t="str">
            <v>PICHIGUNTLA VISHWANATH</v>
          </cell>
          <cell r="E546">
            <v>101810439465</v>
          </cell>
          <cell r="F546" t="str">
            <v>PICHIGUNTLA VISWANATH</v>
          </cell>
        </row>
        <row r="547">
          <cell r="C547">
            <v>11289</v>
          </cell>
          <cell r="D547" t="str">
            <v>P SATHISH</v>
          </cell>
          <cell r="E547">
            <v>101919558098</v>
          </cell>
          <cell r="F547" t="str">
            <v>PANNEERU SATHISH</v>
          </cell>
        </row>
        <row r="548">
          <cell r="C548">
            <v>11517</v>
          </cell>
          <cell r="D548" t="str">
            <v>ALONI RAJU</v>
          </cell>
          <cell r="E548">
            <v>101323691679</v>
          </cell>
          <cell r="F548" t="str">
            <v>AILONI RAJU</v>
          </cell>
        </row>
        <row r="549">
          <cell r="C549">
            <v>11025</v>
          </cell>
          <cell r="D549" t="str">
            <v>MARI RAVIKANTH</v>
          </cell>
          <cell r="E549">
            <v>101710867497</v>
          </cell>
          <cell r="F549" t="str">
            <v>MARRI RAVI KANTH</v>
          </cell>
        </row>
        <row r="550">
          <cell r="C550">
            <v>11491</v>
          </cell>
          <cell r="D550" t="str">
            <v>Arunsai</v>
          </cell>
          <cell r="E550">
            <v>102211919073</v>
          </cell>
          <cell r="F550" t="str">
            <v>DIVITI ARUN SAI</v>
          </cell>
        </row>
        <row r="551">
          <cell r="C551">
            <v>11715</v>
          </cell>
          <cell r="D551" t="str">
            <v>D.Naresh</v>
          </cell>
          <cell r="E551">
            <v>102264843705</v>
          </cell>
          <cell r="F551" t="str">
            <v>DANDUGULA NARESH</v>
          </cell>
        </row>
        <row r="552">
          <cell r="C552">
            <v>11723</v>
          </cell>
          <cell r="D552" t="str">
            <v>G.Prakash</v>
          </cell>
          <cell r="E552">
            <v>102120852806</v>
          </cell>
          <cell r="F552" t="str">
            <v>GADARI PRAKASH</v>
          </cell>
        </row>
        <row r="553">
          <cell r="C553">
            <v>10396</v>
          </cell>
          <cell r="D553" t="str">
            <v>CHITIMALA NARSIMHA</v>
          </cell>
          <cell r="E553">
            <v>101159052235</v>
          </cell>
          <cell r="F553" t="str">
            <v>CHITIMALA NARSIMHA</v>
          </cell>
        </row>
        <row r="554">
          <cell r="C554">
            <v>10746</v>
          </cell>
          <cell r="D554" t="str">
            <v>JAMEEL SHAREEF</v>
          </cell>
          <cell r="E554">
            <v>102029808125</v>
          </cell>
          <cell r="F554" t="str">
            <v>JAMEEL SHAREEF</v>
          </cell>
        </row>
        <row r="555">
          <cell r="C555">
            <v>11345</v>
          </cell>
          <cell r="D555" t="str">
            <v>Subbarayudu</v>
          </cell>
          <cell r="E555">
            <v>102008948889</v>
          </cell>
          <cell r="F555" t="str">
            <v>MADDELA SUBBARAYUDU</v>
          </cell>
        </row>
        <row r="556">
          <cell r="C556">
            <v>10437</v>
          </cell>
          <cell r="D556" t="str">
            <v xml:space="preserve"> MUPPIDI YADAGIRI</v>
          </cell>
          <cell r="E556">
            <v>101696000582</v>
          </cell>
          <cell r="F556" t="str">
            <v>MUPPIDI YADAGIRI</v>
          </cell>
        </row>
        <row r="557">
          <cell r="C557">
            <v>10397</v>
          </cell>
          <cell r="D557" t="str">
            <v>JUTUR SEKHAR</v>
          </cell>
          <cell r="E557">
            <v>101084175763</v>
          </cell>
          <cell r="F557" t="str">
            <v>JUTUR SEKHAR</v>
          </cell>
        </row>
        <row r="558">
          <cell r="C558">
            <v>11851</v>
          </cell>
          <cell r="D558" t="str">
            <v>Murali</v>
          </cell>
          <cell r="E558">
            <v>102299728561</v>
          </cell>
          <cell r="F558" t="str">
            <v>ACCHAGONI MURALI</v>
          </cell>
        </row>
        <row r="559">
          <cell r="C559">
            <v>10789</v>
          </cell>
          <cell r="D559" t="str">
            <v>MAHANKALI UPENDER CHARY</v>
          </cell>
          <cell r="E559">
            <v>100663635004</v>
          </cell>
          <cell r="F559" t="str">
            <v>MAHANKALI UPENDER CHARY</v>
          </cell>
        </row>
        <row r="560">
          <cell r="C560">
            <v>11042</v>
          </cell>
          <cell r="D560" t="str">
            <v>PATHEPURAM BALAKRISHNA</v>
          </cell>
          <cell r="E560">
            <v>101166095986</v>
          </cell>
          <cell r="F560" t="str">
            <v>PATHEPURAM BALAKRISHNA</v>
          </cell>
        </row>
        <row r="561">
          <cell r="C561">
            <v>11274</v>
          </cell>
          <cell r="D561" t="str">
            <v>SANJAY</v>
          </cell>
          <cell r="E561">
            <v>101919558080</v>
          </cell>
          <cell r="F561" t="str">
            <v>KAMMAGANI SANJAY</v>
          </cell>
        </row>
        <row r="562">
          <cell r="C562">
            <v>10417</v>
          </cell>
          <cell r="D562" t="str">
            <v>VINOD</v>
          </cell>
          <cell r="E562">
            <v>101329673607</v>
          </cell>
          <cell r="F562" t="str">
            <v>BANOTH VINODH KUMAR</v>
          </cell>
        </row>
        <row r="563">
          <cell r="C563">
            <v>11200</v>
          </cell>
          <cell r="D563" t="str">
            <v>KRUPAKAR</v>
          </cell>
          <cell r="E563">
            <v>102093274859</v>
          </cell>
          <cell r="F563" t="str">
            <v>KALLEM KRUPAKAR</v>
          </cell>
        </row>
        <row r="564">
          <cell r="C564">
            <v>11809</v>
          </cell>
          <cell r="D564" t="str">
            <v>B.Mohan</v>
          </cell>
          <cell r="E564">
            <v>102286611991</v>
          </cell>
          <cell r="F564" t="str">
            <v>BAGEPALLI MOHAN</v>
          </cell>
        </row>
        <row r="565">
          <cell r="C565">
            <v>11828</v>
          </cell>
          <cell r="D565" t="str">
            <v>T .Harsha</v>
          </cell>
          <cell r="E565">
            <v>102024470064</v>
          </cell>
          <cell r="F565" t="str">
            <v>T HARSHAVARDHAN</v>
          </cell>
        </row>
        <row r="566">
          <cell r="C566">
            <v>11152</v>
          </cell>
          <cell r="D566" t="str">
            <v>Rajesh</v>
          </cell>
          <cell r="E566">
            <v>101384586232</v>
          </cell>
          <cell r="F566" t="str">
            <v>MALLALA RAJA SEKHAR</v>
          </cell>
        </row>
        <row r="567">
          <cell r="C567">
            <v>10416</v>
          </cell>
          <cell r="D567" t="str">
            <v>PARAMATA TRIMURTHULU</v>
          </cell>
          <cell r="E567">
            <v>101085081520</v>
          </cell>
          <cell r="F567" t="str">
            <v>PARAMATA TRIMURTHULU</v>
          </cell>
        </row>
        <row r="568">
          <cell r="C568">
            <v>11713</v>
          </cell>
          <cell r="D568" t="str">
            <v>B.Vinod</v>
          </cell>
          <cell r="E568">
            <v>101495354557</v>
          </cell>
          <cell r="F568" t="str">
            <v>BANDA VINOD</v>
          </cell>
        </row>
        <row r="569">
          <cell r="C569">
            <v>10398</v>
          </cell>
          <cell r="D569" t="str">
            <v>BHUPATHI BIKSHAPATHI</v>
          </cell>
          <cell r="E569">
            <v>101084143371</v>
          </cell>
          <cell r="F569" t="str">
            <v>BHUPATHI BIKSHAPATHI</v>
          </cell>
        </row>
        <row r="570">
          <cell r="C570">
            <v>11200</v>
          </cell>
          <cell r="D570" t="str">
            <v>KRUPAKAR</v>
          </cell>
          <cell r="E570">
            <v>102093274859</v>
          </cell>
          <cell r="F570" t="str">
            <v>KALLEM KRUPAKAR</v>
          </cell>
        </row>
        <row r="571">
          <cell r="C571">
            <v>10031</v>
          </cell>
          <cell r="D571" t="str">
            <v xml:space="preserve">KESHV LAL KUMAR </v>
          </cell>
          <cell r="E571">
            <v>101154917693</v>
          </cell>
          <cell r="F571" t="str">
            <v>KESHV LAL KUMAR</v>
          </cell>
        </row>
        <row r="572">
          <cell r="C572">
            <v>11516</v>
          </cell>
          <cell r="D572" t="str">
            <v>P.Lakshmaiah</v>
          </cell>
          <cell r="E572">
            <v>101127745901</v>
          </cell>
          <cell r="F572" t="str">
            <v>PERURI VENKATA LAKSHMAIAH</v>
          </cell>
        </row>
        <row r="573">
          <cell r="C573">
            <v>10784</v>
          </cell>
          <cell r="D573" t="str">
            <v>GUNDIMEDA KOTESWARA RAO</v>
          </cell>
          <cell r="E573">
            <v>101193717008</v>
          </cell>
          <cell r="F573" t="str">
            <v>GUNDIMEDA KOTESWARA RAO</v>
          </cell>
        </row>
        <row r="574">
          <cell r="C574">
            <v>10778</v>
          </cell>
          <cell r="D574" t="str">
            <v>PATCHIMALA MARIDI</v>
          </cell>
          <cell r="E574">
            <v>100461564038</v>
          </cell>
          <cell r="F574" t="str">
            <v>PATCHIMALA MARIDI</v>
          </cell>
        </row>
        <row r="575">
          <cell r="C575">
            <v>10969</v>
          </cell>
          <cell r="D575" t="str">
            <v>DHARANIKOTA RAVI KUMAR</v>
          </cell>
          <cell r="E575">
            <v>102085484993</v>
          </cell>
          <cell r="F575" t="str">
            <v>DHARANIKOTA RAVI KUMAR</v>
          </cell>
        </row>
        <row r="576">
          <cell r="C576">
            <v>10751</v>
          </cell>
          <cell r="D576" t="str">
            <v>GUNDIMALLA SATHISH</v>
          </cell>
          <cell r="E576">
            <v>101741666795</v>
          </cell>
          <cell r="F576" t="str">
            <v>GUNDIMALLA SATHISH</v>
          </cell>
        </row>
        <row r="577">
          <cell r="C577">
            <v>10752</v>
          </cell>
          <cell r="D577" t="str">
            <v xml:space="preserve"> GOLLA GANESH </v>
          </cell>
          <cell r="E577">
            <v>101797154820</v>
          </cell>
          <cell r="F577" t="str">
            <v>GOLLA GANESH</v>
          </cell>
        </row>
        <row r="578">
          <cell r="C578">
            <v>10852</v>
          </cell>
          <cell r="D578" t="str">
            <v>Purna Prakash</v>
          </cell>
          <cell r="E578">
            <v>102052943573</v>
          </cell>
          <cell r="F578" t="str">
            <v>MATTAPARTHI PURNA PRAKASH</v>
          </cell>
        </row>
        <row r="579">
          <cell r="C579">
            <v>11061</v>
          </cell>
          <cell r="D579" t="str">
            <v>A Nageswar Reddy</v>
          </cell>
          <cell r="E579">
            <v>101185696274</v>
          </cell>
          <cell r="F579" t="str">
            <v>AVULA NAGESWARA REDDY</v>
          </cell>
        </row>
        <row r="580">
          <cell r="C580">
            <v>11762</v>
          </cell>
          <cell r="D580" t="str">
            <v>M Narendra</v>
          </cell>
          <cell r="E580">
            <v>101749761353</v>
          </cell>
          <cell r="F580" t="str">
            <v>MALLA NARENDRA</v>
          </cell>
        </row>
        <row r="581">
          <cell r="C581">
            <v>11348</v>
          </cell>
          <cell r="D581" t="str">
            <v>K.Eswararao</v>
          </cell>
          <cell r="E581">
            <v>102189472978</v>
          </cell>
          <cell r="F581" t="str">
            <v>KONDETI ESWARA RAO</v>
          </cell>
        </row>
        <row r="582">
          <cell r="C582">
            <v>11434</v>
          </cell>
          <cell r="D582" t="str">
            <v>Ravi Kanth</v>
          </cell>
          <cell r="E582">
            <v>102200242354</v>
          </cell>
          <cell r="F582" t="str">
            <v>RAYAKOT CHINTALI RAVIKANTH</v>
          </cell>
        </row>
        <row r="583">
          <cell r="C583">
            <v>10750</v>
          </cell>
          <cell r="D583" t="str">
            <v>KARRA CHINNA NAGASESHULU</v>
          </cell>
          <cell r="E583">
            <v>100839163249</v>
          </cell>
          <cell r="F583" t="str">
            <v>KARRA CHINNA NAGASESHULU</v>
          </cell>
        </row>
        <row r="584">
          <cell r="C584">
            <v>10753</v>
          </cell>
          <cell r="D584" t="str">
            <v>GUNDUMALLA DURGA PRASAD</v>
          </cell>
          <cell r="E584">
            <v>101700244825</v>
          </cell>
          <cell r="F584" t="str">
            <v>GUNDUMALLA DURGA PRASAD</v>
          </cell>
        </row>
        <row r="585">
          <cell r="C585">
            <v>10755</v>
          </cell>
          <cell r="D585" t="str">
            <v>VAKKAPATLA NAGENDRA</v>
          </cell>
          <cell r="E585">
            <v>101223700676</v>
          </cell>
          <cell r="F585" t="str">
            <v>VAKKAPATLA NAGENDRA</v>
          </cell>
        </row>
        <row r="586">
          <cell r="C586">
            <v>10756</v>
          </cell>
          <cell r="D586" t="str">
            <v>PRASANTA SAMAL</v>
          </cell>
          <cell r="E586">
            <v>100908189595</v>
          </cell>
          <cell r="F586" t="str">
            <v>PRASANTA SAMAL</v>
          </cell>
        </row>
        <row r="587">
          <cell r="C587">
            <v>10748</v>
          </cell>
          <cell r="D587" t="str">
            <v>RANJIT NAYAK</v>
          </cell>
          <cell r="E587">
            <v>101371793580</v>
          </cell>
          <cell r="F587" t="str">
            <v>RANJIB NAYAK</v>
          </cell>
        </row>
        <row r="588">
          <cell r="C588">
            <v>10754</v>
          </cell>
          <cell r="D588" t="str">
            <v xml:space="preserve">BIJJA SRIRAMULU </v>
          </cell>
          <cell r="E588">
            <v>101498500879</v>
          </cell>
          <cell r="F588" t="str">
            <v>BIJJA SRIRAMULU</v>
          </cell>
        </row>
        <row r="589">
          <cell r="C589">
            <v>10758</v>
          </cell>
          <cell r="D589" t="str">
            <v>K NARESH</v>
          </cell>
          <cell r="E589">
            <v>102030507555</v>
          </cell>
          <cell r="F589" t="str">
            <v>K NARESH</v>
          </cell>
        </row>
        <row r="590">
          <cell r="C590">
            <v>11356</v>
          </cell>
          <cell r="D590" t="str">
            <v>K.Mahesh</v>
          </cell>
          <cell r="E590">
            <v>102191103036</v>
          </cell>
          <cell r="F590" t="str">
            <v>K MAHESH</v>
          </cell>
        </row>
        <row r="591">
          <cell r="C591">
            <v>10836</v>
          </cell>
          <cell r="D591" t="str">
            <v>Mukesh</v>
          </cell>
          <cell r="E591">
            <v>102058670346</v>
          </cell>
          <cell r="F591" t="str">
            <v>MAILA MUKESH</v>
          </cell>
        </row>
        <row r="592">
          <cell r="C592">
            <v>11617</v>
          </cell>
          <cell r="D592" t="str">
            <v>P.Dhananji</v>
          </cell>
          <cell r="E592">
            <v>102143849085</v>
          </cell>
          <cell r="F592" t="str">
            <v>POLAGONI DHANANJI</v>
          </cell>
        </row>
        <row r="593">
          <cell r="C593">
            <v>11629</v>
          </cell>
          <cell r="D593" t="str">
            <v>Abdul Malik</v>
          </cell>
          <cell r="E593">
            <v>101737235480</v>
          </cell>
          <cell r="F593" t="str">
            <v>ABDUL MALIK</v>
          </cell>
        </row>
        <row r="594">
          <cell r="C594">
            <v>11799</v>
          </cell>
          <cell r="D594" t="str">
            <v>Sadikur Rehman</v>
          </cell>
          <cell r="E594">
            <v>101968511315</v>
          </cell>
          <cell r="F594" t="str">
            <v>SADIKUR RAHMAN</v>
          </cell>
        </row>
        <row r="595">
          <cell r="C595">
            <v>11178</v>
          </cell>
          <cell r="D595" t="str">
            <v>Nehabobie</v>
          </cell>
          <cell r="E595">
            <v>102074144326</v>
          </cell>
          <cell r="F595" t="str">
            <v>MEHBOOBBEE</v>
          </cell>
        </row>
        <row r="596">
          <cell r="C596">
            <v>10521</v>
          </cell>
          <cell r="D596" t="str">
            <v>Chaitanya Satish</v>
          </cell>
          <cell r="E596">
            <v>101218708185</v>
          </cell>
          <cell r="F596" t="str">
            <v>CHINTAKULA CHAITANYA SATISH</v>
          </cell>
        </row>
        <row r="597">
          <cell r="C597">
            <v>10351</v>
          </cell>
          <cell r="D597" t="str">
            <v>NIDRABANGI APPARAO</v>
          </cell>
          <cell r="E597">
            <v>101653085282</v>
          </cell>
          <cell r="F597" t="str">
            <v>NIDRABANGI APPARAO</v>
          </cell>
        </row>
        <row r="598">
          <cell r="C598">
            <v>10554</v>
          </cell>
          <cell r="D598" t="str">
            <v>U RAJU</v>
          </cell>
          <cell r="E598">
            <v>101134463240</v>
          </cell>
          <cell r="F598" t="str">
            <v>UNDRU RAJU</v>
          </cell>
        </row>
        <row r="599">
          <cell r="C599">
            <v>10391</v>
          </cell>
          <cell r="D599" t="str">
            <v>B MAHESH</v>
          </cell>
          <cell r="E599">
            <v>101134463272</v>
          </cell>
          <cell r="F599" t="str">
            <v>BOYA MAHESH</v>
          </cell>
        </row>
        <row r="600">
          <cell r="C600">
            <v>10576</v>
          </cell>
          <cell r="D600" t="str">
            <v>G.NITHIN</v>
          </cell>
          <cell r="E600">
            <v>101871916035</v>
          </cell>
          <cell r="F600" t="str">
            <v>GANGADHARA NITHIN</v>
          </cell>
        </row>
        <row r="601">
          <cell r="C601">
            <v>10927</v>
          </cell>
          <cell r="D601" t="str">
            <v xml:space="preserve">G.Shanmuk </v>
          </cell>
          <cell r="E601">
            <v>101921514991</v>
          </cell>
          <cell r="F601" t="str">
            <v>GOLIVI SHANMUKHA RAO</v>
          </cell>
        </row>
        <row r="602">
          <cell r="C602">
            <v>10903</v>
          </cell>
          <cell r="D602" t="str">
            <v>K Rajesh</v>
          </cell>
          <cell r="E602">
            <v>102074080178</v>
          </cell>
          <cell r="F602" t="str">
            <v>KANDRU RAJESH</v>
          </cell>
        </row>
        <row r="603">
          <cell r="C603">
            <v>10891</v>
          </cell>
          <cell r="D603" t="str">
            <v>Koppishetty Naga Naveen</v>
          </cell>
          <cell r="E603">
            <v>102065510419</v>
          </cell>
          <cell r="F603" t="str">
            <v>KOPPISETTI NAGA NAVEEN</v>
          </cell>
        </row>
        <row r="604">
          <cell r="C604">
            <v>11149</v>
          </cell>
          <cell r="D604" t="str">
            <v>P SRINIVASULU</v>
          </cell>
          <cell r="E604">
            <v>100664728581</v>
          </cell>
          <cell r="F604" t="str">
            <v>PULI SRINIVASULU</v>
          </cell>
        </row>
        <row r="605">
          <cell r="C605">
            <v>11204</v>
          </cell>
          <cell r="D605" t="str">
            <v>M VENKATESH</v>
          </cell>
          <cell r="E605">
            <v>102140481910</v>
          </cell>
          <cell r="F605" t="str">
            <v>MALLADI VENKATESH</v>
          </cell>
        </row>
        <row r="606">
          <cell r="C606">
            <v>10341</v>
          </cell>
          <cell r="D606" t="str">
            <v>TAPAS PADHI</v>
          </cell>
          <cell r="E606">
            <v>101279327061</v>
          </cell>
          <cell r="F606" t="str">
            <v>TAPAS PADHI</v>
          </cell>
        </row>
        <row r="607">
          <cell r="C607">
            <v>10376</v>
          </cell>
          <cell r="D607" t="str">
            <v>PARESWOR BAL</v>
          </cell>
          <cell r="E607">
            <v>100775657873</v>
          </cell>
          <cell r="F607" t="str">
            <v>PARESWOR BAL</v>
          </cell>
        </row>
        <row r="608">
          <cell r="C608">
            <v>10340</v>
          </cell>
          <cell r="D608" t="str">
            <v>BIKASH KUMAR NAYAK</v>
          </cell>
          <cell r="E608">
            <v>101427469477</v>
          </cell>
          <cell r="F608" t="str">
            <v>BIKASH KUMAR NAYAK</v>
          </cell>
        </row>
        <row r="609">
          <cell r="C609">
            <v>10353</v>
          </cell>
          <cell r="D609" t="str">
            <v>BISWARAJ MISHRA</v>
          </cell>
          <cell r="E609">
            <v>101222620006</v>
          </cell>
          <cell r="F609" t="str">
            <v>BISWARAJ MISHRA</v>
          </cell>
        </row>
        <row r="610">
          <cell r="C610">
            <v>10363</v>
          </cell>
          <cell r="D610" t="str">
            <v>BIJAY KUMAR MALIK</v>
          </cell>
          <cell r="E610">
            <v>101216749013</v>
          </cell>
          <cell r="F610" t="str">
            <v>BIJAY KUMAR MALIK</v>
          </cell>
        </row>
        <row r="611">
          <cell r="C611">
            <v>10359</v>
          </cell>
          <cell r="D611" t="str">
            <v>BANAGANIPALLE SIDDAIAH</v>
          </cell>
          <cell r="E611">
            <v>100664727245</v>
          </cell>
          <cell r="F611" t="str">
            <v>BANAGANIPALLE SIDDAIAH</v>
          </cell>
        </row>
        <row r="612">
          <cell r="C612">
            <v>10357</v>
          </cell>
          <cell r="D612" t="str">
            <v>SATRUGHNA MALLIK</v>
          </cell>
          <cell r="E612">
            <v>100581331234</v>
          </cell>
          <cell r="F612" t="str">
            <v>SATRUGHNA MALLIK</v>
          </cell>
        </row>
        <row r="613">
          <cell r="C613">
            <v>10338</v>
          </cell>
          <cell r="D613" t="str">
            <v>ISWAR CHANDRA MALIK</v>
          </cell>
          <cell r="E613">
            <v>101266231121</v>
          </cell>
          <cell r="F613" t="str">
            <v>ISWAR CHANDRA MALIK</v>
          </cell>
        </row>
        <row r="614">
          <cell r="C614">
            <v>10345</v>
          </cell>
          <cell r="D614" t="str">
            <v>SRIKANTH MAJHI</v>
          </cell>
          <cell r="E614">
            <v>101293095106</v>
          </cell>
          <cell r="F614" t="str">
            <v>SRIKANTH MAJHI</v>
          </cell>
        </row>
        <row r="615">
          <cell r="C615">
            <v>10360</v>
          </cell>
          <cell r="D615" t="str">
            <v>BRUSAVANU SETHI</v>
          </cell>
          <cell r="E615">
            <v>101183263931</v>
          </cell>
          <cell r="F615" t="str">
            <v>BRUSAVANU SETHI</v>
          </cell>
        </row>
        <row r="616">
          <cell r="C616">
            <v>10362</v>
          </cell>
          <cell r="D616" t="str">
            <v>JAGAT JIVAN DASH</v>
          </cell>
          <cell r="E616">
            <v>101056610724</v>
          </cell>
          <cell r="F616" t="str">
            <v>JAGAT JIVAN DASH</v>
          </cell>
        </row>
        <row r="617">
          <cell r="C617">
            <v>11621</v>
          </cell>
          <cell r="D617" t="str">
            <v>Deepak</v>
          </cell>
          <cell r="E617">
            <v>101554572471</v>
          </cell>
          <cell r="F617" t="str">
            <v>DEEPAK KUMAR PANDA</v>
          </cell>
        </row>
        <row r="618">
          <cell r="C618">
            <v>10348</v>
          </cell>
          <cell r="D618" t="str">
            <v>MADAM SHYAM</v>
          </cell>
          <cell r="E618">
            <v>101653099212</v>
          </cell>
          <cell r="F618" t="str">
            <v>MADAM SHYAM</v>
          </cell>
        </row>
        <row r="619">
          <cell r="C619">
            <v>10909</v>
          </cell>
          <cell r="D619" t="str">
            <v>A Vyankat Jalaba</v>
          </cell>
          <cell r="E619">
            <v>102074214807</v>
          </cell>
          <cell r="F619" t="str">
            <v>AYALVAD VYANKAT JALABA</v>
          </cell>
        </row>
        <row r="620">
          <cell r="C620">
            <v>10933</v>
          </cell>
          <cell r="D620" t="str">
            <v>GAJANAN KISHAN</v>
          </cell>
          <cell r="E620">
            <v>101826795816</v>
          </cell>
          <cell r="F620" t="str">
            <v>GAJANAN KISHAN ZAMPALWAR</v>
          </cell>
        </row>
        <row r="621">
          <cell r="C621">
            <v>11390</v>
          </cell>
          <cell r="D621" t="str">
            <v>RAMAKRISHNA</v>
          </cell>
          <cell r="E621">
            <v>101425005944</v>
          </cell>
          <cell r="F621" t="str">
            <v>CH RAMAKRISHNA</v>
          </cell>
        </row>
        <row r="622">
          <cell r="C622">
            <v>10383</v>
          </cell>
          <cell r="D622" t="str">
            <v xml:space="preserve">METLA RADHAMMA </v>
          </cell>
          <cell r="E622">
            <v>101135611160</v>
          </cell>
          <cell r="F622" t="str">
            <v>METLA RADHAMMA</v>
          </cell>
        </row>
        <row r="623">
          <cell r="C623">
            <v>11608</v>
          </cell>
          <cell r="D623" t="str">
            <v>Naseem Begum</v>
          </cell>
          <cell r="E623">
            <v>101728722579</v>
          </cell>
          <cell r="F623" t="str">
            <v>NASEEMA BEGUM</v>
          </cell>
        </row>
        <row r="624">
          <cell r="C624">
            <v>11414</v>
          </cell>
          <cell r="D624" t="str">
            <v>Vijaya Laksmi</v>
          </cell>
          <cell r="E624">
            <v>101229024173</v>
          </cell>
          <cell r="F624" t="str">
            <v>ANEMONI VIJAYALAXMI</v>
          </cell>
        </row>
        <row r="625">
          <cell r="C625">
            <v>10952</v>
          </cell>
          <cell r="D625" t="str">
            <v>SAMIN</v>
          </cell>
          <cell r="E625">
            <v>101835274895</v>
          </cell>
          <cell r="F625" t="str">
            <v>ABDUL SAMIN MAZUMDER</v>
          </cell>
        </row>
        <row r="626">
          <cell r="C626">
            <v>11286</v>
          </cell>
          <cell r="D626" t="str">
            <v xml:space="preserve">Shofirul islam </v>
          </cell>
          <cell r="E626">
            <v>102137603700</v>
          </cell>
          <cell r="F626" t="str">
            <v>SHORIFUL ISLAM</v>
          </cell>
        </row>
        <row r="627">
          <cell r="C627">
            <v>10296</v>
          </cell>
          <cell r="D627" t="str">
            <v xml:space="preserve">P RUPA </v>
          </cell>
          <cell r="E627">
            <v>101023216919</v>
          </cell>
          <cell r="F627" t="str">
            <v>PANJALA ROOPA</v>
          </cell>
        </row>
        <row r="628">
          <cell r="C628">
            <v>11482</v>
          </cell>
          <cell r="D628" t="str">
            <v>Abdul Kalam Laskar</v>
          </cell>
          <cell r="E628">
            <v>102117125411</v>
          </cell>
          <cell r="F628" t="str">
            <v>ABDUL KALAM LASKAR</v>
          </cell>
        </row>
        <row r="629">
          <cell r="C629">
            <v>11775</v>
          </cell>
          <cell r="D629" t="str">
            <v>V . Sridhar</v>
          </cell>
          <cell r="E629">
            <v>101771427645</v>
          </cell>
          <cell r="F629" t="str">
            <v>VEMALA SRIDHAR</v>
          </cell>
        </row>
        <row r="630">
          <cell r="C630">
            <v>10732</v>
          </cell>
          <cell r="D630" t="str">
            <v>Ankith</v>
          </cell>
          <cell r="E630">
            <v>102026106074</v>
          </cell>
          <cell r="F630" t="str">
            <v>ANKIT</v>
          </cell>
        </row>
        <row r="631">
          <cell r="C631">
            <v>11953</v>
          </cell>
          <cell r="D631" t="str">
            <v>Joynal Hussain Laskar</v>
          </cell>
          <cell r="E631">
            <v>102273039475</v>
          </cell>
          <cell r="F631" t="str">
            <v>JOYNAL HUSSAIN LASKAR</v>
          </cell>
        </row>
        <row r="632">
          <cell r="C632">
            <v>10279</v>
          </cell>
          <cell r="D632" t="str">
            <v>R Anil Kumar</v>
          </cell>
          <cell r="E632">
            <v>101483518934</v>
          </cell>
          <cell r="F632" t="str">
            <v>RYALI ANIL KUMAR</v>
          </cell>
        </row>
        <row r="633">
          <cell r="C633">
            <v>11585</v>
          </cell>
          <cell r="D633" t="str">
            <v>K. Sudhakar</v>
          </cell>
          <cell r="E633">
            <v>101781835452</v>
          </cell>
          <cell r="F633" t="str">
            <v>KARNATI SUDHAKAR REDDY</v>
          </cell>
        </row>
        <row r="634">
          <cell r="C634">
            <v>11906</v>
          </cell>
          <cell r="D634" t="str">
            <v>CH Bharath</v>
          </cell>
          <cell r="E634">
            <v>101310975701</v>
          </cell>
          <cell r="F634" t="str">
            <v>CHINTHA BHARATH KUMAR</v>
          </cell>
        </row>
        <row r="635">
          <cell r="C635">
            <v>11582</v>
          </cell>
          <cell r="D635" t="str">
            <v>C. Manjunath</v>
          </cell>
          <cell r="E635">
            <v>100903702855</v>
          </cell>
          <cell r="F635" t="str">
            <v>MANJUNATHA C</v>
          </cell>
        </row>
        <row r="636">
          <cell r="C636">
            <v>11680</v>
          </cell>
          <cell r="D636" t="str">
            <v>CHANDRASEKHAR DAS</v>
          </cell>
          <cell r="E636">
            <v>101844387712</v>
          </cell>
          <cell r="F636" t="str">
            <v>CHANDRASEKHAR DAS</v>
          </cell>
        </row>
        <row r="637">
          <cell r="C637">
            <v>11693</v>
          </cell>
          <cell r="D637" t="str">
            <v>G.Pavan kumar</v>
          </cell>
          <cell r="E637">
            <v>101341256229</v>
          </cell>
          <cell r="F637" t="str">
            <v>GUJJAPOINA PAVAN KUMAR</v>
          </cell>
        </row>
        <row r="638">
          <cell r="C638">
            <v>11707</v>
          </cell>
          <cell r="D638" t="str">
            <v>D.Ajay</v>
          </cell>
          <cell r="E638">
            <v>101944590892</v>
          </cell>
          <cell r="F638" t="str">
            <v>D AJAY</v>
          </cell>
        </row>
        <row r="639">
          <cell r="C639">
            <v>11728</v>
          </cell>
          <cell r="D639" t="str">
            <v>Abdul chowdary</v>
          </cell>
          <cell r="E639">
            <v>101371275944</v>
          </cell>
          <cell r="F639" t="str">
            <v>ABDULLA  CHOUDHURY</v>
          </cell>
        </row>
        <row r="640">
          <cell r="C640">
            <v>11820</v>
          </cell>
          <cell r="D640" t="str">
            <v>Ram kumar</v>
          </cell>
          <cell r="E640">
            <v>101477098724</v>
          </cell>
          <cell r="F640" t="str">
            <v>RAMKUMAR BAN</v>
          </cell>
        </row>
        <row r="641">
          <cell r="C641">
            <v>11653</v>
          </cell>
          <cell r="D641" t="str">
            <v>N.Jyothi</v>
          </cell>
          <cell r="E641">
            <v>102103203399</v>
          </cell>
          <cell r="F641" t="str">
            <v>NAGAVATH JYOTHI</v>
          </cell>
        </row>
        <row r="642">
          <cell r="C642">
            <v>11255</v>
          </cell>
          <cell r="D642" t="str">
            <v>Vinod Kumar</v>
          </cell>
          <cell r="E642">
            <v>101882268943</v>
          </cell>
          <cell r="F642" t="str">
            <v>VINOD PRASAD</v>
          </cell>
        </row>
        <row r="643">
          <cell r="C643">
            <v>11321</v>
          </cell>
          <cell r="D643" t="str">
            <v>kamrul islam</v>
          </cell>
          <cell r="E643">
            <v>101243943018</v>
          </cell>
          <cell r="F643" t="str">
            <v>KAMRUL ISLAM CHOUDHURY</v>
          </cell>
        </row>
        <row r="644">
          <cell r="C644">
            <v>11792</v>
          </cell>
          <cell r="D644" t="str">
            <v>Safar Uddin</v>
          </cell>
          <cell r="E644">
            <v>101060756483</v>
          </cell>
          <cell r="F644" t="str">
            <v>SOFOR UDDIN SHEKH</v>
          </cell>
        </row>
        <row r="645">
          <cell r="C645">
            <v>11880</v>
          </cell>
          <cell r="D645" t="str">
            <v>CH.Padmavathi</v>
          </cell>
          <cell r="E645">
            <v>101402497805</v>
          </cell>
          <cell r="F645" t="str">
            <v>CHINTA PADMA VATHI</v>
          </cell>
        </row>
        <row r="646">
          <cell r="C646">
            <v>11119</v>
          </cell>
          <cell r="D646" t="str">
            <v>Atakula Sandeep Kumar Reddy</v>
          </cell>
          <cell r="E646">
            <v>101694320811</v>
          </cell>
          <cell r="F646" t="str">
            <v>ATAKULA SANDEEP KUMAR REDDY</v>
          </cell>
        </row>
        <row r="647">
          <cell r="C647">
            <v>11731</v>
          </cell>
          <cell r="D647" t="str">
            <v>V.Sandhya</v>
          </cell>
          <cell r="E647">
            <v>102267196571</v>
          </cell>
          <cell r="F647" t="str">
            <v>VARTYA SANDHYA</v>
          </cell>
        </row>
        <row r="648">
          <cell r="C648">
            <v>11655</v>
          </cell>
          <cell r="D648" t="str">
            <v>Kummari.Mahesh</v>
          </cell>
          <cell r="E648">
            <v>101726605652</v>
          </cell>
          <cell r="F648" t="str">
            <v>KUMMARI MAHESH</v>
          </cell>
        </row>
        <row r="649">
          <cell r="C649">
            <v>11117</v>
          </cell>
          <cell r="D649" t="str">
            <v>T.Jayamma</v>
          </cell>
          <cell r="E649">
            <v>101268519194</v>
          </cell>
          <cell r="F649" t="str">
            <v>T JAYAMMA</v>
          </cell>
        </row>
        <row r="650">
          <cell r="C650">
            <v>11118</v>
          </cell>
          <cell r="D650" t="str">
            <v>Managali Chittemma</v>
          </cell>
          <cell r="E650">
            <v>101866095470</v>
          </cell>
          <cell r="F650" t="str">
            <v>MANGALI CHITTEMMA</v>
          </cell>
        </row>
        <row r="651">
          <cell r="C651">
            <v>11123</v>
          </cell>
          <cell r="D651" t="str">
            <v>Sapavat Chitti</v>
          </cell>
          <cell r="E651">
            <v>101441143667</v>
          </cell>
          <cell r="F651" t="str">
            <v>SAPAVAT CHITTI</v>
          </cell>
        </row>
        <row r="652">
          <cell r="C652">
            <v>11937</v>
          </cell>
          <cell r="D652" t="str">
            <v>IRFAN BEGUM</v>
          </cell>
          <cell r="E652">
            <v>102192112730</v>
          </cell>
          <cell r="F652" t="str">
            <v>IRFANA BEGUM</v>
          </cell>
        </row>
        <row r="653">
          <cell r="C653">
            <v>11440</v>
          </cell>
          <cell r="D653" t="str">
            <v>SONI DEVI</v>
          </cell>
          <cell r="E653">
            <v>102200566524</v>
          </cell>
          <cell r="F653" t="str">
            <v>SONI DEVI</v>
          </cell>
        </row>
        <row r="654">
          <cell r="C654">
            <v>11124</v>
          </cell>
          <cell r="D654" t="str">
            <v>Tagaram Suvartha</v>
          </cell>
          <cell r="E654">
            <v>101441143622</v>
          </cell>
          <cell r="F654" t="str">
            <v>TAGARAM SUVARTHA</v>
          </cell>
        </row>
        <row r="655">
          <cell r="C655">
            <v>10950</v>
          </cell>
          <cell r="D655" t="str">
            <v>CHITNIDI GANGA BHAVANI</v>
          </cell>
          <cell r="E655">
            <v>101513364506</v>
          </cell>
          <cell r="F655" t="str">
            <v>CHITNIDI GANGABHAVANI</v>
          </cell>
        </row>
        <row r="656">
          <cell r="C656">
            <v>10951</v>
          </cell>
          <cell r="D656" t="str">
            <v>Subsini behera</v>
          </cell>
          <cell r="E656">
            <v>101562528089</v>
          </cell>
          <cell r="F656" t="str">
            <v>SUBASINI BEHERA</v>
          </cell>
        </row>
        <row r="657">
          <cell r="C657">
            <v>10949</v>
          </cell>
          <cell r="D657" t="str">
            <v>SILUVERU UDAYA</v>
          </cell>
          <cell r="E657">
            <v>101209146397</v>
          </cell>
          <cell r="F657" t="str">
            <v>SILUVERU UDAYA</v>
          </cell>
        </row>
        <row r="658">
          <cell r="C658">
            <v>10960</v>
          </cell>
          <cell r="D658" t="str">
            <v>masam shoba</v>
          </cell>
          <cell r="E658">
            <v>101840632558</v>
          </cell>
          <cell r="F658" t="str">
            <v>MASAM SHOBHA</v>
          </cell>
        </row>
        <row r="659">
          <cell r="C659">
            <v>11145</v>
          </cell>
          <cell r="D659" t="str">
            <v>Immamudin Laskar</v>
          </cell>
          <cell r="E659">
            <v>102125127557</v>
          </cell>
          <cell r="F659" t="str">
            <v>IMAN UDDIN LASKAR</v>
          </cell>
        </row>
        <row r="660">
          <cell r="C660">
            <v>11237</v>
          </cell>
          <cell r="D660" t="str">
            <v>Barathi Raj</v>
          </cell>
          <cell r="E660">
            <v>102056795976</v>
          </cell>
          <cell r="F660" t="str">
            <v>BHARATI RAJ</v>
          </cell>
        </row>
        <row r="661">
          <cell r="C661">
            <v>11291</v>
          </cell>
          <cell r="D661" t="str">
            <v>Laxmaiah</v>
          </cell>
          <cell r="E661">
            <v>102164694469</v>
          </cell>
          <cell r="F661" t="str">
            <v>PUTTAPATI LAXMAIAH</v>
          </cell>
        </row>
        <row r="662">
          <cell r="C662">
            <v>11323</v>
          </cell>
          <cell r="D662" t="str">
            <v>K.Saroja</v>
          </cell>
          <cell r="E662">
            <v>101415313589</v>
          </cell>
          <cell r="F662" t="str">
            <v>KATTHULA  SAROJA</v>
          </cell>
        </row>
        <row r="663">
          <cell r="C663">
            <v>11413</v>
          </cell>
          <cell r="D663" t="str">
            <v>Ritu Bai</v>
          </cell>
          <cell r="E663">
            <v>102121475507</v>
          </cell>
          <cell r="F663" t="str">
            <v>RITO BAI</v>
          </cell>
        </row>
        <row r="664">
          <cell r="C664">
            <v>11362</v>
          </cell>
          <cell r="D664" t="str">
            <v>Surubali bhoi</v>
          </cell>
          <cell r="E664">
            <v>102110685631</v>
          </cell>
          <cell r="F664" t="str">
            <v>SURUBALI BHOI</v>
          </cell>
        </row>
        <row r="665">
          <cell r="C665">
            <v>11566</v>
          </cell>
          <cell r="D665" t="str">
            <v>GATHPA VENKATESH</v>
          </cell>
          <cell r="E665">
            <v>102226281028</v>
          </cell>
          <cell r="F665" t="str">
            <v>GATHPA VENKATESH</v>
          </cell>
        </row>
        <row r="666">
          <cell r="C666">
            <v>11604</v>
          </cell>
          <cell r="D666" t="str">
            <v>Lela Kumari</v>
          </cell>
          <cell r="E666">
            <v>101980113467</v>
          </cell>
          <cell r="F666" t="str">
            <v>LILA KUMARI VARE</v>
          </cell>
        </row>
        <row r="667">
          <cell r="C667">
            <v>11645</v>
          </cell>
          <cell r="D667" t="str">
            <v>KALPANA</v>
          </cell>
          <cell r="E667">
            <v>102244121693</v>
          </cell>
          <cell r="F667" t="str">
            <v>KALPANA DALNAIK</v>
          </cell>
        </row>
        <row r="668">
          <cell r="C668">
            <v>11797</v>
          </cell>
          <cell r="D668" t="str">
            <v>Sukanta</v>
          </cell>
          <cell r="E668">
            <v>101567851752</v>
          </cell>
          <cell r="F668" t="str">
            <v>SUKANTA MAHANAIK</v>
          </cell>
        </row>
        <row r="669">
          <cell r="C669">
            <v>11821</v>
          </cell>
          <cell r="D669" t="str">
            <v>PRAMILA</v>
          </cell>
          <cell r="E669">
            <v>102283729016</v>
          </cell>
          <cell r="F669" t="str">
            <v>PRAMILA RAJ</v>
          </cell>
        </row>
        <row r="670">
          <cell r="C670">
            <v>11852</v>
          </cell>
          <cell r="D670" t="str">
            <v>VIJAYA Lakshmi</v>
          </cell>
          <cell r="E670">
            <v>101771004524</v>
          </cell>
          <cell r="F670" t="str">
            <v>P VIJAYA LAXMI</v>
          </cell>
        </row>
        <row r="671">
          <cell r="C671">
            <v>11146</v>
          </cell>
          <cell r="D671" t="str">
            <v>Jenani</v>
          </cell>
          <cell r="E671">
            <v>101865597580</v>
          </cell>
          <cell r="F671" t="str">
            <v>JANANI SI</v>
          </cell>
        </row>
        <row r="672">
          <cell r="C672">
            <v>11913</v>
          </cell>
          <cell r="D672" t="str">
            <v>ANJAMMA</v>
          </cell>
          <cell r="E672">
            <v>101567262531</v>
          </cell>
          <cell r="F672" t="str">
            <v>ANJAMMA</v>
          </cell>
        </row>
        <row r="673">
          <cell r="C673">
            <v>11536</v>
          </cell>
          <cell r="D673" t="str">
            <v>YOUDHDKURE</v>
          </cell>
          <cell r="E673">
            <v>101305339175</v>
          </cell>
          <cell r="F673" t="str">
            <v>ANTHATI KALYAN</v>
          </cell>
        </row>
        <row r="674">
          <cell r="C674">
            <v>11934</v>
          </cell>
          <cell r="D674" t="str">
            <v>UMA SHANKAR</v>
          </cell>
          <cell r="E674">
            <v>102211568960</v>
          </cell>
          <cell r="F674" t="str">
            <v>UMASHANKAR KHANDEY</v>
          </cell>
        </row>
        <row r="675">
          <cell r="C675">
            <v>10953</v>
          </cell>
          <cell r="D675" t="str">
            <v>BHASKAR</v>
          </cell>
          <cell r="E675">
            <v>101645636044</v>
          </cell>
          <cell r="F675" t="str">
            <v>BHASKAR BEHERA</v>
          </cell>
        </row>
        <row r="676">
          <cell r="C676">
            <v>11837</v>
          </cell>
          <cell r="D676" t="str">
            <v>RAJU DAS</v>
          </cell>
          <cell r="E676">
            <v>101320487505</v>
          </cell>
          <cell r="F676" t="str">
            <v>RAJU DAS</v>
          </cell>
        </row>
        <row r="677">
          <cell r="C677">
            <v>11914</v>
          </cell>
          <cell r="D677" t="str">
            <v>KUNI</v>
          </cell>
          <cell r="E677">
            <v>101848899756</v>
          </cell>
          <cell r="F677" t="str">
            <v>KUNI DHAL</v>
          </cell>
        </row>
        <row r="678">
          <cell r="C678">
            <v>11343</v>
          </cell>
          <cell r="D678" t="str">
            <v>N Nagaraju</v>
          </cell>
          <cell r="E678">
            <v>101993538469</v>
          </cell>
          <cell r="F678" t="str">
            <v>NIRUTI NAGARAJU</v>
          </cell>
        </row>
        <row r="679">
          <cell r="C679">
            <v>10907</v>
          </cell>
          <cell r="D679" t="str">
            <v>PEDDOJI SRINU</v>
          </cell>
          <cell r="E679">
            <v>101378459867</v>
          </cell>
          <cell r="F679" t="str">
            <v>PEDDOJI SRINU</v>
          </cell>
        </row>
        <row r="680">
          <cell r="C680">
            <v>11806</v>
          </cell>
          <cell r="D680" t="str">
            <v>VAMSIKRISHNA</v>
          </cell>
          <cell r="E680">
            <v>101925975347</v>
          </cell>
          <cell r="F680" t="str">
            <v>PUJALA VAMSI KRISHNA</v>
          </cell>
        </row>
        <row r="681">
          <cell r="C681">
            <v>11648</v>
          </cell>
          <cell r="D681" t="str">
            <v>G.GANESH</v>
          </cell>
          <cell r="E681">
            <v>101555306548</v>
          </cell>
          <cell r="F681" t="str">
            <v>GUDELLI GANESH</v>
          </cell>
        </row>
        <row r="682">
          <cell r="C682">
            <v>11885</v>
          </cell>
          <cell r="D682" t="str">
            <v>A.SHASHANK</v>
          </cell>
          <cell r="E682">
            <v>102196462797</v>
          </cell>
          <cell r="F682" t="str">
            <v>AKKERA SHASHANK</v>
          </cell>
        </row>
        <row r="683">
          <cell r="C683">
            <v>11929</v>
          </cell>
          <cell r="D683" t="str">
            <v>RAJU YEDDU</v>
          </cell>
          <cell r="E683">
            <v>101639454160</v>
          </cell>
          <cell r="F683" t="str">
            <v>YEDDU RAJU</v>
          </cell>
        </row>
        <row r="684">
          <cell r="C684">
            <v>11802</v>
          </cell>
          <cell r="D684" t="str">
            <v>DINESH</v>
          </cell>
          <cell r="E684">
            <v>101863001151</v>
          </cell>
          <cell r="F684" t="str">
            <v>KAIRA DINESH</v>
          </cell>
        </row>
        <row r="685">
          <cell r="C685">
            <v>10791</v>
          </cell>
          <cell r="D685" t="str">
            <v>Lingala Vikram</v>
          </cell>
          <cell r="E685">
            <v>102041553689</v>
          </cell>
          <cell r="F685" t="str">
            <v>LINGALA VIKRAM</v>
          </cell>
        </row>
        <row r="686">
          <cell r="C686">
            <v>11650</v>
          </cell>
          <cell r="D686" t="str">
            <v>L.Naveen</v>
          </cell>
          <cell r="E686">
            <v>101633148541</v>
          </cell>
          <cell r="F686" t="str">
            <v>LINGA NAVEEN</v>
          </cell>
        </row>
        <row r="687">
          <cell r="C687">
            <v>10592</v>
          </cell>
          <cell r="D687" t="str">
            <v xml:space="preserve">V.Praveen </v>
          </cell>
          <cell r="E687">
            <v>101979889018</v>
          </cell>
          <cell r="F687" t="str">
            <v>VALLAPU PRAVEEN</v>
          </cell>
        </row>
        <row r="688">
          <cell r="C688">
            <v>10932</v>
          </cell>
          <cell r="D688" t="str">
            <v>J.Mani Prasad</v>
          </cell>
          <cell r="E688">
            <v>101196640177</v>
          </cell>
          <cell r="F688" t="str">
            <v>JOGINI MANIPRASAD</v>
          </cell>
        </row>
        <row r="689">
          <cell r="C689">
            <v>11096</v>
          </cell>
          <cell r="D689" t="str">
            <v>BURUGU ASHOK</v>
          </cell>
          <cell r="E689">
            <v>100555877253</v>
          </cell>
          <cell r="F689" t="str">
            <v>BURUGU ASHOK</v>
          </cell>
        </row>
        <row r="690">
          <cell r="C690">
            <v>10569</v>
          </cell>
          <cell r="D690" t="str">
            <v>CH.VENKATESH</v>
          </cell>
          <cell r="E690">
            <v>100126050414</v>
          </cell>
          <cell r="F690" t="str">
            <v>CHIRLA VENKATESH</v>
          </cell>
        </row>
        <row r="691">
          <cell r="C691">
            <v>11272</v>
          </cell>
          <cell r="D691" t="str">
            <v>PRASANNA KUMAR</v>
          </cell>
          <cell r="E691">
            <v>101490983729</v>
          </cell>
          <cell r="F691" t="str">
            <v>CHOPPALA PRASSANNA KUMAR</v>
          </cell>
        </row>
        <row r="692">
          <cell r="C692">
            <v>11665</v>
          </cell>
          <cell r="D692" t="str">
            <v>M.LAXMAN</v>
          </cell>
          <cell r="E692">
            <v>101361232949</v>
          </cell>
          <cell r="F692" t="str">
            <v>MEKALA LAKSHMAN</v>
          </cell>
        </row>
        <row r="693">
          <cell r="C693">
            <v>11770</v>
          </cell>
          <cell r="D693" t="str">
            <v>B.LAXMAN</v>
          </cell>
          <cell r="E693">
            <v>102274432314</v>
          </cell>
          <cell r="F693" t="str">
            <v>BURANI LAXMAN GOUD</v>
          </cell>
        </row>
        <row r="694">
          <cell r="C694">
            <v>10850</v>
          </cell>
          <cell r="D694" t="str">
            <v>ARVA SWAMY</v>
          </cell>
          <cell r="E694">
            <v>100668773736</v>
          </cell>
          <cell r="F694" t="str">
            <v>ARVA SWAMY</v>
          </cell>
        </row>
        <row r="695">
          <cell r="C695">
            <v>10557</v>
          </cell>
          <cell r="D695" t="str">
            <v>S.BALAKRISHNA</v>
          </cell>
          <cell r="E695">
            <v>101460534565</v>
          </cell>
          <cell r="F695" t="str">
            <v>SALLURI BALAKRISHNA</v>
          </cell>
        </row>
        <row r="696">
          <cell r="C696">
            <v>10567</v>
          </cell>
          <cell r="D696" t="str">
            <v>BABAMIYA</v>
          </cell>
          <cell r="E696">
            <v>100209914294</v>
          </cell>
          <cell r="F696" t="str">
            <v>BABA MIYA</v>
          </cell>
        </row>
        <row r="697">
          <cell r="C697">
            <v>11666</v>
          </cell>
          <cell r="D697" t="str">
            <v>N.JOHNY</v>
          </cell>
          <cell r="E697">
            <v>102008102102</v>
          </cell>
          <cell r="F697" t="str">
            <v>NARRA JOHNY</v>
          </cell>
        </row>
        <row r="698">
          <cell r="C698">
            <v>10563</v>
          </cell>
          <cell r="D698" t="str">
            <v>SAIK JAFFAR</v>
          </cell>
          <cell r="E698">
            <v>101877237534</v>
          </cell>
          <cell r="F698" t="str">
            <v>SHAIK JAFFAR</v>
          </cell>
        </row>
        <row r="699">
          <cell r="C699">
            <v>10972</v>
          </cell>
          <cell r="D699" t="str">
            <v>I.MAHESH BABU</v>
          </cell>
          <cell r="E699">
            <v>102086162342</v>
          </cell>
          <cell r="F699" t="str">
            <v>INDUPALLI MAHESH BABU</v>
          </cell>
        </row>
        <row r="700">
          <cell r="C700">
            <v>10563</v>
          </cell>
          <cell r="D700" t="str">
            <v>SAIK JAFFAR</v>
          </cell>
          <cell r="E700">
            <v>101877237534</v>
          </cell>
          <cell r="F700" t="str">
            <v>SHAIK JAFFAR</v>
          </cell>
        </row>
        <row r="701">
          <cell r="C701">
            <v>10561</v>
          </cell>
          <cell r="D701" t="str">
            <v>SIKANDAR  ALAM</v>
          </cell>
          <cell r="E701">
            <v>100209914287</v>
          </cell>
          <cell r="F701" t="str">
            <v>SIKANDAR ALAM</v>
          </cell>
        </row>
        <row r="702">
          <cell r="C702">
            <v>11888</v>
          </cell>
          <cell r="D702" t="str">
            <v>V.MADHU</v>
          </cell>
          <cell r="E702">
            <v>101939949102</v>
          </cell>
          <cell r="F702" t="str">
            <v>VALLAPU  MADHU</v>
          </cell>
        </row>
        <row r="703">
          <cell r="C703">
            <v>11910</v>
          </cell>
          <cell r="D703" t="str">
            <v>K.CHARAN</v>
          </cell>
          <cell r="E703">
            <v>102309517868</v>
          </cell>
          <cell r="F703" t="str">
            <v>KUKKALA CHARAN TEJA</v>
          </cell>
        </row>
        <row r="704">
          <cell r="C704">
            <v>11756</v>
          </cell>
          <cell r="D704" t="str">
            <v>B.SANJAY KUMAR</v>
          </cell>
          <cell r="E704">
            <v>102272105462</v>
          </cell>
          <cell r="F704" t="str">
            <v>BHUKYA SANJAY KUMAR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PAYSHEET AS PER NEW CTC"/>
      <sheetName val="ATTANDANCE"/>
      <sheetName val="PAYSHEET"/>
      <sheetName val="BANK STMT"/>
    </sheetNames>
    <sheetDataSet>
      <sheetData sheetId="0" refreshError="1"/>
      <sheetData sheetId="1" refreshError="1"/>
      <sheetData sheetId="2">
        <row r="7">
          <cell r="B7">
            <v>11320</v>
          </cell>
          <cell r="C7" t="str">
            <v>D.Raju</v>
          </cell>
          <cell r="E7" t="str">
            <v>HK Supervisor</v>
          </cell>
          <cell r="F7" t="str">
            <v>P</v>
          </cell>
          <cell r="G7" t="str">
            <v>P</v>
          </cell>
          <cell r="H7" t="str">
            <v>P</v>
          </cell>
          <cell r="I7" t="str">
            <v>P</v>
          </cell>
          <cell r="J7" t="str">
            <v>W/O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P</v>
          </cell>
          <cell r="P7" t="str">
            <v>P</v>
          </cell>
          <cell r="Q7" t="str">
            <v>W/O</v>
          </cell>
          <cell r="R7" t="str">
            <v>P</v>
          </cell>
          <cell r="S7" t="str">
            <v>P</v>
          </cell>
          <cell r="T7" t="str">
            <v>P</v>
          </cell>
          <cell r="U7" t="str">
            <v>P</v>
          </cell>
          <cell r="V7" t="str">
            <v>P</v>
          </cell>
          <cell r="W7" t="str">
            <v>P</v>
          </cell>
          <cell r="X7" t="str">
            <v>W/O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P</v>
          </cell>
          <cell r="AC7" t="str">
            <v>P</v>
          </cell>
          <cell r="AD7" t="str">
            <v>P</v>
          </cell>
          <cell r="AE7" t="str">
            <v>W/O</v>
          </cell>
          <cell r="AF7" t="str">
            <v>P</v>
          </cell>
          <cell r="AG7" t="str">
            <v>P</v>
          </cell>
          <cell r="AH7" t="str">
            <v>P</v>
          </cell>
          <cell r="AI7" t="str">
            <v>P</v>
          </cell>
          <cell r="AJ7" t="str">
            <v>P</v>
          </cell>
          <cell r="AK7">
            <v>31</v>
          </cell>
          <cell r="AL7">
            <v>27</v>
          </cell>
          <cell r="AM7">
            <v>4</v>
          </cell>
          <cell r="AN7">
            <v>0</v>
          </cell>
          <cell r="AO7">
            <v>0</v>
          </cell>
          <cell r="AP7">
            <v>0</v>
          </cell>
          <cell r="AQ7">
            <v>31</v>
          </cell>
          <cell r="AR7">
            <v>0</v>
          </cell>
        </row>
        <row r="9">
          <cell r="B9">
            <v>11342</v>
          </cell>
          <cell r="C9" t="str">
            <v>G.Venu Gopal</v>
          </cell>
          <cell r="E9" t="str">
            <v>Technician</v>
          </cell>
          <cell r="F9" t="str">
            <v>P</v>
          </cell>
          <cell r="G9" t="str">
            <v>P</v>
          </cell>
          <cell r="H9" t="str">
            <v>A</v>
          </cell>
          <cell r="I9" t="str">
            <v>A</v>
          </cell>
          <cell r="J9" t="str">
            <v>A</v>
          </cell>
          <cell r="K9" t="str">
            <v>A</v>
          </cell>
          <cell r="L9" t="str">
            <v>P</v>
          </cell>
          <cell r="M9" t="str">
            <v>P</v>
          </cell>
          <cell r="N9" t="str">
            <v>P</v>
          </cell>
          <cell r="O9" t="str">
            <v>P</v>
          </cell>
          <cell r="P9" t="str">
            <v>P</v>
          </cell>
          <cell r="Q9" t="str">
            <v>W/O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P</v>
          </cell>
          <cell r="V9" t="str">
            <v>P</v>
          </cell>
          <cell r="W9" t="str">
            <v>P</v>
          </cell>
          <cell r="X9" t="str">
            <v>W/O</v>
          </cell>
          <cell r="Y9" t="str">
            <v>P</v>
          </cell>
          <cell r="Z9" t="str">
            <v>P</v>
          </cell>
          <cell r="AA9" t="str">
            <v>P</v>
          </cell>
          <cell r="AB9" t="str">
            <v>P</v>
          </cell>
          <cell r="AC9" t="str">
            <v>P</v>
          </cell>
          <cell r="AD9" t="str">
            <v>P</v>
          </cell>
          <cell r="AE9" t="str">
            <v>W/O</v>
          </cell>
          <cell r="AF9" t="str">
            <v>P</v>
          </cell>
          <cell r="AG9" t="str">
            <v>P</v>
          </cell>
          <cell r="AH9" t="str">
            <v>P</v>
          </cell>
          <cell r="AI9" t="str">
            <v>P</v>
          </cell>
          <cell r="AJ9" t="str">
            <v>P</v>
          </cell>
          <cell r="AK9">
            <v>31</v>
          </cell>
          <cell r="AL9">
            <v>24</v>
          </cell>
          <cell r="AM9">
            <v>3</v>
          </cell>
          <cell r="AN9">
            <v>68</v>
          </cell>
          <cell r="AO9">
            <v>4</v>
          </cell>
          <cell r="AP9">
            <v>0</v>
          </cell>
          <cell r="AQ9">
            <v>27</v>
          </cell>
          <cell r="AR9">
            <v>8.5</v>
          </cell>
        </row>
        <row r="10">
          <cell r="F10">
            <v>3</v>
          </cell>
          <cell r="L10">
            <v>3</v>
          </cell>
          <cell r="M10">
            <v>3</v>
          </cell>
          <cell r="N10">
            <v>3</v>
          </cell>
          <cell r="O10">
            <v>3</v>
          </cell>
          <cell r="P10">
            <v>3</v>
          </cell>
          <cell r="R10">
            <v>2</v>
          </cell>
          <cell r="S10">
            <v>3</v>
          </cell>
          <cell r="T10">
            <v>3</v>
          </cell>
          <cell r="U10">
            <v>3</v>
          </cell>
          <cell r="V10">
            <v>3</v>
          </cell>
          <cell r="W10">
            <v>3</v>
          </cell>
          <cell r="Y10">
            <v>3</v>
          </cell>
          <cell r="Z10">
            <v>3</v>
          </cell>
          <cell r="AA10">
            <v>3</v>
          </cell>
          <cell r="AB10">
            <v>3</v>
          </cell>
          <cell r="AC10">
            <v>3</v>
          </cell>
          <cell r="AD10">
            <v>3</v>
          </cell>
          <cell r="AF10">
            <v>3</v>
          </cell>
          <cell r="AG10">
            <v>3</v>
          </cell>
          <cell r="AH10">
            <v>3</v>
          </cell>
          <cell r="AI10">
            <v>3</v>
          </cell>
          <cell r="AJ10">
            <v>3</v>
          </cell>
        </row>
        <row r="11">
          <cell r="B11">
            <v>10713</v>
          </cell>
          <cell r="C11" t="str">
            <v>EECHANTA SRI DEVI</v>
          </cell>
          <cell r="D11" t="str">
            <v>A.NAGARAJU</v>
          </cell>
          <cell r="E11" t="str">
            <v>H K Lady</v>
          </cell>
          <cell r="F11" t="str">
            <v>P</v>
          </cell>
          <cell r="G11" t="str">
            <v>P</v>
          </cell>
          <cell r="H11" t="str">
            <v>P</v>
          </cell>
          <cell r="I11" t="str">
            <v>P</v>
          </cell>
          <cell r="J11" t="str">
            <v>W/O</v>
          </cell>
          <cell r="K11" t="str">
            <v>P</v>
          </cell>
          <cell r="L11" t="str">
            <v>P</v>
          </cell>
          <cell r="M11" t="str">
            <v>P</v>
          </cell>
          <cell r="N11" t="str">
            <v>P</v>
          </cell>
          <cell r="O11" t="str">
            <v>P</v>
          </cell>
          <cell r="P11" t="str">
            <v>P</v>
          </cell>
          <cell r="Q11" t="str">
            <v>W/O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P</v>
          </cell>
          <cell r="V11" t="str">
            <v>P</v>
          </cell>
          <cell r="W11" t="str">
            <v>P</v>
          </cell>
          <cell r="X11" t="str">
            <v>W/O</v>
          </cell>
          <cell r="Y11" t="str">
            <v>P</v>
          </cell>
          <cell r="Z11" t="str">
            <v>P</v>
          </cell>
          <cell r="AA11" t="str">
            <v>P</v>
          </cell>
          <cell r="AB11" t="str">
            <v>P</v>
          </cell>
          <cell r="AC11" t="str">
            <v>P</v>
          </cell>
          <cell r="AD11" t="str">
            <v>P</v>
          </cell>
          <cell r="AE11" t="str">
            <v>W/O</v>
          </cell>
          <cell r="AF11" t="str">
            <v>P</v>
          </cell>
          <cell r="AG11" t="str">
            <v>P</v>
          </cell>
          <cell r="AH11" t="str">
            <v>P</v>
          </cell>
          <cell r="AI11" t="str">
            <v>P</v>
          </cell>
          <cell r="AJ11" t="str">
            <v>P</v>
          </cell>
          <cell r="AK11">
            <v>31</v>
          </cell>
          <cell r="AL11">
            <v>27</v>
          </cell>
          <cell r="AM11">
            <v>4</v>
          </cell>
          <cell r="AN11">
            <v>0</v>
          </cell>
          <cell r="AO11">
            <v>0</v>
          </cell>
          <cell r="AP11">
            <v>0</v>
          </cell>
          <cell r="AQ11">
            <v>31</v>
          </cell>
          <cell r="AR11">
            <v>0</v>
          </cell>
        </row>
        <row r="13">
          <cell r="B13">
            <v>10946</v>
          </cell>
          <cell r="C13" t="str">
            <v>ABDUL HANNAN MAZUMDER</v>
          </cell>
          <cell r="E13" t="str">
            <v>HK Boy</v>
          </cell>
          <cell r="F13" t="str">
            <v>P</v>
          </cell>
          <cell r="G13" t="str">
            <v>P</v>
          </cell>
          <cell r="H13" t="str">
            <v>P</v>
          </cell>
          <cell r="I13" t="str">
            <v>P</v>
          </cell>
          <cell r="J13" t="str">
            <v>W/O</v>
          </cell>
          <cell r="K13" t="str">
            <v>P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P</v>
          </cell>
          <cell r="P13" t="str">
            <v>P</v>
          </cell>
          <cell r="Q13" t="str">
            <v>W/O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P</v>
          </cell>
          <cell r="V13" t="str">
            <v>P</v>
          </cell>
          <cell r="W13" t="str">
            <v>P</v>
          </cell>
          <cell r="X13" t="str">
            <v>W/O</v>
          </cell>
          <cell r="Y13" t="str">
            <v>P</v>
          </cell>
          <cell r="Z13" t="str">
            <v>P</v>
          </cell>
          <cell r="AA13" t="str">
            <v>P</v>
          </cell>
          <cell r="AB13" t="str">
            <v>P</v>
          </cell>
          <cell r="AC13" t="str">
            <v>P</v>
          </cell>
          <cell r="AD13" t="str">
            <v>P</v>
          </cell>
          <cell r="AE13" t="str">
            <v>W/O</v>
          </cell>
          <cell r="AF13" t="str">
            <v>P</v>
          </cell>
          <cell r="AG13" t="str">
            <v>P</v>
          </cell>
          <cell r="AH13" t="str">
            <v>P</v>
          </cell>
          <cell r="AI13" t="str">
            <v>P</v>
          </cell>
          <cell r="AJ13" t="str">
            <v>P</v>
          </cell>
          <cell r="AK13">
            <v>31</v>
          </cell>
          <cell r="AL13">
            <v>27</v>
          </cell>
          <cell r="AM13">
            <v>4</v>
          </cell>
          <cell r="AN13">
            <v>0</v>
          </cell>
          <cell r="AO13">
            <v>0</v>
          </cell>
          <cell r="AP13">
            <v>0</v>
          </cell>
          <cell r="AQ13">
            <v>31</v>
          </cell>
          <cell r="AR13">
            <v>0</v>
          </cell>
        </row>
        <row r="15">
          <cell r="B15">
            <v>10965</v>
          </cell>
          <cell r="C15" t="str">
            <v>Kamlesh</v>
          </cell>
          <cell r="E15" t="str">
            <v>HK Boy</v>
          </cell>
          <cell r="F15" t="str">
            <v>P</v>
          </cell>
          <cell r="G15" t="str">
            <v>P</v>
          </cell>
          <cell r="H15" t="str">
            <v>P</v>
          </cell>
          <cell r="I15" t="str">
            <v>P</v>
          </cell>
          <cell r="J15" t="str">
            <v>W/O</v>
          </cell>
          <cell r="K15" t="str">
            <v>P</v>
          </cell>
          <cell r="L15" t="str">
            <v>P</v>
          </cell>
          <cell r="M15" t="str">
            <v>P</v>
          </cell>
          <cell r="N15" t="str">
            <v>P</v>
          </cell>
          <cell r="O15" t="str">
            <v>P</v>
          </cell>
          <cell r="P15" t="str">
            <v>P</v>
          </cell>
          <cell r="Q15" t="str">
            <v>W/O</v>
          </cell>
          <cell r="R15" t="str">
            <v>P</v>
          </cell>
          <cell r="S15" t="str">
            <v>P</v>
          </cell>
          <cell r="T15" t="str">
            <v>P</v>
          </cell>
          <cell r="U15" t="str">
            <v>P</v>
          </cell>
          <cell r="V15" t="str">
            <v>P</v>
          </cell>
          <cell r="W15" t="str">
            <v>P</v>
          </cell>
          <cell r="X15" t="str">
            <v>W/O</v>
          </cell>
          <cell r="Y15" t="str">
            <v>P</v>
          </cell>
          <cell r="Z15" t="str">
            <v>P</v>
          </cell>
          <cell r="AA15" t="str">
            <v>P</v>
          </cell>
          <cell r="AB15" t="str">
            <v>P</v>
          </cell>
          <cell r="AC15" t="str">
            <v>P</v>
          </cell>
          <cell r="AD15" t="str">
            <v>P</v>
          </cell>
          <cell r="AE15" t="str">
            <v>W/O</v>
          </cell>
          <cell r="AF15" t="str">
            <v>P</v>
          </cell>
          <cell r="AG15" t="str">
            <v>P</v>
          </cell>
          <cell r="AH15" t="str">
            <v>P</v>
          </cell>
          <cell r="AI15" t="str">
            <v>P</v>
          </cell>
          <cell r="AJ15" t="str">
            <v>P</v>
          </cell>
          <cell r="AK15">
            <v>31</v>
          </cell>
          <cell r="AL15">
            <v>27</v>
          </cell>
          <cell r="AM15">
            <v>4</v>
          </cell>
          <cell r="AN15">
            <v>0</v>
          </cell>
          <cell r="AO15">
            <v>0</v>
          </cell>
          <cell r="AP15">
            <v>0</v>
          </cell>
          <cell r="AQ15">
            <v>31</v>
          </cell>
          <cell r="AR15">
            <v>0</v>
          </cell>
        </row>
        <row r="17">
          <cell r="B17">
            <v>11798</v>
          </cell>
          <cell r="C17" t="str">
            <v>Jevitha.G</v>
          </cell>
          <cell r="E17" t="str">
            <v>H K Lady</v>
          </cell>
          <cell r="F17" t="str">
            <v>P</v>
          </cell>
          <cell r="G17" t="str">
            <v>P</v>
          </cell>
          <cell r="H17" t="str">
            <v>P</v>
          </cell>
          <cell r="I17" t="str">
            <v>P</v>
          </cell>
          <cell r="J17" t="str">
            <v>W/O</v>
          </cell>
          <cell r="K17" t="str">
            <v>P</v>
          </cell>
          <cell r="L17" t="str">
            <v>P</v>
          </cell>
          <cell r="M17" t="str">
            <v>P</v>
          </cell>
          <cell r="N17" t="str">
            <v>P</v>
          </cell>
          <cell r="O17" t="str">
            <v>P</v>
          </cell>
          <cell r="P17" t="str">
            <v>P</v>
          </cell>
          <cell r="Q17" t="str">
            <v>W/O</v>
          </cell>
          <cell r="R17" t="str">
            <v>P</v>
          </cell>
          <cell r="S17" t="str">
            <v>P</v>
          </cell>
          <cell r="T17" t="str">
            <v>P</v>
          </cell>
          <cell r="U17" t="str">
            <v>P</v>
          </cell>
          <cell r="V17" t="str">
            <v>P</v>
          </cell>
          <cell r="W17" t="str">
            <v>P</v>
          </cell>
          <cell r="X17" t="str">
            <v>W/O</v>
          </cell>
          <cell r="Y17" t="str">
            <v>P</v>
          </cell>
          <cell r="Z17" t="str">
            <v>P</v>
          </cell>
          <cell r="AA17" t="str">
            <v>P</v>
          </cell>
          <cell r="AB17" t="str">
            <v>P</v>
          </cell>
          <cell r="AC17" t="str">
            <v>A</v>
          </cell>
          <cell r="AD17" t="str">
            <v>P</v>
          </cell>
          <cell r="AE17" t="str">
            <v>W/O</v>
          </cell>
          <cell r="AF17" t="str">
            <v>P</v>
          </cell>
          <cell r="AG17" t="str">
            <v>P</v>
          </cell>
          <cell r="AH17" t="str">
            <v>P</v>
          </cell>
          <cell r="AI17" t="str">
            <v>P</v>
          </cell>
          <cell r="AJ17" t="str">
            <v>P</v>
          </cell>
          <cell r="AK17">
            <v>31</v>
          </cell>
          <cell r="AL17">
            <v>26</v>
          </cell>
          <cell r="AM17">
            <v>4</v>
          </cell>
          <cell r="AN17">
            <v>0</v>
          </cell>
          <cell r="AO17">
            <v>1</v>
          </cell>
          <cell r="AP17">
            <v>0</v>
          </cell>
          <cell r="AQ17">
            <v>30</v>
          </cell>
          <cell r="AR17">
            <v>0</v>
          </cell>
        </row>
        <row r="19">
          <cell r="B19">
            <v>11826</v>
          </cell>
          <cell r="C19" t="str">
            <v>Najrul islam mazumder</v>
          </cell>
          <cell r="E19" t="str">
            <v>HK Boy</v>
          </cell>
          <cell r="F19" t="str">
            <v>P</v>
          </cell>
          <cell r="G19" t="str">
            <v>P</v>
          </cell>
          <cell r="H19" t="str">
            <v>A</v>
          </cell>
          <cell r="I19" t="str">
            <v>P</v>
          </cell>
          <cell r="J19" t="str">
            <v>W/O</v>
          </cell>
          <cell r="K19" t="str">
            <v>P</v>
          </cell>
          <cell r="L19" t="str">
            <v>P</v>
          </cell>
          <cell r="M19" t="str">
            <v>P</v>
          </cell>
          <cell r="N19" t="str">
            <v>P</v>
          </cell>
          <cell r="O19" t="str">
            <v>P</v>
          </cell>
          <cell r="P19" t="str">
            <v>P</v>
          </cell>
          <cell r="Q19" t="str">
            <v>W/O</v>
          </cell>
          <cell r="R19" t="str">
            <v>P</v>
          </cell>
          <cell r="S19" t="str">
            <v>P</v>
          </cell>
          <cell r="T19" t="str">
            <v>P</v>
          </cell>
          <cell r="U19" t="str">
            <v>P</v>
          </cell>
          <cell r="V19" t="str">
            <v>P</v>
          </cell>
          <cell r="W19" t="str">
            <v>P</v>
          </cell>
          <cell r="X19" t="str">
            <v>W/O</v>
          </cell>
          <cell r="Y19" t="str">
            <v>P</v>
          </cell>
          <cell r="Z19" t="str">
            <v>P</v>
          </cell>
          <cell r="AA19" t="str">
            <v>P</v>
          </cell>
          <cell r="AB19" t="str">
            <v>P</v>
          </cell>
          <cell r="AC19" t="str">
            <v>P</v>
          </cell>
          <cell r="AD19" t="str">
            <v>P</v>
          </cell>
          <cell r="AE19" t="str">
            <v>W/O</v>
          </cell>
          <cell r="AF19" t="str">
            <v>P</v>
          </cell>
          <cell r="AG19" t="str">
            <v>P</v>
          </cell>
          <cell r="AH19" t="str">
            <v>P</v>
          </cell>
          <cell r="AI19" t="str">
            <v>P</v>
          </cell>
          <cell r="AJ19" t="str">
            <v>P</v>
          </cell>
          <cell r="AK19">
            <v>31</v>
          </cell>
          <cell r="AL19">
            <v>26</v>
          </cell>
          <cell r="AM19">
            <v>4</v>
          </cell>
          <cell r="AN19">
            <v>0</v>
          </cell>
          <cell r="AO19">
            <v>1</v>
          </cell>
          <cell r="AP19">
            <v>0</v>
          </cell>
          <cell r="AQ19">
            <v>30</v>
          </cell>
          <cell r="AR19">
            <v>0</v>
          </cell>
        </row>
        <row r="21">
          <cell r="B21">
            <v>10577</v>
          </cell>
          <cell r="C21" t="str">
            <v>M.NAGAMANI</v>
          </cell>
          <cell r="E21" t="str">
            <v>H K Lady</v>
          </cell>
          <cell r="F21" t="str">
            <v>P</v>
          </cell>
          <cell r="G21" t="str">
            <v>P</v>
          </cell>
          <cell r="H21" t="str">
            <v>P</v>
          </cell>
          <cell r="I21" t="str">
            <v>P</v>
          </cell>
          <cell r="J21" t="str">
            <v>W/O</v>
          </cell>
          <cell r="K21" t="str">
            <v>P</v>
          </cell>
          <cell r="L21" t="str">
            <v>P</v>
          </cell>
          <cell r="M21" t="str">
            <v>P</v>
          </cell>
          <cell r="N21" t="str">
            <v>P</v>
          </cell>
          <cell r="O21" t="str">
            <v>P</v>
          </cell>
          <cell r="P21" t="str">
            <v>P</v>
          </cell>
          <cell r="Q21" t="str">
            <v>W/O</v>
          </cell>
          <cell r="R21" t="str">
            <v>P</v>
          </cell>
          <cell r="S21" t="str">
            <v>P</v>
          </cell>
          <cell r="T21" t="str">
            <v>A</v>
          </cell>
          <cell r="U21" t="str">
            <v>A</v>
          </cell>
          <cell r="V21" t="str">
            <v>P</v>
          </cell>
          <cell r="W21" t="str">
            <v>P</v>
          </cell>
          <cell r="X21" t="str">
            <v>W/O</v>
          </cell>
          <cell r="Y21" t="str">
            <v>P</v>
          </cell>
          <cell r="Z21" t="str">
            <v>P</v>
          </cell>
          <cell r="AA21" t="str">
            <v>P</v>
          </cell>
          <cell r="AB21" t="str">
            <v>P</v>
          </cell>
          <cell r="AC21" t="str">
            <v>P</v>
          </cell>
          <cell r="AD21" t="str">
            <v>P</v>
          </cell>
          <cell r="AE21" t="str">
            <v>W/O</v>
          </cell>
          <cell r="AF21" t="str">
            <v>P</v>
          </cell>
          <cell r="AG21" t="str">
            <v>P</v>
          </cell>
          <cell r="AH21" t="str">
            <v>P</v>
          </cell>
          <cell r="AI21" t="str">
            <v>P</v>
          </cell>
          <cell r="AJ21" t="str">
            <v>P</v>
          </cell>
          <cell r="AK21">
            <v>31</v>
          </cell>
          <cell r="AL21">
            <v>25</v>
          </cell>
          <cell r="AM21">
            <v>4</v>
          </cell>
          <cell r="AN21">
            <v>0</v>
          </cell>
          <cell r="AO21">
            <v>2</v>
          </cell>
          <cell r="AP21">
            <v>0</v>
          </cell>
          <cell r="AQ21">
            <v>29</v>
          </cell>
          <cell r="AR21">
            <v>0</v>
          </cell>
        </row>
        <row r="23">
          <cell r="B23" t="str">
            <v>REP</v>
          </cell>
          <cell r="C23" t="str">
            <v>Santosh</v>
          </cell>
          <cell r="E23" t="str">
            <v>Technician</v>
          </cell>
          <cell r="I23" t="str">
            <v>P</v>
          </cell>
          <cell r="AK23">
            <v>31</v>
          </cell>
          <cell r="AL23">
            <v>1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1</v>
          </cell>
          <cell r="AR23">
            <v>0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ENDANCE"/>
      <sheetName val="PAYSHEET"/>
      <sheetName val="BANK"/>
      <sheetName val="Sheet2"/>
    </sheetNames>
    <sheetDataSet>
      <sheetData sheetId="0" refreshError="1"/>
      <sheetData sheetId="1">
        <row r="8">
          <cell r="A8">
            <v>12050</v>
          </cell>
          <cell r="B8" t="str">
            <v>Ch.Chandu</v>
          </cell>
          <cell r="C8" t="str">
            <v>Chandu</v>
          </cell>
          <cell r="E8" t="str">
            <v>Office Assistant</v>
          </cell>
          <cell r="F8" t="str">
            <v>P</v>
          </cell>
          <cell r="G8" t="str">
            <v>P</v>
          </cell>
          <cell r="H8" t="str">
            <v>P</v>
          </cell>
          <cell r="I8" t="str">
            <v>P</v>
          </cell>
          <cell r="J8" t="str">
            <v>W/O</v>
          </cell>
          <cell r="K8" t="str">
            <v>P</v>
          </cell>
          <cell r="L8" t="str">
            <v>P</v>
          </cell>
          <cell r="M8" t="str">
            <v>P</v>
          </cell>
          <cell r="N8" t="str">
            <v>P</v>
          </cell>
          <cell r="O8" t="str">
            <v>P</v>
          </cell>
          <cell r="P8" t="str">
            <v>W/O</v>
          </cell>
          <cell r="Q8" t="str">
            <v>P</v>
          </cell>
          <cell r="R8" t="str">
            <v>P</v>
          </cell>
          <cell r="S8" t="str">
            <v>P</v>
          </cell>
          <cell r="T8" t="str">
            <v>A</v>
          </cell>
          <cell r="U8" t="str">
            <v>P</v>
          </cell>
          <cell r="V8" t="str">
            <v>P</v>
          </cell>
          <cell r="W8" t="str">
            <v>P</v>
          </cell>
          <cell r="X8" t="str">
            <v>W/O</v>
          </cell>
          <cell r="Y8" t="str">
            <v>P</v>
          </cell>
          <cell r="Z8" t="str">
            <v>P</v>
          </cell>
          <cell r="AA8" t="str">
            <v>P</v>
          </cell>
          <cell r="AB8" t="str">
            <v>P</v>
          </cell>
          <cell r="AC8" t="str">
            <v>P</v>
          </cell>
          <cell r="AD8" t="str">
            <v>P</v>
          </cell>
          <cell r="AE8" t="str">
            <v>W/O</v>
          </cell>
          <cell r="AF8" t="str">
            <v>P</v>
          </cell>
          <cell r="AG8" t="str">
            <v>P</v>
          </cell>
          <cell r="AH8" t="str">
            <v>P</v>
          </cell>
          <cell r="AI8" t="str">
            <v>P</v>
          </cell>
          <cell r="AJ8" t="str">
            <v>P</v>
          </cell>
          <cell r="AK8">
            <v>31</v>
          </cell>
          <cell r="AL8">
            <v>26</v>
          </cell>
          <cell r="AM8">
            <v>4</v>
          </cell>
          <cell r="AN8">
            <v>0</v>
          </cell>
          <cell r="AO8">
            <v>1</v>
          </cell>
          <cell r="AP8">
            <v>46</v>
          </cell>
          <cell r="AQ8">
            <v>5.75</v>
          </cell>
          <cell r="AR8">
            <v>30</v>
          </cell>
        </row>
        <row r="9">
          <cell r="G9">
            <v>4</v>
          </cell>
          <cell r="H9">
            <v>4</v>
          </cell>
          <cell r="Z9">
            <v>2</v>
          </cell>
          <cell r="AA9">
            <v>1</v>
          </cell>
          <cell r="AB9">
            <v>5</v>
          </cell>
          <cell r="AC9">
            <v>2</v>
          </cell>
          <cell r="AF9">
            <v>2</v>
          </cell>
          <cell r="AG9">
            <v>6</v>
          </cell>
          <cell r="AH9">
            <v>7</v>
          </cell>
          <cell r="AI9">
            <v>7</v>
          </cell>
          <cell r="AJ9">
            <v>6</v>
          </cell>
        </row>
        <row r="10">
          <cell r="A10">
            <v>11043</v>
          </cell>
          <cell r="B10" t="str">
            <v>Sravan Kumar</v>
          </cell>
          <cell r="C10" t="str">
            <v>Sravan Kumar</v>
          </cell>
          <cell r="E10" t="str">
            <v>HR Office Boy</v>
          </cell>
          <cell r="F10" t="str">
            <v>P</v>
          </cell>
          <cell r="G10" t="str">
            <v>P</v>
          </cell>
          <cell r="H10" t="str">
            <v>P</v>
          </cell>
          <cell r="I10" t="str">
            <v>P</v>
          </cell>
          <cell r="J10" t="str">
            <v>W/O</v>
          </cell>
          <cell r="K10" t="str">
            <v>P</v>
          </cell>
          <cell r="L10" t="str">
            <v>P</v>
          </cell>
          <cell r="M10" t="str">
            <v>P</v>
          </cell>
          <cell r="N10" t="str">
            <v>P</v>
          </cell>
          <cell r="O10" t="str">
            <v>P</v>
          </cell>
          <cell r="P10" t="str">
            <v>A</v>
          </cell>
          <cell r="Q10" t="str">
            <v>W/O</v>
          </cell>
          <cell r="R10" t="str">
            <v>P</v>
          </cell>
          <cell r="S10" t="str">
            <v>P</v>
          </cell>
          <cell r="T10" t="str">
            <v>P</v>
          </cell>
          <cell r="U10" t="str">
            <v>P</v>
          </cell>
          <cell r="V10" t="str">
            <v>P</v>
          </cell>
          <cell r="W10" t="str">
            <v>P</v>
          </cell>
          <cell r="X10" t="str">
            <v>W/O</v>
          </cell>
          <cell r="Y10" t="str">
            <v>P</v>
          </cell>
          <cell r="Z10" t="str">
            <v>P</v>
          </cell>
          <cell r="AA10" t="str">
            <v>P</v>
          </cell>
          <cell r="AB10" t="str">
            <v>P</v>
          </cell>
          <cell r="AC10" t="str">
            <v>P</v>
          </cell>
          <cell r="AD10" t="str">
            <v>P</v>
          </cell>
          <cell r="AE10" t="str">
            <v>W/O</v>
          </cell>
          <cell r="AF10" t="str">
            <v>P</v>
          </cell>
          <cell r="AG10" t="str">
            <v>P</v>
          </cell>
          <cell r="AH10" t="str">
            <v>P</v>
          </cell>
          <cell r="AI10" t="str">
            <v>P</v>
          </cell>
          <cell r="AJ10" t="str">
            <v>P</v>
          </cell>
          <cell r="AK10">
            <v>31</v>
          </cell>
          <cell r="AL10">
            <v>26</v>
          </cell>
          <cell r="AM10">
            <v>4</v>
          </cell>
          <cell r="AN10">
            <v>0</v>
          </cell>
          <cell r="AO10">
            <v>1</v>
          </cell>
          <cell r="AP10">
            <v>19</v>
          </cell>
          <cell r="AQ10">
            <v>2.375</v>
          </cell>
          <cell r="AR10">
            <v>30</v>
          </cell>
        </row>
        <row r="11">
          <cell r="G11">
            <v>4</v>
          </cell>
          <cell r="T11">
            <v>2</v>
          </cell>
          <cell r="U11">
            <v>3</v>
          </cell>
          <cell r="AC11">
            <v>2</v>
          </cell>
          <cell r="AE11">
            <v>6</v>
          </cell>
          <cell r="AH11">
            <v>2</v>
          </cell>
        </row>
        <row r="12">
          <cell r="AK12">
            <v>62</v>
          </cell>
          <cell r="AL12">
            <v>52</v>
          </cell>
          <cell r="AM12">
            <v>8</v>
          </cell>
          <cell r="AN12">
            <v>0</v>
          </cell>
          <cell r="AO12">
            <v>2</v>
          </cell>
          <cell r="AP12">
            <v>65</v>
          </cell>
          <cell r="AQ12">
            <v>8.125</v>
          </cell>
          <cell r="AR12">
            <v>60</v>
          </cell>
        </row>
        <row r="14">
          <cell r="A14">
            <v>11714</v>
          </cell>
          <cell r="B14" t="str">
            <v>ABJAL ALI</v>
          </cell>
          <cell r="C14" t="str">
            <v>ABJAL ALI</v>
          </cell>
          <cell r="E14" t="str">
            <v>PANTRY BOY</v>
          </cell>
          <cell r="F14" t="str">
            <v>P</v>
          </cell>
          <cell r="G14" t="str">
            <v>P</v>
          </cell>
          <cell r="H14" t="str">
            <v>P</v>
          </cell>
          <cell r="I14" t="str">
            <v>P</v>
          </cell>
          <cell r="J14" t="str">
            <v>W/O</v>
          </cell>
          <cell r="K14" t="str">
            <v>P</v>
          </cell>
          <cell r="L14" t="str">
            <v>P</v>
          </cell>
          <cell r="M14" t="str">
            <v>P</v>
          </cell>
          <cell r="N14" t="str">
            <v>P</v>
          </cell>
          <cell r="O14" t="str">
            <v>P</v>
          </cell>
          <cell r="P14" t="str">
            <v>P</v>
          </cell>
          <cell r="Q14" t="str">
            <v>W/O</v>
          </cell>
          <cell r="R14" t="str">
            <v>P</v>
          </cell>
          <cell r="S14" t="str">
            <v>P</v>
          </cell>
          <cell r="T14" t="str">
            <v>P</v>
          </cell>
          <cell r="U14" t="str">
            <v>P</v>
          </cell>
          <cell r="V14" t="str">
            <v>P</v>
          </cell>
          <cell r="W14" t="str">
            <v>P</v>
          </cell>
          <cell r="X14" t="str">
            <v>W/O</v>
          </cell>
          <cell r="Y14" t="str">
            <v>P</v>
          </cell>
          <cell r="Z14" t="str">
            <v>P</v>
          </cell>
          <cell r="AA14" t="str">
            <v>P</v>
          </cell>
          <cell r="AB14" t="str">
            <v>P</v>
          </cell>
          <cell r="AC14" t="str">
            <v>P</v>
          </cell>
          <cell r="AD14" t="str">
            <v>P</v>
          </cell>
          <cell r="AE14" t="str">
            <v>W/O</v>
          </cell>
          <cell r="AF14" t="str">
            <v>P</v>
          </cell>
          <cell r="AG14" t="str">
            <v>P</v>
          </cell>
          <cell r="AH14" t="str">
            <v>P</v>
          </cell>
          <cell r="AI14" t="str">
            <v>P</v>
          </cell>
          <cell r="AJ14" t="str">
            <v>P</v>
          </cell>
          <cell r="AK14">
            <v>31</v>
          </cell>
          <cell r="AL14">
            <v>27</v>
          </cell>
          <cell r="AM14">
            <v>4</v>
          </cell>
          <cell r="AN14">
            <v>0</v>
          </cell>
          <cell r="AO14">
            <v>0</v>
          </cell>
          <cell r="AP14">
            <v>38</v>
          </cell>
          <cell r="AQ14">
            <v>4.75</v>
          </cell>
          <cell r="AR14">
            <v>31</v>
          </cell>
        </row>
        <row r="15">
          <cell r="S15">
            <v>3</v>
          </cell>
          <cell r="T15">
            <v>7</v>
          </cell>
          <cell r="Z15">
            <v>4</v>
          </cell>
          <cell r="AD15">
            <v>2</v>
          </cell>
          <cell r="AE15">
            <v>8</v>
          </cell>
          <cell r="AG15">
            <v>3</v>
          </cell>
          <cell r="AH15">
            <v>5</v>
          </cell>
          <cell r="AI15">
            <v>3</v>
          </cell>
          <cell r="AJ15">
            <v>3</v>
          </cell>
        </row>
        <row r="16">
          <cell r="A16">
            <v>10294</v>
          </cell>
          <cell r="B16" t="str">
            <v>Sarvar Bee</v>
          </cell>
          <cell r="C16" t="str">
            <v>Sarva Bee</v>
          </cell>
          <cell r="D16" t="str">
            <v>L</v>
          </cell>
          <cell r="E16" t="str">
            <v>Housekeeping</v>
          </cell>
          <cell r="F16" t="str">
            <v>P</v>
          </cell>
          <cell r="G16" t="str">
            <v>P</v>
          </cell>
          <cell r="H16" t="str">
            <v>P</v>
          </cell>
          <cell r="I16" t="str">
            <v>P</v>
          </cell>
          <cell r="J16" t="str">
            <v>W/O</v>
          </cell>
          <cell r="K16" t="str">
            <v>P</v>
          </cell>
          <cell r="L16" t="str">
            <v>P</v>
          </cell>
          <cell r="M16" t="str">
            <v>P</v>
          </cell>
          <cell r="N16" t="str">
            <v>P</v>
          </cell>
          <cell r="O16" t="str">
            <v>P</v>
          </cell>
          <cell r="P16" t="str">
            <v>P</v>
          </cell>
          <cell r="Q16" t="str">
            <v>W/O</v>
          </cell>
          <cell r="R16" t="str">
            <v>P</v>
          </cell>
          <cell r="S16" t="str">
            <v>P</v>
          </cell>
          <cell r="T16" t="str">
            <v>P</v>
          </cell>
          <cell r="U16" t="str">
            <v>P</v>
          </cell>
          <cell r="V16" t="str">
            <v>P</v>
          </cell>
          <cell r="W16" t="str">
            <v>P</v>
          </cell>
          <cell r="X16" t="str">
            <v>W/O</v>
          </cell>
          <cell r="Y16" t="str">
            <v>P</v>
          </cell>
          <cell r="Z16" t="str">
            <v>P</v>
          </cell>
          <cell r="AA16" t="str">
            <v>P</v>
          </cell>
          <cell r="AB16" t="str">
            <v>P</v>
          </cell>
          <cell r="AC16" t="str">
            <v>P</v>
          </cell>
          <cell r="AD16" t="str">
            <v>P</v>
          </cell>
          <cell r="AE16" t="str">
            <v>W/O</v>
          </cell>
          <cell r="AF16" t="str">
            <v>P</v>
          </cell>
          <cell r="AG16" t="str">
            <v>P</v>
          </cell>
          <cell r="AH16" t="str">
            <v>P</v>
          </cell>
          <cell r="AI16" t="str">
            <v>P</v>
          </cell>
          <cell r="AJ16" t="str">
            <v>P</v>
          </cell>
          <cell r="AK16">
            <v>31</v>
          </cell>
          <cell r="AL16">
            <v>27</v>
          </cell>
          <cell r="AM16">
            <v>4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31</v>
          </cell>
        </row>
        <row r="18">
          <cell r="A18">
            <v>10532</v>
          </cell>
          <cell r="B18" t="str">
            <v>H. Lavanya</v>
          </cell>
          <cell r="C18" t="str">
            <v>H.Lavanya</v>
          </cell>
          <cell r="D18" t="str">
            <v>L</v>
          </cell>
          <cell r="E18" t="str">
            <v>Housekeeping</v>
          </cell>
          <cell r="F18" t="str">
            <v>P</v>
          </cell>
          <cell r="G18" t="str">
            <v>P</v>
          </cell>
          <cell r="H18" t="str">
            <v>P</v>
          </cell>
          <cell r="I18" t="str">
            <v>P</v>
          </cell>
          <cell r="J18" t="str">
            <v>W/O</v>
          </cell>
          <cell r="K18" t="str">
            <v>P</v>
          </cell>
          <cell r="L18" t="str">
            <v>P</v>
          </cell>
          <cell r="M18" t="str">
            <v>P</v>
          </cell>
          <cell r="N18" t="str">
            <v>P</v>
          </cell>
          <cell r="O18" t="str">
            <v>P</v>
          </cell>
          <cell r="P18" t="str">
            <v>P</v>
          </cell>
          <cell r="Q18" t="str">
            <v>W/O</v>
          </cell>
          <cell r="R18" t="str">
            <v>P</v>
          </cell>
          <cell r="S18" t="str">
            <v>P</v>
          </cell>
          <cell r="T18" t="str">
            <v>P</v>
          </cell>
          <cell r="U18" t="str">
            <v>P</v>
          </cell>
          <cell r="V18" t="str">
            <v>P</v>
          </cell>
          <cell r="W18" t="str">
            <v>P</v>
          </cell>
          <cell r="X18" t="str">
            <v>W/O</v>
          </cell>
          <cell r="Y18" t="str">
            <v>P</v>
          </cell>
          <cell r="Z18" t="str">
            <v>P</v>
          </cell>
          <cell r="AA18" t="str">
            <v>P</v>
          </cell>
          <cell r="AB18" t="str">
            <v>P</v>
          </cell>
          <cell r="AC18" t="str">
            <v>P</v>
          </cell>
          <cell r="AD18" t="str">
            <v>P</v>
          </cell>
          <cell r="AE18" t="str">
            <v>W/O</v>
          </cell>
          <cell r="AF18" t="str">
            <v>P</v>
          </cell>
          <cell r="AG18" t="str">
            <v>P</v>
          </cell>
          <cell r="AH18" t="str">
            <v>P</v>
          </cell>
          <cell r="AI18" t="str">
            <v>P</v>
          </cell>
          <cell r="AJ18" t="str">
            <v>P</v>
          </cell>
          <cell r="AK18">
            <v>31</v>
          </cell>
          <cell r="AL18">
            <v>27</v>
          </cell>
          <cell r="AM18">
            <v>4</v>
          </cell>
          <cell r="AN18">
            <v>0</v>
          </cell>
          <cell r="AO18">
            <v>0</v>
          </cell>
          <cell r="AP18">
            <v>32</v>
          </cell>
          <cell r="AQ18">
            <v>4</v>
          </cell>
          <cell r="AR18">
            <v>31</v>
          </cell>
        </row>
        <row r="19">
          <cell r="Q19">
            <v>8</v>
          </cell>
          <cell r="S19">
            <v>8</v>
          </cell>
          <cell r="X19">
            <v>8</v>
          </cell>
          <cell r="AE19">
            <v>8</v>
          </cell>
        </row>
        <row r="20">
          <cell r="A20">
            <v>11503</v>
          </cell>
          <cell r="B20" t="str">
            <v>G.Rajeswari</v>
          </cell>
          <cell r="C20" t="str">
            <v>G.Rajeswari</v>
          </cell>
          <cell r="D20" t="str">
            <v>L</v>
          </cell>
          <cell r="E20" t="str">
            <v>Housekeeping</v>
          </cell>
          <cell r="F20" t="str">
            <v>P</v>
          </cell>
          <cell r="G20" t="str">
            <v>P</v>
          </cell>
          <cell r="H20" t="str">
            <v>P</v>
          </cell>
          <cell r="I20" t="str">
            <v>P</v>
          </cell>
          <cell r="J20" t="str">
            <v>W/O</v>
          </cell>
          <cell r="K20" t="str">
            <v>P</v>
          </cell>
          <cell r="L20" t="str">
            <v>P</v>
          </cell>
          <cell r="M20" t="str">
            <v>P</v>
          </cell>
          <cell r="N20" t="str">
            <v>P</v>
          </cell>
          <cell r="O20" t="str">
            <v>P</v>
          </cell>
          <cell r="P20" t="str">
            <v>W/O</v>
          </cell>
          <cell r="Q20" t="str">
            <v>P</v>
          </cell>
          <cell r="R20" t="str">
            <v>P</v>
          </cell>
          <cell r="S20" t="str">
            <v>P</v>
          </cell>
          <cell r="T20" t="str">
            <v>P</v>
          </cell>
          <cell r="U20" t="str">
            <v>P</v>
          </cell>
          <cell r="V20" t="str">
            <v>P</v>
          </cell>
          <cell r="W20" t="str">
            <v>P</v>
          </cell>
          <cell r="X20" t="str">
            <v>W/O</v>
          </cell>
          <cell r="Y20" t="str">
            <v>P</v>
          </cell>
          <cell r="Z20" t="str">
            <v>P</v>
          </cell>
          <cell r="AA20" t="str">
            <v>P</v>
          </cell>
          <cell r="AB20" t="str">
            <v>P</v>
          </cell>
          <cell r="AC20" t="str">
            <v>P</v>
          </cell>
          <cell r="AD20" t="str">
            <v>P</v>
          </cell>
          <cell r="AE20" t="str">
            <v>W/O</v>
          </cell>
          <cell r="AF20" t="str">
            <v>P</v>
          </cell>
          <cell r="AG20" t="str">
            <v>P</v>
          </cell>
          <cell r="AH20" t="str">
            <v>P</v>
          </cell>
          <cell r="AI20" t="str">
            <v>P</v>
          </cell>
          <cell r="AJ20" t="str">
            <v>P</v>
          </cell>
          <cell r="AK20">
            <v>31</v>
          </cell>
          <cell r="AL20">
            <v>27</v>
          </cell>
          <cell r="AM20">
            <v>4</v>
          </cell>
          <cell r="AN20">
            <v>0</v>
          </cell>
          <cell r="AO20">
            <v>0</v>
          </cell>
          <cell r="AP20">
            <v>32</v>
          </cell>
          <cell r="AQ20">
            <v>4</v>
          </cell>
          <cell r="AR20">
            <v>31</v>
          </cell>
        </row>
        <row r="21">
          <cell r="N21">
            <v>8</v>
          </cell>
          <cell r="R21">
            <v>8</v>
          </cell>
          <cell r="T21">
            <v>8</v>
          </cell>
          <cell r="AE21">
            <v>8</v>
          </cell>
        </row>
        <row r="22">
          <cell r="A22">
            <v>11803</v>
          </cell>
          <cell r="B22" t="str">
            <v>Sabavat daslibai</v>
          </cell>
          <cell r="C22" t="str">
            <v>SABAVAT DASTIBAI</v>
          </cell>
          <cell r="D22" t="str">
            <v>L</v>
          </cell>
          <cell r="E22" t="str">
            <v>Housekeeping</v>
          </cell>
          <cell r="F22" t="str">
            <v>P</v>
          </cell>
          <cell r="G22" t="str">
            <v>P</v>
          </cell>
          <cell r="H22" t="str">
            <v>P</v>
          </cell>
          <cell r="I22" t="str">
            <v>P</v>
          </cell>
          <cell r="J22" t="str">
            <v>W/O</v>
          </cell>
          <cell r="K22" t="str">
            <v>P</v>
          </cell>
          <cell r="L22" t="str">
            <v>P</v>
          </cell>
          <cell r="M22" t="str">
            <v>P</v>
          </cell>
          <cell r="N22" t="str">
            <v>P</v>
          </cell>
          <cell r="O22" t="str">
            <v>P</v>
          </cell>
          <cell r="P22" t="str">
            <v>P</v>
          </cell>
          <cell r="Q22" t="str">
            <v>W/O</v>
          </cell>
          <cell r="R22" t="str">
            <v>P</v>
          </cell>
          <cell r="S22" t="str">
            <v>P</v>
          </cell>
          <cell r="T22" t="str">
            <v>P</v>
          </cell>
          <cell r="U22" t="str">
            <v>P</v>
          </cell>
          <cell r="V22" t="str">
            <v>P</v>
          </cell>
          <cell r="W22" t="str">
            <v>P</v>
          </cell>
          <cell r="X22" t="str">
            <v>A</v>
          </cell>
          <cell r="Y22" t="str">
            <v>A</v>
          </cell>
          <cell r="Z22" t="str">
            <v>A</v>
          </cell>
          <cell r="AA22" t="str">
            <v>A</v>
          </cell>
          <cell r="AB22" t="str">
            <v>A</v>
          </cell>
          <cell r="AC22" t="str">
            <v>A</v>
          </cell>
          <cell r="AD22" t="str">
            <v>A</v>
          </cell>
          <cell r="AE22" t="str">
            <v>A</v>
          </cell>
          <cell r="AF22" t="str">
            <v>A</v>
          </cell>
          <cell r="AG22" t="str">
            <v>A</v>
          </cell>
          <cell r="AH22" t="str">
            <v>A</v>
          </cell>
          <cell r="AI22" t="str">
            <v>A</v>
          </cell>
          <cell r="AJ22" t="str">
            <v>A</v>
          </cell>
          <cell r="AK22">
            <v>31</v>
          </cell>
          <cell r="AL22">
            <v>16</v>
          </cell>
          <cell r="AM22">
            <v>2</v>
          </cell>
          <cell r="AN22">
            <v>0</v>
          </cell>
          <cell r="AO22">
            <v>13</v>
          </cell>
          <cell r="AP22">
            <v>0</v>
          </cell>
          <cell r="AQ22">
            <v>0</v>
          </cell>
          <cell r="AR22">
            <v>18</v>
          </cell>
        </row>
        <row r="24">
          <cell r="A24">
            <v>10097</v>
          </cell>
          <cell r="B24" t="str">
            <v>Narmadha</v>
          </cell>
          <cell r="C24" t="str">
            <v>Ganji Narmada</v>
          </cell>
          <cell r="D24" t="str">
            <v>L</v>
          </cell>
          <cell r="E24" t="str">
            <v>Housekeeping</v>
          </cell>
          <cell r="F24" t="str">
            <v>P</v>
          </cell>
          <cell r="G24" t="str">
            <v>P</v>
          </cell>
          <cell r="H24" t="str">
            <v>P</v>
          </cell>
          <cell r="I24" t="str">
            <v>W/O</v>
          </cell>
          <cell r="J24" t="str">
            <v>P</v>
          </cell>
          <cell r="K24" t="str">
            <v>P</v>
          </cell>
          <cell r="L24" t="str">
            <v>P</v>
          </cell>
          <cell r="M24" t="str">
            <v>P</v>
          </cell>
          <cell r="N24" t="str">
            <v>P</v>
          </cell>
          <cell r="O24" t="str">
            <v>P</v>
          </cell>
          <cell r="P24" t="str">
            <v>P</v>
          </cell>
          <cell r="Q24" t="str">
            <v>W/O</v>
          </cell>
          <cell r="R24" t="str">
            <v>P</v>
          </cell>
          <cell r="S24" t="str">
            <v>P</v>
          </cell>
          <cell r="T24" t="str">
            <v>P</v>
          </cell>
          <cell r="U24" t="str">
            <v>P</v>
          </cell>
          <cell r="V24" t="str">
            <v>P</v>
          </cell>
          <cell r="W24" t="str">
            <v>W/O</v>
          </cell>
          <cell r="X24" t="str">
            <v>P</v>
          </cell>
          <cell r="Y24" t="str">
            <v>P</v>
          </cell>
          <cell r="Z24" t="str">
            <v>P</v>
          </cell>
          <cell r="AA24" t="str">
            <v>P</v>
          </cell>
          <cell r="AB24" t="str">
            <v>P</v>
          </cell>
          <cell r="AC24" t="str">
            <v>P</v>
          </cell>
          <cell r="AD24" t="str">
            <v>W/O</v>
          </cell>
          <cell r="AE24" t="str">
            <v>P</v>
          </cell>
          <cell r="AF24" t="str">
            <v>P</v>
          </cell>
          <cell r="AG24" t="str">
            <v>P</v>
          </cell>
          <cell r="AH24" t="str">
            <v>P</v>
          </cell>
          <cell r="AI24" t="str">
            <v>P</v>
          </cell>
          <cell r="AJ24" t="str">
            <v>P</v>
          </cell>
          <cell r="AK24">
            <v>31</v>
          </cell>
          <cell r="AL24">
            <v>27</v>
          </cell>
          <cell r="AM24">
            <v>4</v>
          </cell>
          <cell r="AN24">
            <v>0</v>
          </cell>
          <cell r="AO24">
            <v>0</v>
          </cell>
          <cell r="AP24">
            <v>5</v>
          </cell>
          <cell r="AQ24">
            <v>0.625</v>
          </cell>
          <cell r="AR24">
            <v>31</v>
          </cell>
        </row>
        <row r="25">
          <cell r="AH25">
            <v>5</v>
          </cell>
        </row>
        <row r="26">
          <cell r="A26">
            <v>11053</v>
          </cell>
          <cell r="B26" t="str">
            <v>K.Sunitha</v>
          </cell>
          <cell r="C26" t="str">
            <v>K.Sunitha</v>
          </cell>
          <cell r="D26" t="str">
            <v>L</v>
          </cell>
          <cell r="E26" t="str">
            <v>Housekeeping</v>
          </cell>
          <cell r="F26" t="str">
            <v>P</v>
          </cell>
          <cell r="G26" t="str">
            <v>P</v>
          </cell>
          <cell r="H26" t="str">
            <v>P</v>
          </cell>
          <cell r="I26" t="str">
            <v>W/O</v>
          </cell>
          <cell r="J26" t="str">
            <v>P</v>
          </cell>
          <cell r="K26" t="str">
            <v>P</v>
          </cell>
          <cell r="L26" t="str">
            <v>P</v>
          </cell>
          <cell r="M26" t="str">
            <v>P</v>
          </cell>
          <cell r="N26" t="str">
            <v>A</v>
          </cell>
          <cell r="O26" t="str">
            <v>P</v>
          </cell>
          <cell r="P26" t="str">
            <v>W/O</v>
          </cell>
          <cell r="Q26" t="str">
            <v>A</v>
          </cell>
          <cell r="R26" t="str">
            <v>P</v>
          </cell>
          <cell r="S26" t="str">
            <v>P</v>
          </cell>
          <cell r="T26" t="str">
            <v>P</v>
          </cell>
          <cell r="U26" t="str">
            <v>P</v>
          </cell>
          <cell r="V26" t="str">
            <v>P</v>
          </cell>
          <cell r="W26" t="str">
            <v>W/O</v>
          </cell>
          <cell r="X26" t="str">
            <v>A</v>
          </cell>
          <cell r="Y26" t="str">
            <v>P</v>
          </cell>
          <cell r="Z26" t="str">
            <v>P</v>
          </cell>
          <cell r="AA26" t="str">
            <v>P</v>
          </cell>
          <cell r="AB26" t="str">
            <v>P</v>
          </cell>
          <cell r="AC26" t="str">
            <v>P</v>
          </cell>
          <cell r="AD26" t="str">
            <v>W/O</v>
          </cell>
          <cell r="AE26" t="str">
            <v>P</v>
          </cell>
          <cell r="AF26" t="str">
            <v>P</v>
          </cell>
          <cell r="AG26" t="str">
            <v>P</v>
          </cell>
          <cell r="AH26" t="str">
            <v>P</v>
          </cell>
          <cell r="AI26" t="str">
            <v>P</v>
          </cell>
          <cell r="AJ26" t="str">
            <v>P</v>
          </cell>
          <cell r="AK26">
            <v>31</v>
          </cell>
          <cell r="AL26">
            <v>24</v>
          </cell>
          <cell r="AM26">
            <v>4</v>
          </cell>
          <cell r="AN26">
            <v>0</v>
          </cell>
          <cell r="AO26">
            <v>3</v>
          </cell>
          <cell r="AP26">
            <v>0</v>
          </cell>
          <cell r="AQ26">
            <v>0</v>
          </cell>
          <cell r="AR26">
            <v>28</v>
          </cell>
        </row>
        <row r="28">
          <cell r="A28">
            <v>11404</v>
          </cell>
          <cell r="B28" t="str">
            <v>Mounika</v>
          </cell>
          <cell r="C28" t="str">
            <v>Mounika</v>
          </cell>
          <cell r="D28" t="str">
            <v>L</v>
          </cell>
          <cell r="E28" t="str">
            <v>Housekeeping</v>
          </cell>
          <cell r="F28" t="str">
            <v>P</v>
          </cell>
          <cell r="G28" t="str">
            <v>P</v>
          </cell>
          <cell r="H28" t="str">
            <v>P</v>
          </cell>
          <cell r="I28" t="str">
            <v>W/O</v>
          </cell>
          <cell r="J28" t="str">
            <v>P</v>
          </cell>
          <cell r="K28" t="str">
            <v>P</v>
          </cell>
          <cell r="L28" t="str">
            <v>P</v>
          </cell>
          <cell r="M28" t="str">
            <v>P</v>
          </cell>
          <cell r="N28" t="str">
            <v>P</v>
          </cell>
          <cell r="O28" t="str">
            <v>P</v>
          </cell>
          <cell r="P28" t="str">
            <v>W/O</v>
          </cell>
          <cell r="Q28" t="str">
            <v>P</v>
          </cell>
          <cell r="R28" t="str">
            <v>P</v>
          </cell>
          <cell r="S28" t="str">
            <v>P</v>
          </cell>
          <cell r="T28" t="str">
            <v>P</v>
          </cell>
          <cell r="U28" t="str">
            <v>P</v>
          </cell>
          <cell r="V28" t="str">
            <v>P</v>
          </cell>
          <cell r="W28" t="str">
            <v>W/O</v>
          </cell>
          <cell r="X28" t="str">
            <v>P</v>
          </cell>
          <cell r="Y28" t="str">
            <v>P</v>
          </cell>
          <cell r="Z28" t="str">
            <v>P</v>
          </cell>
          <cell r="AA28" t="str">
            <v>P</v>
          </cell>
          <cell r="AB28" t="str">
            <v>P</v>
          </cell>
          <cell r="AC28" t="str">
            <v>P</v>
          </cell>
          <cell r="AD28" t="str">
            <v>W/O</v>
          </cell>
          <cell r="AE28" t="str">
            <v>P</v>
          </cell>
          <cell r="AF28" t="str">
            <v>P</v>
          </cell>
          <cell r="AG28" t="str">
            <v>P</v>
          </cell>
          <cell r="AH28" t="str">
            <v>P</v>
          </cell>
          <cell r="AI28" t="str">
            <v>P</v>
          </cell>
          <cell r="AJ28" t="str">
            <v>P</v>
          </cell>
          <cell r="AK28">
            <v>31</v>
          </cell>
          <cell r="AL28">
            <v>27</v>
          </cell>
          <cell r="AM28">
            <v>4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31</v>
          </cell>
        </row>
        <row r="30">
          <cell r="A30">
            <v>11839</v>
          </cell>
          <cell r="B30" t="str">
            <v>NALLA KRISHNAVENI</v>
          </cell>
          <cell r="C30" t="str">
            <v>KRISHNAVENI</v>
          </cell>
          <cell r="D30" t="str">
            <v>L</v>
          </cell>
          <cell r="E30" t="str">
            <v>Housekeeping</v>
          </cell>
          <cell r="F30" t="str">
            <v>P</v>
          </cell>
          <cell r="G30" t="str">
            <v>P</v>
          </cell>
          <cell r="H30" t="str">
            <v>P</v>
          </cell>
          <cell r="I30" t="str">
            <v>P</v>
          </cell>
          <cell r="J30" t="str">
            <v>W/O</v>
          </cell>
          <cell r="K30" t="str">
            <v>P</v>
          </cell>
          <cell r="L30" t="str">
            <v>A</v>
          </cell>
          <cell r="M30" t="str">
            <v>A</v>
          </cell>
          <cell r="N30" t="str">
            <v>A</v>
          </cell>
          <cell r="O30" t="str">
            <v>A</v>
          </cell>
          <cell r="P30" t="str">
            <v>A</v>
          </cell>
          <cell r="Q30" t="str">
            <v>A</v>
          </cell>
          <cell r="R30" t="str">
            <v>A</v>
          </cell>
          <cell r="S30" t="str">
            <v>A</v>
          </cell>
          <cell r="T30" t="str">
            <v>A</v>
          </cell>
          <cell r="U30" t="str">
            <v>A</v>
          </cell>
          <cell r="V30" t="str">
            <v>A</v>
          </cell>
          <cell r="W30" t="str">
            <v>A</v>
          </cell>
          <cell r="X30" t="str">
            <v>A</v>
          </cell>
          <cell r="Y30" t="str">
            <v>A</v>
          </cell>
          <cell r="Z30" t="str">
            <v>A</v>
          </cell>
          <cell r="AA30" t="str">
            <v>A</v>
          </cell>
          <cell r="AB30" t="str">
            <v>A</v>
          </cell>
          <cell r="AC30" t="str">
            <v>A</v>
          </cell>
          <cell r="AD30" t="str">
            <v>A</v>
          </cell>
          <cell r="AE30" t="str">
            <v>A</v>
          </cell>
          <cell r="AF30" t="str">
            <v>A</v>
          </cell>
          <cell r="AG30" t="str">
            <v>A</v>
          </cell>
          <cell r="AH30" t="str">
            <v>A</v>
          </cell>
          <cell r="AI30" t="str">
            <v>A</v>
          </cell>
          <cell r="AJ30" t="str">
            <v>A</v>
          </cell>
          <cell r="AK30">
            <v>31</v>
          </cell>
          <cell r="AL30">
            <v>5</v>
          </cell>
          <cell r="AM30">
            <v>1</v>
          </cell>
          <cell r="AN30">
            <v>0</v>
          </cell>
          <cell r="AO30">
            <v>25</v>
          </cell>
          <cell r="AP30">
            <v>0</v>
          </cell>
          <cell r="AQ30">
            <v>0</v>
          </cell>
          <cell r="AR30">
            <v>6</v>
          </cell>
        </row>
        <row r="32">
          <cell r="A32">
            <v>12011</v>
          </cell>
          <cell r="B32" t="str">
            <v>Amrutha</v>
          </cell>
          <cell r="C32" t="str">
            <v>AMRUTHA</v>
          </cell>
          <cell r="D32" t="str">
            <v>L</v>
          </cell>
          <cell r="E32" t="str">
            <v>Housekeeping</v>
          </cell>
          <cell r="F32" t="str">
            <v>P</v>
          </cell>
          <cell r="G32" t="str">
            <v>P</v>
          </cell>
          <cell r="H32" t="str">
            <v>P</v>
          </cell>
          <cell r="I32" t="str">
            <v>P</v>
          </cell>
          <cell r="J32" t="str">
            <v>W/O</v>
          </cell>
          <cell r="K32" t="str">
            <v>P</v>
          </cell>
          <cell r="L32" t="str">
            <v>P</v>
          </cell>
          <cell r="M32" t="str">
            <v>P</v>
          </cell>
          <cell r="N32" t="str">
            <v>P</v>
          </cell>
          <cell r="O32" t="str">
            <v>P</v>
          </cell>
          <cell r="P32" t="str">
            <v>P</v>
          </cell>
          <cell r="Q32" t="str">
            <v>W/O</v>
          </cell>
          <cell r="R32" t="str">
            <v>P</v>
          </cell>
          <cell r="S32" t="str">
            <v>P</v>
          </cell>
          <cell r="T32" t="str">
            <v>P</v>
          </cell>
          <cell r="U32" t="str">
            <v>P</v>
          </cell>
          <cell r="V32" t="str">
            <v>P</v>
          </cell>
          <cell r="W32" t="str">
            <v>P</v>
          </cell>
          <cell r="X32" t="str">
            <v>W/O</v>
          </cell>
          <cell r="Y32" t="str">
            <v>P</v>
          </cell>
          <cell r="Z32" t="str">
            <v>P</v>
          </cell>
          <cell r="AA32" t="str">
            <v>P</v>
          </cell>
          <cell r="AB32" t="str">
            <v>P</v>
          </cell>
          <cell r="AC32" t="str">
            <v>P</v>
          </cell>
          <cell r="AD32" t="str">
            <v>P</v>
          </cell>
          <cell r="AE32" t="str">
            <v>W/O</v>
          </cell>
          <cell r="AF32" t="str">
            <v>P</v>
          </cell>
          <cell r="AG32" t="str">
            <v>P</v>
          </cell>
          <cell r="AH32" t="str">
            <v>P</v>
          </cell>
          <cell r="AI32" t="str">
            <v>P</v>
          </cell>
          <cell r="AJ32" t="str">
            <v>P</v>
          </cell>
          <cell r="AK32">
            <v>31</v>
          </cell>
          <cell r="AL32">
            <v>27</v>
          </cell>
          <cell r="AM32">
            <v>4</v>
          </cell>
          <cell r="AN32">
            <v>0</v>
          </cell>
          <cell r="AO32">
            <v>0</v>
          </cell>
          <cell r="AP32">
            <v>5</v>
          </cell>
          <cell r="AQ32">
            <v>0.625</v>
          </cell>
          <cell r="AR32">
            <v>31</v>
          </cell>
        </row>
        <row r="33">
          <cell r="AI33">
            <v>5</v>
          </cell>
        </row>
        <row r="34">
          <cell r="A34">
            <v>11697</v>
          </cell>
          <cell r="B34" t="str">
            <v>P.DEVI</v>
          </cell>
          <cell r="C34" t="str">
            <v>P.DEVI</v>
          </cell>
          <cell r="E34" t="str">
            <v>Housekeeping</v>
          </cell>
          <cell r="F34" t="str">
            <v>P</v>
          </cell>
          <cell r="G34" t="str">
            <v>P</v>
          </cell>
          <cell r="H34" t="str">
            <v>P</v>
          </cell>
          <cell r="I34" t="str">
            <v>W/O</v>
          </cell>
          <cell r="J34" t="str">
            <v>P</v>
          </cell>
          <cell r="K34" t="str">
            <v>P</v>
          </cell>
          <cell r="L34" t="str">
            <v>P</v>
          </cell>
          <cell r="M34" t="str">
            <v>P</v>
          </cell>
          <cell r="N34" t="str">
            <v>P</v>
          </cell>
          <cell r="O34" t="str">
            <v>P</v>
          </cell>
          <cell r="P34" t="str">
            <v>W/O</v>
          </cell>
          <cell r="Q34" t="str">
            <v>A</v>
          </cell>
          <cell r="R34" t="str">
            <v>P</v>
          </cell>
          <cell r="S34" t="str">
            <v>P</v>
          </cell>
          <cell r="T34" t="str">
            <v>P</v>
          </cell>
          <cell r="U34" t="str">
            <v>P</v>
          </cell>
          <cell r="V34" t="str">
            <v>P</v>
          </cell>
          <cell r="W34" t="str">
            <v>W/O</v>
          </cell>
          <cell r="X34" t="str">
            <v>P</v>
          </cell>
          <cell r="Y34" t="str">
            <v>P</v>
          </cell>
          <cell r="Z34" t="str">
            <v>P</v>
          </cell>
          <cell r="AA34" t="str">
            <v>P</v>
          </cell>
          <cell r="AB34" t="str">
            <v>P</v>
          </cell>
          <cell r="AC34" t="str">
            <v>P</v>
          </cell>
          <cell r="AD34" t="str">
            <v>W/O</v>
          </cell>
          <cell r="AE34" t="str">
            <v>P</v>
          </cell>
          <cell r="AF34" t="str">
            <v>P</v>
          </cell>
          <cell r="AG34" t="str">
            <v>P</v>
          </cell>
          <cell r="AH34" t="str">
            <v>P</v>
          </cell>
          <cell r="AI34" t="str">
            <v>P</v>
          </cell>
          <cell r="AJ34" t="str">
            <v>P</v>
          </cell>
          <cell r="AK34">
            <v>31</v>
          </cell>
          <cell r="AL34">
            <v>26</v>
          </cell>
          <cell r="AM34">
            <v>4</v>
          </cell>
          <cell r="AN34">
            <v>0</v>
          </cell>
          <cell r="AO34">
            <v>1</v>
          </cell>
          <cell r="AP34">
            <v>0</v>
          </cell>
          <cell r="AQ34">
            <v>0</v>
          </cell>
          <cell r="AR34">
            <v>30</v>
          </cell>
        </row>
        <row r="36">
          <cell r="A36">
            <v>12060</v>
          </cell>
          <cell r="B36" t="str">
            <v>P.SANTHOSHI</v>
          </cell>
          <cell r="C36" t="str">
            <v>P.SANTHOSHI</v>
          </cell>
          <cell r="E36" t="str">
            <v>Housekeeping</v>
          </cell>
          <cell r="F36" t="str">
            <v>P</v>
          </cell>
          <cell r="G36" t="str">
            <v>P</v>
          </cell>
          <cell r="H36" t="str">
            <v>P</v>
          </cell>
          <cell r="I36" t="str">
            <v>W/O</v>
          </cell>
          <cell r="J36" t="str">
            <v>P</v>
          </cell>
          <cell r="K36" t="str">
            <v>P</v>
          </cell>
          <cell r="L36" t="str">
            <v>P</v>
          </cell>
          <cell r="M36" t="str">
            <v>P</v>
          </cell>
          <cell r="N36" t="str">
            <v>P</v>
          </cell>
          <cell r="O36" t="str">
            <v>P</v>
          </cell>
          <cell r="P36" t="str">
            <v>W/O</v>
          </cell>
          <cell r="Q36" t="str">
            <v>P</v>
          </cell>
          <cell r="R36" t="str">
            <v>A</v>
          </cell>
          <cell r="S36" t="str">
            <v>A</v>
          </cell>
          <cell r="T36" t="str">
            <v>A</v>
          </cell>
          <cell r="U36" t="str">
            <v>P</v>
          </cell>
          <cell r="V36" t="str">
            <v>P</v>
          </cell>
          <cell r="W36" t="str">
            <v>W/O</v>
          </cell>
          <cell r="X36" t="str">
            <v>P</v>
          </cell>
          <cell r="Y36" t="str">
            <v>P</v>
          </cell>
          <cell r="Z36" t="str">
            <v>P</v>
          </cell>
          <cell r="AA36" t="str">
            <v>P</v>
          </cell>
          <cell r="AB36" t="str">
            <v>P</v>
          </cell>
          <cell r="AC36" t="str">
            <v>P</v>
          </cell>
          <cell r="AD36" t="str">
            <v>W/O</v>
          </cell>
          <cell r="AE36" t="str">
            <v>P</v>
          </cell>
          <cell r="AF36" t="str">
            <v>P</v>
          </cell>
          <cell r="AG36" t="str">
            <v>P</v>
          </cell>
          <cell r="AH36" t="str">
            <v>P</v>
          </cell>
          <cell r="AI36" t="str">
            <v>P</v>
          </cell>
          <cell r="AJ36" t="str">
            <v>P</v>
          </cell>
          <cell r="AK36">
            <v>31</v>
          </cell>
          <cell r="AL36">
            <v>24</v>
          </cell>
          <cell r="AM36">
            <v>4</v>
          </cell>
          <cell r="AN36">
            <v>0</v>
          </cell>
          <cell r="AO36">
            <v>3</v>
          </cell>
          <cell r="AP36">
            <v>0</v>
          </cell>
          <cell r="AQ36">
            <v>0</v>
          </cell>
          <cell r="AR36">
            <v>28</v>
          </cell>
        </row>
        <row r="38">
          <cell r="A38">
            <v>10478</v>
          </cell>
          <cell r="B38" t="str">
            <v xml:space="preserve">Abishek </v>
          </cell>
          <cell r="C38" t="str">
            <v>Abhishek</v>
          </cell>
          <cell r="D38" t="str">
            <v>L</v>
          </cell>
          <cell r="E38" t="str">
            <v>Housekeeping</v>
          </cell>
          <cell r="F38" t="str">
            <v>A</v>
          </cell>
          <cell r="G38" t="str">
            <v>A</v>
          </cell>
          <cell r="H38" t="str">
            <v>P</v>
          </cell>
          <cell r="I38" t="str">
            <v>W/O</v>
          </cell>
          <cell r="J38" t="str">
            <v>P</v>
          </cell>
          <cell r="K38" t="str">
            <v>P</v>
          </cell>
          <cell r="L38" t="str">
            <v>P</v>
          </cell>
          <cell r="M38" t="str">
            <v>P</v>
          </cell>
          <cell r="N38" t="str">
            <v>P</v>
          </cell>
          <cell r="O38" t="str">
            <v>P</v>
          </cell>
          <cell r="P38" t="str">
            <v>W/O</v>
          </cell>
          <cell r="Q38" t="str">
            <v>P</v>
          </cell>
          <cell r="R38" t="str">
            <v>P</v>
          </cell>
          <cell r="S38" t="str">
            <v>P</v>
          </cell>
          <cell r="T38" t="str">
            <v>P</v>
          </cell>
          <cell r="U38" t="str">
            <v>P</v>
          </cell>
          <cell r="V38" t="str">
            <v>P</v>
          </cell>
          <cell r="W38" t="str">
            <v>W/O</v>
          </cell>
          <cell r="X38" t="str">
            <v>P</v>
          </cell>
          <cell r="Y38" t="str">
            <v>P</v>
          </cell>
          <cell r="Z38" t="str">
            <v>P</v>
          </cell>
          <cell r="AA38" t="str">
            <v>P</v>
          </cell>
          <cell r="AB38" t="str">
            <v>P</v>
          </cell>
          <cell r="AC38" t="str">
            <v>P</v>
          </cell>
          <cell r="AD38" t="str">
            <v>W/O</v>
          </cell>
          <cell r="AE38" t="str">
            <v>P</v>
          </cell>
          <cell r="AF38" t="str">
            <v>P</v>
          </cell>
          <cell r="AG38" t="str">
            <v>P</v>
          </cell>
          <cell r="AH38" t="str">
            <v>P</v>
          </cell>
          <cell r="AI38" t="str">
            <v>P</v>
          </cell>
          <cell r="AJ38" t="str">
            <v>P</v>
          </cell>
          <cell r="AK38">
            <v>31</v>
          </cell>
          <cell r="AL38">
            <v>25</v>
          </cell>
          <cell r="AM38">
            <v>4</v>
          </cell>
          <cell r="AN38">
            <v>0</v>
          </cell>
          <cell r="AO38">
            <v>2</v>
          </cell>
          <cell r="AP38">
            <v>0</v>
          </cell>
          <cell r="AQ38">
            <v>0</v>
          </cell>
          <cell r="AR38">
            <v>29</v>
          </cell>
        </row>
        <row r="40">
          <cell r="A40">
            <v>10533</v>
          </cell>
          <cell r="B40" t="str">
            <v>Surash</v>
          </cell>
          <cell r="C40" t="str">
            <v>Suresh Sharma</v>
          </cell>
          <cell r="D40" t="str">
            <v>L</v>
          </cell>
          <cell r="E40" t="str">
            <v>Housekeeping</v>
          </cell>
          <cell r="F40" t="str">
            <v>P</v>
          </cell>
          <cell r="G40" t="str">
            <v>P</v>
          </cell>
          <cell r="H40" t="str">
            <v>P</v>
          </cell>
          <cell r="I40" t="str">
            <v>W/O</v>
          </cell>
          <cell r="J40" t="str">
            <v>P</v>
          </cell>
          <cell r="K40" t="str">
            <v>P</v>
          </cell>
          <cell r="L40" t="str">
            <v>P</v>
          </cell>
          <cell r="M40" t="str">
            <v>A</v>
          </cell>
          <cell r="N40" t="str">
            <v>P</v>
          </cell>
          <cell r="O40" t="str">
            <v>P</v>
          </cell>
          <cell r="P40" t="str">
            <v>W/O</v>
          </cell>
          <cell r="Q40" t="str">
            <v>P</v>
          </cell>
          <cell r="R40" t="str">
            <v>P</v>
          </cell>
          <cell r="S40" t="str">
            <v>P</v>
          </cell>
          <cell r="T40" t="str">
            <v>P</v>
          </cell>
          <cell r="U40" t="str">
            <v>P</v>
          </cell>
          <cell r="V40" t="str">
            <v>P</v>
          </cell>
          <cell r="W40" t="str">
            <v>W/O</v>
          </cell>
          <cell r="X40" t="str">
            <v>P</v>
          </cell>
          <cell r="Y40" t="str">
            <v>P</v>
          </cell>
          <cell r="Z40" t="str">
            <v>P</v>
          </cell>
          <cell r="AA40" t="str">
            <v>P</v>
          </cell>
          <cell r="AB40" t="str">
            <v>P</v>
          </cell>
          <cell r="AC40" t="str">
            <v>P</v>
          </cell>
          <cell r="AD40" t="str">
            <v>W/O</v>
          </cell>
          <cell r="AE40" t="str">
            <v>P</v>
          </cell>
          <cell r="AF40" t="str">
            <v>P</v>
          </cell>
          <cell r="AG40" t="str">
            <v>P</v>
          </cell>
          <cell r="AH40" t="str">
            <v>P</v>
          </cell>
          <cell r="AI40" t="str">
            <v>P</v>
          </cell>
          <cell r="AJ40" t="str">
            <v>P</v>
          </cell>
          <cell r="AK40">
            <v>31</v>
          </cell>
          <cell r="AL40">
            <v>26</v>
          </cell>
          <cell r="AM40">
            <v>4</v>
          </cell>
          <cell r="AN40">
            <v>0</v>
          </cell>
          <cell r="AO40">
            <v>1</v>
          </cell>
          <cell r="AP40">
            <v>5</v>
          </cell>
          <cell r="AQ40">
            <v>0.625</v>
          </cell>
          <cell r="AR40">
            <v>30</v>
          </cell>
        </row>
        <row r="41">
          <cell r="AF41">
            <v>5</v>
          </cell>
        </row>
        <row r="42">
          <cell r="A42">
            <v>12059</v>
          </cell>
          <cell r="B42" t="str">
            <v>Mujaherul Islam</v>
          </cell>
          <cell r="C42" t="str">
            <v>MUJAHERUL ISLAM</v>
          </cell>
          <cell r="E42" t="str">
            <v>Housekeeping</v>
          </cell>
          <cell r="F42" t="str">
            <v>P</v>
          </cell>
          <cell r="G42" t="str">
            <v>P</v>
          </cell>
          <cell r="H42" t="str">
            <v>P</v>
          </cell>
          <cell r="I42" t="str">
            <v>W/O</v>
          </cell>
          <cell r="J42" t="str">
            <v>P</v>
          </cell>
          <cell r="K42" t="str">
            <v>P</v>
          </cell>
          <cell r="L42" t="str">
            <v>P</v>
          </cell>
          <cell r="M42" t="str">
            <v>P</v>
          </cell>
          <cell r="N42" t="str">
            <v>P</v>
          </cell>
          <cell r="O42" t="str">
            <v>P</v>
          </cell>
          <cell r="P42" t="str">
            <v>W/O</v>
          </cell>
          <cell r="Q42" t="str">
            <v>P</v>
          </cell>
          <cell r="R42" t="str">
            <v>P</v>
          </cell>
          <cell r="S42" t="str">
            <v>P</v>
          </cell>
          <cell r="T42" t="str">
            <v>P</v>
          </cell>
          <cell r="U42" t="str">
            <v>P</v>
          </cell>
          <cell r="V42" t="str">
            <v>P</v>
          </cell>
          <cell r="W42" t="str">
            <v>W/O</v>
          </cell>
          <cell r="X42" t="str">
            <v>P</v>
          </cell>
          <cell r="Y42" t="str">
            <v>P</v>
          </cell>
          <cell r="Z42" t="str">
            <v>P</v>
          </cell>
          <cell r="AA42" t="str">
            <v>P</v>
          </cell>
          <cell r="AB42" t="str">
            <v>P</v>
          </cell>
          <cell r="AC42" t="str">
            <v>P</v>
          </cell>
          <cell r="AD42" t="str">
            <v>W/O</v>
          </cell>
          <cell r="AE42" t="str">
            <v>P</v>
          </cell>
          <cell r="AF42" t="str">
            <v>P</v>
          </cell>
          <cell r="AG42" t="str">
            <v>P</v>
          </cell>
          <cell r="AH42" t="str">
            <v>P</v>
          </cell>
          <cell r="AI42" t="str">
            <v>P</v>
          </cell>
          <cell r="AJ42" t="str">
            <v>P</v>
          </cell>
          <cell r="AK42">
            <v>31</v>
          </cell>
          <cell r="AL42">
            <v>27</v>
          </cell>
          <cell r="AM42">
            <v>4</v>
          </cell>
          <cell r="AN42">
            <v>0</v>
          </cell>
          <cell r="AO42">
            <v>0</v>
          </cell>
          <cell r="AP42">
            <v>4</v>
          </cell>
          <cell r="AQ42">
            <v>0.5</v>
          </cell>
          <cell r="AR42">
            <v>31</v>
          </cell>
        </row>
        <row r="43">
          <cell r="Z43">
            <v>2</v>
          </cell>
          <cell r="AA43">
            <v>2</v>
          </cell>
        </row>
        <row r="44">
          <cell r="A44">
            <v>11293</v>
          </cell>
          <cell r="B44" t="str">
            <v>Soriful Islam</v>
          </cell>
          <cell r="C44" t="str">
            <v>Shariful Islam</v>
          </cell>
          <cell r="E44" t="str">
            <v>Housekeeping</v>
          </cell>
          <cell r="F44" t="str">
            <v>P</v>
          </cell>
          <cell r="G44" t="str">
            <v>P</v>
          </cell>
          <cell r="H44" t="str">
            <v>P</v>
          </cell>
          <cell r="I44" t="str">
            <v>P</v>
          </cell>
          <cell r="J44" t="str">
            <v>W/O</v>
          </cell>
          <cell r="K44" t="str">
            <v>P</v>
          </cell>
          <cell r="L44" t="str">
            <v>P</v>
          </cell>
          <cell r="M44" t="str">
            <v>P</v>
          </cell>
          <cell r="N44" t="str">
            <v>P</v>
          </cell>
          <cell r="O44" t="str">
            <v>P</v>
          </cell>
          <cell r="P44" t="str">
            <v>P</v>
          </cell>
          <cell r="Q44" t="str">
            <v>W/O</v>
          </cell>
          <cell r="R44" t="str">
            <v>P</v>
          </cell>
          <cell r="S44" t="str">
            <v>P</v>
          </cell>
          <cell r="T44" t="str">
            <v>P</v>
          </cell>
          <cell r="U44" t="str">
            <v>P</v>
          </cell>
          <cell r="V44" t="str">
            <v>P</v>
          </cell>
          <cell r="W44" t="str">
            <v>P</v>
          </cell>
          <cell r="X44" t="str">
            <v>W/O</v>
          </cell>
          <cell r="Y44" t="str">
            <v>P</v>
          </cell>
          <cell r="Z44" t="str">
            <v>P</v>
          </cell>
          <cell r="AA44" t="str">
            <v>P</v>
          </cell>
          <cell r="AB44" t="str">
            <v>P</v>
          </cell>
          <cell r="AC44" t="str">
            <v>P</v>
          </cell>
          <cell r="AD44" t="str">
            <v>P</v>
          </cell>
          <cell r="AE44" t="str">
            <v>W/O</v>
          </cell>
          <cell r="AF44" t="str">
            <v>P</v>
          </cell>
          <cell r="AG44" t="str">
            <v>P</v>
          </cell>
          <cell r="AH44" t="str">
            <v>P</v>
          </cell>
          <cell r="AI44" t="str">
            <v>P</v>
          </cell>
          <cell r="AJ44" t="str">
            <v>P</v>
          </cell>
          <cell r="AK44">
            <v>31</v>
          </cell>
          <cell r="AL44">
            <v>27</v>
          </cell>
          <cell r="AM44">
            <v>4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31</v>
          </cell>
        </row>
        <row r="46">
          <cell r="A46">
            <v>11925</v>
          </cell>
          <cell r="B46" t="str">
            <v>Viki Pegu</v>
          </cell>
          <cell r="C46" t="str">
            <v>BIKI PEGU</v>
          </cell>
          <cell r="D46" t="str">
            <v>L</v>
          </cell>
          <cell r="E46" t="str">
            <v>Housekeeping</v>
          </cell>
          <cell r="F46" t="str">
            <v>P</v>
          </cell>
          <cell r="G46" t="str">
            <v>P</v>
          </cell>
          <cell r="H46" t="str">
            <v>P</v>
          </cell>
          <cell r="I46" t="str">
            <v>P</v>
          </cell>
          <cell r="J46" t="str">
            <v>W/O</v>
          </cell>
          <cell r="K46" t="str">
            <v>P</v>
          </cell>
          <cell r="L46" t="str">
            <v>P</v>
          </cell>
          <cell r="M46" t="str">
            <v>P</v>
          </cell>
          <cell r="N46" t="str">
            <v>P</v>
          </cell>
          <cell r="O46" t="str">
            <v>P</v>
          </cell>
          <cell r="P46" t="str">
            <v>P</v>
          </cell>
          <cell r="Q46" t="str">
            <v>W/O</v>
          </cell>
          <cell r="R46" t="str">
            <v>P</v>
          </cell>
          <cell r="S46" t="str">
            <v>P</v>
          </cell>
          <cell r="T46" t="str">
            <v>P</v>
          </cell>
          <cell r="U46" t="str">
            <v>P</v>
          </cell>
          <cell r="V46" t="str">
            <v>P</v>
          </cell>
          <cell r="W46" t="str">
            <v>P</v>
          </cell>
          <cell r="X46" t="str">
            <v>W/O</v>
          </cell>
          <cell r="Y46" t="str">
            <v>P</v>
          </cell>
          <cell r="Z46" t="str">
            <v>P</v>
          </cell>
          <cell r="AA46" t="str">
            <v>P</v>
          </cell>
          <cell r="AB46" t="str">
            <v>P</v>
          </cell>
          <cell r="AC46" t="str">
            <v>P</v>
          </cell>
          <cell r="AD46" t="str">
            <v>P</v>
          </cell>
          <cell r="AE46" t="str">
            <v>W/O</v>
          </cell>
          <cell r="AF46" t="str">
            <v>P</v>
          </cell>
          <cell r="AG46" t="str">
            <v>P</v>
          </cell>
          <cell r="AH46" t="str">
            <v>P</v>
          </cell>
          <cell r="AI46" t="str">
            <v>P</v>
          </cell>
          <cell r="AJ46" t="str">
            <v>P</v>
          </cell>
          <cell r="AK46">
            <v>31</v>
          </cell>
          <cell r="AL46">
            <v>27</v>
          </cell>
          <cell r="AM46">
            <v>4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31</v>
          </cell>
        </row>
        <row r="48">
          <cell r="A48">
            <v>11941</v>
          </cell>
          <cell r="B48" t="str">
            <v>SK.QASIN ALI</v>
          </cell>
          <cell r="C48" t="str">
            <v>SK.Qasim Ali</v>
          </cell>
          <cell r="D48" t="str">
            <v>L</v>
          </cell>
          <cell r="E48" t="str">
            <v>Housekeeping</v>
          </cell>
          <cell r="F48" t="str">
            <v>P</v>
          </cell>
          <cell r="G48" t="str">
            <v>P</v>
          </cell>
          <cell r="H48" t="str">
            <v>P</v>
          </cell>
          <cell r="I48" t="str">
            <v>P</v>
          </cell>
          <cell r="J48" t="str">
            <v>W/O</v>
          </cell>
          <cell r="K48" t="str">
            <v>P</v>
          </cell>
          <cell r="L48" t="str">
            <v>P</v>
          </cell>
          <cell r="M48" t="str">
            <v>P</v>
          </cell>
          <cell r="N48" t="str">
            <v>P</v>
          </cell>
          <cell r="O48" t="str">
            <v>P</v>
          </cell>
          <cell r="P48" t="str">
            <v>P</v>
          </cell>
          <cell r="Q48" t="str">
            <v>W/O</v>
          </cell>
          <cell r="R48" t="str">
            <v>P</v>
          </cell>
          <cell r="S48" t="str">
            <v>P</v>
          </cell>
          <cell r="T48" t="str">
            <v>P</v>
          </cell>
          <cell r="U48" t="str">
            <v>P</v>
          </cell>
          <cell r="V48" t="str">
            <v>P</v>
          </cell>
          <cell r="W48" t="str">
            <v>P</v>
          </cell>
          <cell r="X48" t="str">
            <v>W/O</v>
          </cell>
          <cell r="Y48" t="str">
            <v>P</v>
          </cell>
          <cell r="Z48" t="str">
            <v>P</v>
          </cell>
          <cell r="AA48" t="str">
            <v>P</v>
          </cell>
          <cell r="AB48" t="str">
            <v>P</v>
          </cell>
          <cell r="AC48" t="str">
            <v>P</v>
          </cell>
          <cell r="AD48" t="str">
            <v>P</v>
          </cell>
          <cell r="AE48" t="str">
            <v>W/O</v>
          </cell>
          <cell r="AF48" t="str">
            <v>A</v>
          </cell>
          <cell r="AG48" t="str">
            <v>P</v>
          </cell>
          <cell r="AH48" t="str">
            <v>P</v>
          </cell>
          <cell r="AI48" t="str">
            <v>P</v>
          </cell>
          <cell r="AJ48" t="str">
            <v>P</v>
          </cell>
          <cell r="AK48">
            <v>31</v>
          </cell>
          <cell r="AL48">
            <v>26</v>
          </cell>
          <cell r="AM48">
            <v>4</v>
          </cell>
          <cell r="AN48">
            <v>0</v>
          </cell>
          <cell r="AO48">
            <v>1</v>
          </cell>
          <cell r="AP48">
            <v>40</v>
          </cell>
          <cell r="AQ48">
            <v>5</v>
          </cell>
          <cell r="AR48">
            <v>30</v>
          </cell>
        </row>
        <row r="49">
          <cell r="H49">
            <v>8</v>
          </cell>
          <cell r="L49">
            <v>8</v>
          </cell>
          <cell r="AA49">
            <v>8</v>
          </cell>
          <cell r="AC49">
            <v>8</v>
          </cell>
          <cell r="AI49">
            <v>8</v>
          </cell>
        </row>
        <row r="50">
          <cell r="A50">
            <v>11825</v>
          </cell>
          <cell r="B50" t="str">
            <v>Faizul Islam</v>
          </cell>
          <cell r="C50" t="str">
            <v>FAIJUL ISLAM</v>
          </cell>
          <cell r="E50" t="str">
            <v>Housekeeping</v>
          </cell>
          <cell r="F50" t="str">
            <v>P</v>
          </cell>
          <cell r="G50" t="str">
            <v>P</v>
          </cell>
          <cell r="H50" t="str">
            <v>P</v>
          </cell>
          <cell r="I50" t="str">
            <v>P</v>
          </cell>
          <cell r="J50" t="str">
            <v>W/O</v>
          </cell>
          <cell r="K50" t="str">
            <v>P</v>
          </cell>
          <cell r="L50" t="str">
            <v>P</v>
          </cell>
          <cell r="M50" t="str">
            <v>P</v>
          </cell>
          <cell r="N50" t="str">
            <v>P</v>
          </cell>
          <cell r="O50" t="str">
            <v>P</v>
          </cell>
          <cell r="P50" t="str">
            <v>P</v>
          </cell>
          <cell r="Q50" t="str">
            <v>W/O</v>
          </cell>
          <cell r="R50" t="str">
            <v>P</v>
          </cell>
          <cell r="S50" t="str">
            <v>P</v>
          </cell>
          <cell r="T50" t="str">
            <v>P</v>
          </cell>
          <cell r="U50" t="str">
            <v>P</v>
          </cell>
          <cell r="V50" t="str">
            <v>P</v>
          </cell>
          <cell r="W50" t="str">
            <v>P</v>
          </cell>
          <cell r="X50" t="str">
            <v>W/O</v>
          </cell>
          <cell r="Y50" t="str">
            <v>P</v>
          </cell>
          <cell r="Z50" t="str">
            <v>P</v>
          </cell>
          <cell r="AA50" t="str">
            <v>P</v>
          </cell>
          <cell r="AB50" t="str">
            <v>P</v>
          </cell>
          <cell r="AC50" t="str">
            <v>P</v>
          </cell>
          <cell r="AD50" t="str">
            <v>P</v>
          </cell>
          <cell r="AE50" t="str">
            <v>W/O</v>
          </cell>
          <cell r="AF50" t="str">
            <v>P</v>
          </cell>
          <cell r="AG50" t="str">
            <v>P</v>
          </cell>
          <cell r="AH50" t="str">
            <v>P</v>
          </cell>
          <cell r="AI50" t="str">
            <v>P</v>
          </cell>
          <cell r="AJ50" t="str">
            <v>P</v>
          </cell>
          <cell r="AK50">
            <v>31</v>
          </cell>
          <cell r="AL50">
            <v>27</v>
          </cell>
          <cell r="AM50">
            <v>4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31</v>
          </cell>
        </row>
        <row r="52">
          <cell r="A52">
            <v>12037</v>
          </cell>
          <cell r="B52" t="str">
            <v>Shakirul Islam</v>
          </cell>
          <cell r="C52" t="str">
            <v>SHAKIRUL ISLAM</v>
          </cell>
          <cell r="E52" t="str">
            <v>Housekeeping</v>
          </cell>
          <cell r="F52" t="str">
            <v>P</v>
          </cell>
          <cell r="G52" t="str">
            <v>P</v>
          </cell>
          <cell r="H52" t="str">
            <v>P</v>
          </cell>
          <cell r="I52" t="str">
            <v>P</v>
          </cell>
          <cell r="J52" t="str">
            <v>W/O</v>
          </cell>
          <cell r="K52" t="str">
            <v>P</v>
          </cell>
          <cell r="L52" t="str">
            <v>P</v>
          </cell>
          <cell r="M52" t="str">
            <v>P</v>
          </cell>
          <cell r="N52" t="str">
            <v>P</v>
          </cell>
          <cell r="O52" t="str">
            <v>P</v>
          </cell>
          <cell r="P52" t="str">
            <v>P</v>
          </cell>
          <cell r="Q52" t="str">
            <v>W/O</v>
          </cell>
          <cell r="R52" t="str">
            <v>P</v>
          </cell>
          <cell r="S52" t="str">
            <v>P</v>
          </cell>
          <cell r="T52" t="str">
            <v>P</v>
          </cell>
          <cell r="U52" t="str">
            <v>P</v>
          </cell>
          <cell r="V52" t="str">
            <v>P</v>
          </cell>
          <cell r="W52" t="str">
            <v>P</v>
          </cell>
          <cell r="X52" t="str">
            <v>W/O</v>
          </cell>
          <cell r="Y52" t="str">
            <v>P</v>
          </cell>
          <cell r="Z52" t="str">
            <v>P</v>
          </cell>
          <cell r="AA52" t="str">
            <v>P</v>
          </cell>
          <cell r="AB52" t="str">
            <v>P</v>
          </cell>
          <cell r="AC52" t="str">
            <v>P</v>
          </cell>
          <cell r="AD52" t="str">
            <v>P</v>
          </cell>
          <cell r="AE52" t="str">
            <v>W/O</v>
          </cell>
          <cell r="AF52" t="str">
            <v>P</v>
          </cell>
          <cell r="AG52" t="str">
            <v>P</v>
          </cell>
          <cell r="AH52" t="str">
            <v>P</v>
          </cell>
          <cell r="AI52" t="str">
            <v>P</v>
          </cell>
          <cell r="AJ52" t="str">
            <v>P</v>
          </cell>
          <cell r="AK52">
            <v>31</v>
          </cell>
          <cell r="AL52">
            <v>27</v>
          </cell>
          <cell r="AM52">
            <v>4</v>
          </cell>
          <cell r="AN52">
            <v>0</v>
          </cell>
          <cell r="AO52">
            <v>0</v>
          </cell>
          <cell r="AP52">
            <v>13</v>
          </cell>
          <cell r="AQ52">
            <v>1.625</v>
          </cell>
          <cell r="AR52">
            <v>31</v>
          </cell>
        </row>
        <row r="53">
          <cell r="M53">
            <v>5</v>
          </cell>
          <cell r="Y53">
            <v>8</v>
          </cell>
        </row>
        <row r="54">
          <cell r="A54">
            <v>11718</v>
          </cell>
          <cell r="B54" t="str">
            <v>Mojibur Rahman</v>
          </cell>
          <cell r="C54" t="str">
            <v>MOJIBUR REHMAN</v>
          </cell>
          <cell r="E54" t="str">
            <v>Housekeeping</v>
          </cell>
          <cell r="F54" t="str">
            <v>P</v>
          </cell>
          <cell r="G54" t="str">
            <v>P</v>
          </cell>
          <cell r="H54" t="str">
            <v>P</v>
          </cell>
          <cell r="I54" t="str">
            <v>W/O</v>
          </cell>
          <cell r="J54" t="str">
            <v>P</v>
          </cell>
          <cell r="K54" t="str">
            <v>P</v>
          </cell>
          <cell r="L54" t="str">
            <v>P</v>
          </cell>
          <cell r="M54" t="str">
            <v>P</v>
          </cell>
          <cell r="N54" t="str">
            <v>P</v>
          </cell>
          <cell r="O54" t="str">
            <v>A</v>
          </cell>
          <cell r="P54" t="str">
            <v>W/O</v>
          </cell>
          <cell r="Q54" t="str">
            <v>P</v>
          </cell>
          <cell r="R54" t="str">
            <v>P</v>
          </cell>
          <cell r="S54" t="str">
            <v>P</v>
          </cell>
          <cell r="T54" t="str">
            <v>P</v>
          </cell>
          <cell r="U54" t="str">
            <v>P</v>
          </cell>
          <cell r="V54" t="str">
            <v>P</v>
          </cell>
          <cell r="W54" t="str">
            <v>W/O</v>
          </cell>
          <cell r="X54" t="str">
            <v>P</v>
          </cell>
          <cell r="Y54" t="str">
            <v>P</v>
          </cell>
          <cell r="Z54" t="str">
            <v>P</v>
          </cell>
          <cell r="AA54" t="str">
            <v>P</v>
          </cell>
          <cell r="AB54" t="str">
            <v>P</v>
          </cell>
          <cell r="AC54" t="str">
            <v>P</v>
          </cell>
          <cell r="AD54" t="str">
            <v>W/O</v>
          </cell>
          <cell r="AE54" t="str">
            <v>P</v>
          </cell>
          <cell r="AF54" t="str">
            <v>P</v>
          </cell>
          <cell r="AG54" t="str">
            <v>P</v>
          </cell>
          <cell r="AH54" t="str">
            <v>P</v>
          </cell>
          <cell r="AI54" t="str">
            <v>P</v>
          </cell>
          <cell r="AJ54" t="str">
            <v>P</v>
          </cell>
          <cell r="AK54">
            <v>31</v>
          </cell>
          <cell r="AL54">
            <v>26</v>
          </cell>
          <cell r="AM54">
            <v>4</v>
          </cell>
          <cell r="AN54">
            <v>0</v>
          </cell>
          <cell r="AO54">
            <v>1</v>
          </cell>
          <cell r="AP54">
            <v>0</v>
          </cell>
          <cell r="AQ54">
            <v>0</v>
          </cell>
          <cell r="AR54">
            <v>30</v>
          </cell>
        </row>
        <row r="56">
          <cell r="A56">
            <v>11969</v>
          </cell>
          <cell r="B56" t="str">
            <v>AJAY KUMAR</v>
          </cell>
          <cell r="C56" t="str">
            <v>Ajay Kumar</v>
          </cell>
          <cell r="E56" t="str">
            <v>Housekeeping</v>
          </cell>
          <cell r="F56" t="str">
            <v>P</v>
          </cell>
          <cell r="G56" t="str">
            <v>P</v>
          </cell>
          <cell r="H56" t="str">
            <v>P</v>
          </cell>
          <cell r="I56" t="str">
            <v>W/O</v>
          </cell>
          <cell r="J56" t="str">
            <v>P</v>
          </cell>
          <cell r="K56" t="str">
            <v>P</v>
          </cell>
          <cell r="L56" t="str">
            <v>P</v>
          </cell>
          <cell r="M56" t="str">
            <v>P</v>
          </cell>
          <cell r="N56" t="str">
            <v>P</v>
          </cell>
          <cell r="O56" t="str">
            <v>P</v>
          </cell>
          <cell r="P56" t="str">
            <v>W/O</v>
          </cell>
          <cell r="Q56" t="str">
            <v>P</v>
          </cell>
          <cell r="R56" t="str">
            <v>P</v>
          </cell>
          <cell r="S56" t="str">
            <v>P</v>
          </cell>
          <cell r="T56" t="str">
            <v>P</v>
          </cell>
          <cell r="U56" t="str">
            <v>P</v>
          </cell>
          <cell r="V56" t="str">
            <v>P</v>
          </cell>
          <cell r="W56" t="str">
            <v>W/O</v>
          </cell>
          <cell r="X56" t="str">
            <v>P</v>
          </cell>
          <cell r="Y56" t="str">
            <v>P</v>
          </cell>
          <cell r="Z56" t="str">
            <v>P</v>
          </cell>
          <cell r="AA56" t="str">
            <v>P</v>
          </cell>
          <cell r="AB56" t="str">
            <v>P</v>
          </cell>
          <cell r="AC56" t="str">
            <v>P</v>
          </cell>
          <cell r="AD56" t="str">
            <v>W/O</v>
          </cell>
          <cell r="AE56" t="str">
            <v>P</v>
          </cell>
          <cell r="AF56" t="str">
            <v>P</v>
          </cell>
          <cell r="AG56" t="str">
            <v>P</v>
          </cell>
          <cell r="AH56" t="str">
            <v>P</v>
          </cell>
          <cell r="AI56" t="str">
            <v>P</v>
          </cell>
          <cell r="AJ56" t="str">
            <v>P</v>
          </cell>
          <cell r="AK56">
            <v>31</v>
          </cell>
          <cell r="AL56">
            <v>27</v>
          </cell>
          <cell r="AM56">
            <v>4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31</v>
          </cell>
        </row>
        <row r="58">
          <cell r="A58">
            <v>10681</v>
          </cell>
          <cell r="B58" t="str">
            <v>Animesh Tangubai</v>
          </cell>
          <cell r="C58" t="str">
            <v>Animesh Tangubai</v>
          </cell>
          <cell r="E58" t="str">
            <v>Housekeeping</v>
          </cell>
          <cell r="F58" t="str">
            <v>P</v>
          </cell>
          <cell r="G58" t="str">
            <v>P</v>
          </cell>
          <cell r="H58" t="str">
            <v>A</v>
          </cell>
          <cell r="I58" t="str">
            <v>W/O</v>
          </cell>
          <cell r="J58" t="str">
            <v>P</v>
          </cell>
          <cell r="K58" t="str">
            <v>P</v>
          </cell>
          <cell r="L58" t="str">
            <v>P</v>
          </cell>
          <cell r="M58" t="str">
            <v>P</v>
          </cell>
          <cell r="N58" t="str">
            <v>P</v>
          </cell>
          <cell r="O58" t="str">
            <v>P</v>
          </cell>
          <cell r="P58" t="str">
            <v>P</v>
          </cell>
          <cell r="Q58" t="str">
            <v>W/O</v>
          </cell>
          <cell r="R58" t="str">
            <v>P</v>
          </cell>
          <cell r="S58" t="str">
            <v>P</v>
          </cell>
          <cell r="T58" t="str">
            <v>P</v>
          </cell>
          <cell r="U58" t="str">
            <v>P</v>
          </cell>
          <cell r="V58" t="str">
            <v>P</v>
          </cell>
          <cell r="W58" t="str">
            <v>W/O</v>
          </cell>
          <cell r="X58" t="str">
            <v>P</v>
          </cell>
          <cell r="Y58" t="str">
            <v>P</v>
          </cell>
          <cell r="Z58" t="str">
            <v>P</v>
          </cell>
          <cell r="AA58" t="str">
            <v>P</v>
          </cell>
          <cell r="AB58" t="str">
            <v>P</v>
          </cell>
          <cell r="AC58" t="str">
            <v>P</v>
          </cell>
          <cell r="AD58" t="str">
            <v>W/O</v>
          </cell>
          <cell r="AE58" t="str">
            <v>P</v>
          </cell>
          <cell r="AF58" t="str">
            <v>P</v>
          </cell>
          <cell r="AG58" t="str">
            <v>P</v>
          </cell>
          <cell r="AH58" t="str">
            <v>P</v>
          </cell>
          <cell r="AI58" t="str">
            <v>P</v>
          </cell>
          <cell r="AJ58" t="str">
            <v>P</v>
          </cell>
          <cell r="AK58">
            <v>31</v>
          </cell>
          <cell r="AL58">
            <v>26</v>
          </cell>
          <cell r="AM58">
            <v>4</v>
          </cell>
          <cell r="AN58">
            <v>0</v>
          </cell>
          <cell r="AO58">
            <v>1</v>
          </cell>
          <cell r="AP58">
            <v>8</v>
          </cell>
          <cell r="AQ58">
            <v>1</v>
          </cell>
          <cell r="AR58">
            <v>30</v>
          </cell>
        </row>
        <row r="59">
          <cell r="Q59">
            <v>8</v>
          </cell>
        </row>
        <row r="60">
          <cell r="A60">
            <v>11965</v>
          </cell>
          <cell r="B60" t="str">
            <v>MILAN SHARMA</v>
          </cell>
          <cell r="C60" t="str">
            <v>Milan Sharma</v>
          </cell>
          <cell r="E60" t="str">
            <v>Housekeeping</v>
          </cell>
          <cell r="F60" t="str">
            <v>P</v>
          </cell>
          <cell r="G60" t="str">
            <v>P</v>
          </cell>
          <cell r="H60" t="str">
            <v>P</v>
          </cell>
          <cell r="I60" t="str">
            <v>P</v>
          </cell>
          <cell r="J60" t="str">
            <v>A</v>
          </cell>
          <cell r="K60" t="str">
            <v>A</v>
          </cell>
          <cell r="L60" t="str">
            <v>A</v>
          </cell>
          <cell r="M60" t="str">
            <v>A</v>
          </cell>
          <cell r="N60" t="str">
            <v>A</v>
          </cell>
          <cell r="O60" t="str">
            <v>A</v>
          </cell>
          <cell r="P60" t="str">
            <v>A</v>
          </cell>
          <cell r="Q60" t="str">
            <v>A</v>
          </cell>
          <cell r="R60" t="str">
            <v>A</v>
          </cell>
          <cell r="S60" t="str">
            <v>A</v>
          </cell>
          <cell r="T60" t="str">
            <v>A</v>
          </cell>
          <cell r="U60" t="str">
            <v>A</v>
          </cell>
          <cell r="V60" t="str">
            <v>A</v>
          </cell>
          <cell r="W60" t="str">
            <v>A</v>
          </cell>
          <cell r="X60" t="str">
            <v>A</v>
          </cell>
          <cell r="Y60" t="str">
            <v>A</v>
          </cell>
          <cell r="Z60" t="str">
            <v>A</v>
          </cell>
          <cell r="AA60" t="str">
            <v>A</v>
          </cell>
          <cell r="AB60" t="str">
            <v>A</v>
          </cell>
          <cell r="AC60" t="str">
            <v>A</v>
          </cell>
          <cell r="AD60" t="str">
            <v>A</v>
          </cell>
          <cell r="AE60" t="str">
            <v>A</v>
          </cell>
          <cell r="AF60" t="str">
            <v>A</v>
          </cell>
          <cell r="AG60" t="str">
            <v>A</v>
          </cell>
          <cell r="AH60" t="str">
            <v>A</v>
          </cell>
          <cell r="AI60" t="str">
            <v>A</v>
          </cell>
          <cell r="AJ60" t="str">
            <v>A</v>
          </cell>
          <cell r="AK60">
            <v>31</v>
          </cell>
          <cell r="AL60">
            <v>4</v>
          </cell>
          <cell r="AM60">
            <v>0</v>
          </cell>
          <cell r="AN60">
            <v>0</v>
          </cell>
          <cell r="AO60">
            <v>27</v>
          </cell>
          <cell r="AP60">
            <v>0</v>
          </cell>
          <cell r="AQ60">
            <v>0</v>
          </cell>
          <cell r="AR60">
            <v>4</v>
          </cell>
        </row>
        <row r="62">
          <cell r="A62">
            <v>10637</v>
          </cell>
          <cell r="B62" t="str">
            <v>SUMAN DAS</v>
          </cell>
          <cell r="C62" t="str">
            <v>Suman Das</v>
          </cell>
          <cell r="E62" t="str">
            <v>Housekeeping</v>
          </cell>
          <cell r="F62" t="str">
            <v>P</v>
          </cell>
          <cell r="G62" t="str">
            <v>P</v>
          </cell>
          <cell r="H62" t="str">
            <v>P</v>
          </cell>
          <cell r="I62" t="str">
            <v>W/O</v>
          </cell>
          <cell r="J62" t="str">
            <v>P</v>
          </cell>
          <cell r="K62" t="str">
            <v>P</v>
          </cell>
          <cell r="L62" t="str">
            <v>P</v>
          </cell>
          <cell r="M62" t="str">
            <v>P</v>
          </cell>
          <cell r="N62" t="str">
            <v>P</v>
          </cell>
          <cell r="O62" t="str">
            <v>P</v>
          </cell>
          <cell r="P62" t="str">
            <v>W/O</v>
          </cell>
          <cell r="Q62" t="str">
            <v>P</v>
          </cell>
          <cell r="R62" t="str">
            <v>P</v>
          </cell>
          <cell r="S62" t="str">
            <v>P</v>
          </cell>
          <cell r="T62" t="str">
            <v>P</v>
          </cell>
          <cell r="U62" t="str">
            <v>P</v>
          </cell>
          <cell r="V62" t="str">
            <v>P</v>
          </cell>
          <cell r="W62" t="str">
            <v>W/O</v>
          </cell>
          <cell r="X62" t="str">
            <v>P</v>
          </cell>
          <cell r="Y62" t="str">
            <v>P</v>
          </cell>
          <cell r="Z62" t="str">
            <v>P</v>
          </cell>
          <cell r="AA62" t="str">
            <v>P</v>
          </cell>
          <cell r="AB62" t="str">
            <v>P</v>
          </cell>
          <cell r="AC62" t="str">
            <v>P</v>
          </cell>
          <cell r="AD62" t="str">
            <v>W/O</v>
          </cell>
          <cell r="AE62" t="str">
            <v>P</v>
          </cell>
          <cell r="AF62" t="str">
            <v>P</v>
          </cell>
          <cell r="AG62" t="str">
            <v>P</v>
          </cell>
          <cell r="AH62" t="str">
            <v>P</v>
          </cell>
          <cell r="AI62" t="str">
            <v>P</v>
          </cell>
          <cell r="AJ62" t="str">
            <v>P</v>
          </cell>
          <cell r="AK62">
            <v>31</v>
          </cell>
          <cell r="AL62">
            <v>27</v>
          </cell>
          <cell r="AM62">
            <v>4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31</v>
          </cell>
        </row>
        <row r="64">
          <cell r="A64">
            <v>11717</v>
          </cell>
          <cell r="B64" t="str">
            <v>Achadul Haque</v>
          </cell>
          <cell r="C64" t="str">
            <v>ACHADUL HAQUE</v>
          </cell>
          <cell r="D64" t="str">
            <v>L</v>
          </cell>
          <cell r="E64" t="str">
            <v>Housekeeping</v>
          </cell>
          <cell r="F64" t="str">
            <v>P</v>
          </cell>
          <cell r="G64" t="str">
            <v>P</v>
          </cell>
          <cell r="H64" t="str">
            <v>P</v>
          </cell>
          <cell r="I64" t="str">
            <v>P</v>
          </cell>
          <cell r="J64" t="str">
            <v>W/O</v>
          </cell>
          <cell r="K64" t="str">
            <v>P</v>
          </cell>
          <cell r="L64" t="str">
            <v>P</v>
          </cell>
          <cell r="M64" t="str">
            <v>P</v>
          </cell>
          <cell r="N64" t="str">
            <v>P</v>
          </cell>
          <cell r="O64" t="str">
            <v>P</v>
          </cell>
          <cell r="P64" t="str">
            <v>P</v>
          </cell>
          <cell r="Q64" t="str">
            <v>W/O</v>
          </cell>
          <cell r="R64" t="str">
            <v>P</v>
          </cell>
          <cell r="S64" t="str">
            <v>P</v>
          </cell>
          <cell r="T64" t="str">
            <v>P</v>
          </cell>
          <cell r="U64" t="str">
            <v>P</v>
          </cell>
          <cell r="V64" t="str">
            <v>P</v>
          </cell>
          <cell r="W64" t="str">
            <v>P</v>
          </cell>
          <cell r="X64" t="str">
            <v>W/O</v>
          </cell>
          <cell r="Y64" t="str">
            <v>P</v>
          </cell>
          <cell r="Z64" t="str">
            <v>P</v>
          </cell>
          <cell r="AA64" t="str">
            <v>P</v>
          </cell>
          <cell r="AB64" t="str">
            <v>P</v>
          </cell>
          <cell r="AC64" t="str">
            <v>P</v>
          </cell>
          <cell r="AD64" t="str">
            <v>P</v>
          </cell>
          <cell r="AE64" t="str">
            <v>W/O</v>
          </cell>
          <cell r="AF64" t="str">
            <v>P</v>
          </cell>
          <cell r="AG64" t="str">
            <v>P</v>
          </cell>
          <cell r="AH64" t="str">
            <v>P</v>
          </cell>
          <cell r="AI64" t="str">
            <v>P</v>
          </cell>
          <cell r="AJ64" t="str">
            <v>P</v>
          </cell>
          <cell r="AK64">
            <v>31</v>
          </cell>
          <cell r="AL64">
            <v>27</v>
          </cell>
          <cell r="AM64">
            <v>4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31</v>
          </cell>
        </row>
        <row r="66">
          <cell r="A66">
            <v>11747</v>
          </cell>
          <cell r="B66" t="str">
            <v>Rahul Islam</v>
          </cell>
          <cell r="C66" t="str">
            <v>RAHUL.ISLAM</v>
          </cell>
          <cell r="D66" t="str">
            <v>L</v>
          </cell>
          <cell r="E66" t="str">
            <v>Housekeeping</v>
          </cell>
          <cell r="F66" t="str">
            <v>P</v>
          </cell>
          <cell r="G66" t="str">
            <v>P</v>
          </cell>
          <cell r="H66" t="str">
            <v>P</v>
          </cell>
          <cell r="I66" t="str">
            <v>W/O</v>
          </cell>
          <cell r="J66" t="str">
            <v>A</v>
          </cell>
          <cell r="K66" t="str">
            <v>P</v>
          </cell>
          <cell r="L66" t="str">
            <v>P</v>
          </cell>
          <cell r="M66" t="str">
            <v>P</v>
          </cell>
          <cell r="N66" t="str">
            <v>P</v>
          </cell>
          <cell r="O66" t="str">
            <v>P</v>
          </cell>
          <cell r="P66" t="str">
            <v>W/O</v>
          </cell>
          <cell r="Q66" t="str">
            <v>P</v>
          </cell>
          <cell r="R66" t="str">
            <v>P</v>
          </cell>
          <cell r="S66" t="str">
            <v>P</v>
          </cell>
          <cell r="T66" t="str">
            <v>P</v>
          </cell>
          <cell r="U66" t="str">
            <v>P</v>
          </cell>
          <cell r="V66" t="str">
            <v>A</v>
          </cell>
          <cell r="W66" t="str">
            <v>A</v>
          </cell>
          <cell r="X66" t="str">
            <v>A</v>
          </cell>
          <cell r="Y66" t="str">
            <v>A</v>
          </cell>
          <cell r="Z66" t="str">
            <v>A</v>
          </cell>
          <cell r="AA66" t="str">
            <v>A</v>
          </cell>
          <cell r="AB66" t="str">
            <v>A</v>
          </cell>
          <cell r="AC66" t="str">
            <v>A</v>
          </cell>
          <cell r="AD66" t="str">
            <v>A</v>
          </cell>
          <cell r="AE66" t="str">
            <v>A</v>
          </cell>
          <cell r="AF66" t="str">
            <v>A</v>
          </cell>
          <cell r="AG66" t="str">
            <v>A</v>
          </cell>
          <cell r="AH66" t="str">
            <v>A</v>
          </cell>
          <cell r="AI66" t="str">
            <v>A</v>
          </cell>
          <cell r="AJ66" t="str">
            <v>A</v>
          </cell>
          <cell r="AK66">
            <v>31</v>
          </cell>
          <cell r="AL66">
            <v>13</v>
          </cell>
          <cell r="AM66">
            <v>2</v>
          </cell>
          <cell r="AN66">
            <v>0</v>
          </cell>
          <cell r="AO66">
            <v>16</v>
          </cell>
          <cell r="AP66">
            <v>0</v>
          </cell>
          <cell r="AQ66">
            <v>0</v>
          </cell>
          <cell r="AR66">
            <v>15</v>
          </cell>
        </row>
        <row r="68">
          <cell r="A68">
            <v>12088</v>
          </cell>
          <cell r="B68" t="str">
            <v>S.Sunitha</v>
          </cell>
          <cell r="C68" t="str">
            <v>S.Sunitha</v>
          </cell>
          <cell r="E68" t="str">
            <v>Housekeeping</v>
          </cell>
          <cell r="F68" t="str">
            <v>P</v>
          </cell>
          <cell r="G68" t="str">
            <v>P</v>
          </cell>
          <cell r="H68" t="str">
            <v>P</v>
          </cell>
          <cell r="I68" t="str">
            <v>P</v>
          </cell>
          <cell r="J68" t="str">
            <v>W/O</v>
          </cell>
          <cell r="K68" t="str">
            <v>P</v>
          </cell>
          <cell r="L68" t="str">
            <v>A</v>
          </cell>
          <cell r="M68" t="str">
            <v>P</v>
          </cell>
          <cell r="N68" t="str">
            <v>P</v>
          </cell>
          <cell r="O68" t="str">
            <v>P</v>
          </cell>
          <cell r="P68" t="str">
            <v>P</v>
          </cell>
          <cell r="Q68" t="str">
            <v>W/O</v>
          </cell>
          <cell r="R68" t="str">
            <v>P</v>
          </cell>
          <cell r="S68" t="str">
            <v>P</v>
          </cell>
          <cell r="T68" t="str">
            <v>A</v>
          </cell>
          <cell r="U68" t="str">
            <v>P</v>
          </cell>
          <cell r="V68" t="str">
            <v>P</v>
          </cell>
          <cell r="W68" t="str">
            <v>P</v>
          </cell>
          <cell r="X68" t="str">
            <v>W/O</v>
          </cell>
          <cell r="Y68" t="str">
            <v>P</v>
          </cell>
          <cell r="Z68" t="str">
            <v>P</v>
          </cell>
          <cell r="AA68" t="str">
            <v>P</v>
          </cell>
          <cell r="AB68" t="str">
            <v>P</v>
          </cell>
          <cell r="AC68" t="str">
            <v>A</v>
          </cell>
          <cell r="AD68" t="str">
            <v>P</v>
          </cell>
          <cell r="AE68" t="str">
            <v>W/O</v>
          </cell>
          <cell r="AF68" t="str">
            <v>P</v>
          </cell>
          <cell r="AG68" t="str">
            <v>P</v>
          </cell>
          <cell r="AH68" t="str">
            <v>A</v>
          </cell>
          <cell r="AI68" t="str">
            <v>A</v>
          </cell>
          <cell r="AJ68" t="str">
            <v>A</v>
          </cell>
          <cell r="AK68">
            <v>31</v>
          </cell>
          <cell r="AL68">
            <v>21</v>
          </cell>
          <cell r="AM68">
            <v>4</v>
          </cell>
          <cell r="AN68">
            <v>0</v>
          </cell>
          <cell r="AO68">
            <v>6</v>
          </cell>
          <cell r="AP68">
            <v>0</v>
          </cell>
          <cell r="AQ68">
            <v>0</v>
          </cell>
          <cell r="AR68">
            <v>25</v>
          </cell>
        </row>
        <row r="70">
          <cell r="A70" t="str">
            <v>02826</v>
          </cell>
          <cell r="B70" t="str">
            <v>Visal</v>
          </cell>
          <cell r="C70" t="str">
            <v>Visal</v>
          </cell>
          <cell r="E70" t="str">
            <v>Replacement Housekeeping</v>
          </cell>
          <cell r="F70" t="str">
            <v>P</v>
          </cell>
          <cell r="G70" t="str">
            <v>A</v>
          </cell>
          <cell r="H70" t="str">
            <v>A</v>
          </cell>
          <cell r="I70" t="str">
            <v>A</v>
          </cell>
          <cell r="J70" t="str">
            <v>A</v>
          </cell>
          <cell r="K70" t="str">
            <v>A</v>
          </cell>
          <cell r="L70" t="str">
            <v>A</v>
          </cell>
          <cell r="M70" t="str">
            <v>A</v>
          </cell>
          <cell r="N70" t="str">
            <v>A</v>
          </cell>
          <cell r="O70" t="str">
            <v>A</v>
          </cell>
          <cell r="P70" t="str">
            <v>A</v>
          </cell>
          <cell r="Q70" t="str">
            <v>A</v>
          </cell>
          <cell r="R70" t="str">
            <v>A</v>
          </cell>
          <cell r="S70" t="str">
            <v>A</v>
          </cell>
          <cell r="T70" t="str">
            <v>A</v>
          </cell>
          <cell r="U70" t="str">
            <v>A</v>
          </cell>
          <cell r="V70" t="str">
            <v>A</v>
          </cell>
          <cell r="W70" t="str">
            <v>A</v>
          </cell>
          <cell r="X70" t="str">
            <v>A</v>
          </cell>
          <cell r="Y70" t="str">
            <v>A</v>
          </cell>
          <cell r="Z70" t="str">
            <v>A</v>
          </cell>
          <cell r="AA70" t="str">
            <v>A</v>
          </cell>
          <cell r="AB70" t="str">
            <v>A</v>
          </cell>
          <cell r="AC70" t="str">
            <v>A</v>
          </cell>
          <cell r="AD70" t="str">
            <v>A</v>
          </cell>
          <cell r="AE70" t="str">
            <v>A</v>
          </cell>
          <cell r="AF70" t="str">
            <v>A</v>
          </cell>
          <cell r="AG70" t="str">
            <v>A</v>
          </cell>
          <cell r="AH70" t="str">
            <v>A</v>
          </cell>
          <cell r="AI70" t="str">
            <v>A</v>
          </cell>
          <cell r="AJ70" t="str">
            <v>A</v>
          </cell>
          <cell r="AK70">
            <v>31</v>
          </cell>
          <cell r="AL70">
            <v>1</v>
          </cell>
          <cell r="AM70">
            <v>0</v>
          </cell>
          <cell r="AN70">
            <v>0</v>
          </cell>
          <cell r="AO70">
            <v>30</v>
          </cell>
          <cell r="AP70">
            <v>0</v>
          </cell>
          <cell r="AQ70">
            <v>0</v>
          </cell>
          <cell r="AR70">
            <v>1</v>
          </cell>
        </row>
        <row r="72">
          <cell r="A72" t="str">
            <v>03826</v>
          </cell>
          <cell r="B72" t="str">
            <v xml:space="preserve">Shyam </v>
          </cell>
          <cell r="C72" t="str">
            <v xml:space="preserve">Shyam </v>
          </cell>
          <cell r="E72" t="str">
            <v>Replacement Housekeeping</v>
          </cell>
          <cell r="F72" t="str">
            <v>A</v>
          </cell>
          <cell r="G72" t="str">
            <v>P</v>
          </cell>
          <cell r="H72" t="str">
            <v>A</v>
          </cell>
          <cell r="I72" t="str">
            <v>A</v>
          </cell>
          <cell r="J72" t="str">
            <v>A</v>
          </cell>
          <cell r="K72" t="str">
            <v>A</v>
          </cell>
          <cell r="L72" t="str">
            <v>A</v>
          </cell>
          <cell r="M72" t="str">
            <v>A</v>
          </cell>
          <cell r="N72" t="str">
            <v>A</v>
          </cell>
          <cell r="O72" t="str">
            <v>A</v>
          </cell>
          <cell r="P72" t="str">
            <v>A</v>
          </cell>
          <cell r="Q72" t="str">
            <v>A</v>
          </cell>
          <cell r="R72" t="str">
            <v>A</v>
          </cell>
          <cell r="S72" t="str">
            <v>A</v>
          </cell>
          <cell r="T72" t="str">
            <v>A</v>
          </cell>
          <cell r="U72" t="str">
            <v>A</v>
          </cell>
          <cell r="V72" t="str">
            <v>A</v>
          </cell>
          <cell r="W72" t="str">
            <v>A</v>
          </cell>
          <cell r="X72" t="str">
            <v>A</v>
          </cell>
          <cell r="Y72" t="str">
            <v>A</v>
          </cell>
          <cell r="Z72" t="str">
            <v>A</v>
          </cell>
          <cell r="AA72" t="str">
            <v>A</v>
          </cell>
          <cell r="AB72" t="str">
            <v>A</v>
          </cell>
          <cell r="AC72" t="str">
            <v>A</v>
          </cell>
          <cell r="AD72" t="str">
            <v>A</v>
          </cell>
          <cell r="AE72" t="str">
            <v>A</v>
          </cell>
          <cell r="AF72" t="str">
            <v>A</v>
          </cell>
          <cell r="AG72" t="str">
            <v>A</v>
          </cell>
          <cell r="AH72" t="str">
            <v>A</v>
          </cell>
          <cell r="AI72" t="str">
            <v>A</v>
          </cell>
          <cell r="AJ72" t="str">
            <v>A</v>
          </cell>
          <cell r="AK72">
            <v>31</v>
          </cell>
          <cell r="AL72">
            <v>1</v>
          </cell>
          <cell r="AM72">
            <v>0</v>
          </cell>
          <cell r="AN72">
            <v>0</v>
          </cell>
          <cell r="AO72">
            <v>30</v>
          </cell>
          <cell r="AP72">
            <v>0</v>
          </cell>
          <cell r="AQ72">
            <v>0</v>
          </cell>
          <cell r="AR72">
            <v>1</v>
          </cell>
        </row>
        <row r="74">
          <cell r="A74" t="str">
            <v>04826</v>
          </cell>
          <cell r="B74" t="str">
            <v>N.Jyothi</v>
          </cell>
          <cell r="C74" t="str">
            <v>N.Jyothi</v>
          </cell>
          <cell r="E74" t="str">
            <v>Housekeeping</v>
          </cell>
          <cell r="Q74" t="str">
            <v>P</v>
          </cell>
          <cell r="AK74">
            <v>31</v>
          </cell>
          <cell r="AL74">
            <v>1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1</v>
          </cell>
        </row>
        <row r="76">
          <cell r="A76">
            <v>11769</v>
          </cell>
          <cell r="B76" t="str">
            <v>K.Sravanthi</v>
          </cell>
          <cell r="C76" t="str">
            <v>K.Sravanthi</v>
          </cell>
          <cell r="E76" t="str">
            <v>Housekeeping</v>
          </cell>
          <cell r="F76" t="str">
            <v>A</v>
          </cell>
          <cell r="G76" t="str">
            <v>A</v>
          </cell>
          <cell r="H76" t="str">
            <v>A</v>
          </cell>
          <cell r="I76" t="str">
            <v>A</v>
          </cell>
          <cell r="J76" t="str">
            <v>A</v>
          </cell>
          <cell r="K76" t="str">
            <v>A</v>
          </cell>
          <cell r="L76" t="str">
            <v>P</v>
          </cell>
          <cell r="M76" t="str">
            <v>P</v>
          </cell>
          <cell r="N76" t="str">
            <v>P</v>
          </cell>
          <cell r="O76" t="str">
            <v>P</v>
          </cell>
          <cell r="P76" t="str">
            <v>A</v>
          </cell>
          <cell r="Q76" t="str">
            <v>P</v>
          </cell>
          <cell r="R76" t="str">
            <v>P</v>
          </cell>
          <cell r="S76" t="str">
            <v>P</v>
          </cell>
          <cell r="T76" t="str">
            <v>P</v>
          </cell>
          <cell r="U76" t="str">
            <v>P</v>
          </cell>
          <cell r="V76" t="str">
            <v>P</v>
          </cell>
          <cell r="W76" t="str">
            <v>P</v>
          </cell>
          <cell r="X76" t="str">
            <v>W/O</v>
          </cell>
          <cell r="Y76" t="str">
            <v>P</v>
          </cell>
          <cell r="Z76" t="str">
            <v>P</v>
          </cell>
          <cell r="AA76" t="str">
            <v>P</v>
          </cell>
          <cell r="AB76" t="str">
            <v>P</v>
          </cell>
          <cell r="AC76" t="str">
            <v>P</v>
          </cell>
          <cell r="AD76" t="str">
            <v>P</v>
          </cell>
          <cell r="AE76" t="str">
            <v>W/O</v>
          </cell>
          <cell r="AF76" t="str">
            <v>P</v>
          </cell>
          <cell r="AG76" t="str">
            <v>P</v>
          </cell>
          <cell r="AH76" t="str">
            <v>P</v>
          </cell>
          <cell r="AI76" t="str">
            <v>A</v>
          </cell>
          <cell r="AJ76" t="str">
            <v>P</v>
          </cell>
          <cell r="AK76">
            <v>31</v>
          </cell>
          <cell r="AL76">
            <v>21</v>
          </cell>
          <cell r="AM76">
            <v>2</v>
          </cell>
          <cell r="AN76">
            <v>0</v>
          </cell>
          <cell r="AO76">
            <v>8</v>
          </cell>
          <cell r="AP76">
            <v>10</v>
          </cell>
          <cell r="AQ76">
            <v>1.25</v>
          </cell>
          <cell r="AR76">
            <v>23</v>
          </cell>
        </row>
        <row r="77">
          <cell r="T77">
            <v>5</v>
          </cell>
          <cell r="AA77">
            <v>5</v>
          </cell>
        </row>
        <row r="78">
          <cell r="A78" t="str">
            <v>06826</v>
          </cell>
          <cell r="B78" t="str">
            <v>Deepak Kumar</v>
          </cell>
          <cell r="C78" t="str">
            <v>Deepak Kumar</v>
          </cell>
          <cell r="E78" t="str">
            <v>Housekeeping</v>
          </cell>
          <cell r="F78" t="str">
            <v>A</v>
          </cell>
          <cell r="G78" t="str">
            <v>A</v>
          </cell>
          <cell r="H78" t="str">
            <v>A</v>
          </cell>
          <cell r="I78" t="str">
            <v>A</v>
          </cell>
          <cell r="J78" t="str">
            <v>A</v>
          </cell>
          <cell r="K78" t="str">
            <v>A</v>
          </cell>
          <cell r="L78" t="str">
            <v>A</v>
          </cell>
          <cell r="M78" t="str">
            <v>P</v>
          </cell>
          <cell r="N78" t="str">
            <v>P</v>
          </cell>
          <cell r="O78" t="str">
            <v>P</v>
          </cell>
          <cell r="P78" t="str">
            <v>A</v>
          </cell>
          <cell r="Q78" t="str">
            <v>A</v>
          </cell>
          <cell r="R78" t="str">
            <v>P</v>
          </cell>
          <cell r="S78" t="str">
            <v>P</v>
          </cell>
          <cell r="T78" t="str">
            <v>P</v>
          </cell>
          <cell r="U78" t="str">
            <v>P</v>
          </cell>
          <cell r="V78" t="str">
            <v>P</v>
          </cell>
          <cell r="W78" t="str">
            <v>P</v>
          </cell>
          <cell r="X78" t="str">
            <v>W/O</v>
          </cell>
          <cell r="Y78" t="str">
            <v>P</v>
          </cell>
          <cell r="Z78" t="str">
            <v>P</v>
          </cell>
          <cell r="AA78" t="str">
            <v>A</v>
          </cell>
          <cell r="AB78" t="str">
            <v>P</v>
          </cell>
          <cell r="AC78" t="str">
            <v>P</v>
          </cell>
          <cell r="AD78" t="str">
            <v>P</v>
          </cell>
          <cell r="AE78" t="str">
            <v>W/O</v>
          </cell>
          <cell r="AF78" t="str">
            <v>P</v>
          </cell>
          <cell r="AG78" t="str">
            <v>P</v>
          </cell>
          <cell r="AH78" t="str">
            <v>P</v>
          </cell>
          <cell r="AI78" t="str">
            <v>P</v>
          </cell>
          <cell r="AJ78" t="str">
            <v>P</v>
          </cell>
          <cell r="AK78">
            <v>31</v>
          </cell>
          <cell r="AL78">
            <v>19</v>
          </cell>
          <cell r="AM78">
            <v>2</v>
          </cell>
          <cell r="AN78">
            <v>0</v>
          </cell>
          <cell r="AO78">
            <v>10</v>
          </cell>
          <cell r="AP78">
            <v>0</v>
          </cell>
          <cell r="AQ78">
            <v>0</v>
          </cell>
          <cell r="AR78">
            <v>21</v>
          </cell>
        </row>
        <row r="80">
          <cell r="A80" t="str">
            <v>07826</v>
          </cell>
          <cell r="B80" t="str">
            <v>Prasanth</v>
          </cell>
          <cell r="C80" t="str">
            <v>Prasanth</v>
          </cell>
          <cell r="E80" t="str">
            <v>Replacement Office Assistant</v>
          </cell>
          <cell r="T80" t="str">
            <v>P</v>
          </cell>
          <cell r="AK80">
            <v>31</v>
          </cell>
          <cell r="AL80">
            <v>1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1</v>
          </cell>
        </row>
        <row r="82">
          <cell r="A82" t="str">
            <v>08826</v>
          </cell>
          <cell r="B82" t="str">
            <v>Mamatha</v>
          </cell>
          <cell r="C82" t="str">
            <v>Mamatha</v>
          </cell>
          <cell r="D82" t="str">
            <v>L</v>
          </cell>
          <cell r="E82" t="str">
            <v>Replacement Housekeeping</v>
          </cell>
          <cell r="Y82" t="str">
            <v>P</v>
          </cell>
          <cell r="Z82" t="str">
            <v>P</v>
          </cell>
          <cell r="AK82">
            <v>31</v>
          </cell>
          <cell r="AL82">
            <v>2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2</v>
          </cell>
        </row>
        <row r="84">
          <cell r="A84" t="str">
            <v>09826</v>
          </cell>
          <cell r="B84" t="str">
            <v>Abubakkor Siddik</v>
          </cell>
          <cell r="C84" t="str">
            <v>Abubakkor Siddik</v>
          </cell>
          <cell r="E84" t="str">
            <v>Replacement Housekeeping</v>
          </cell>
          <cell r="V84" t="str">
            <v>P</v>
          </cell>
          <cell r="AK84">
            <v>31</v>
          </cell>
          <cell r="AL84">
            <v>1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1</v>
          </cell>
        </row>
        <row r="86">
          <cell r="A86">
            <v>12126</v>
          </cell>
          <cell r="B86" t="str">
            <v xml:space="preserve">P.Anjali </v>
          </cell>
          <cell r="C86" t="str">
            <v xml:space="preserve">P.Anjali </v>
          </cell>
          <cell r="E86" t="str">
            <v>Housekeeping</v>
          </cell>
          <cell r="AB86" t="str">
            <v>P</v>
          </cell>
          <cell r="AC86" t="str">
            <v>P</v>
          </cell>
          <cell r="AD86" t="str">
            <v>P</v>
          </cell>
          <cell r="AE86" t="str">
            <v>A</v>
          </cell>
          <cell r="AF86" t="str">
            <v>P</v>
          </cell>
          <cell r="AG86" t="str">
            <v>P</v>
          </cell>
          <cell r="AH86" t="str">
            <v>P</v>
          </cell>
          <cell r="AI86" t="str">
            <v>P</v>
          </cell>
          <cell r="AJ86" t="str">
            <v>P</v>
          </cell>
          <cell r="AK86">
            <v>31</v>
          </cell>
          <cell r="AL86">
            <v>8</v>
          </cell>
          <cell r="AM86">
            <v>0</v>
          </cell>
          <cell r="AN86">
            <v>0</v>
          </cell>
          <cell r="AO86">
            <v>1</v>
          </cell>
          <cell r="AP86">
            <v>0</v>
          </cell>
          <cell r="AQ86">
            <v>0</v>
          </cell>
          <cell r="AR86">
            <v>8</v>
          </cell>
        </row>
        <row r="88">
          <cell r="A88" t="str">
            <v>11826</v>
          </cell>
          <cell r="B88" t="str">
            <v>Raju kumar</v>
          </cell>
          <cell r="C88" t="str">
            <v>Raju kumar</v>
          </cell>
          <cell r="E88" t="str">
            <v>Housekeeping</v>
          </cell>
          <cell r="Z88" t="str">
            <v>P</v>
          </cell>
          <cell r="AA88" t="str">
            <v>P</v>
          </cell>
          <cell r="AB88" t="str">
            <v>P</v>
          </cell>
          <cell r="AC88" t="str">
            <v>A</v>
          </cell>
          <cell r="AD88" t="str">
            <v>A</v>
          </cell>
          <cell r="AE88" t="str">
            <v>A</v>
          </cell>
          <cell r="AF88" t="str">
            <v>P</v>
          </cell>
          <cell r="AG88" t="str">
            <v>P</v>
          </cell>
          <cell r="AH88" t="str">
            <v>P</v>
          </cell>
          <cell r="AI88" t="str">
            <v>A</v>
          </cell>
          <cell r="AJ88" t="str">
            <v>P</v>
          </cell>
          <cell r="AK88">
            <v>31</v>
          </cell>
          <cell r="AL88">
            <v>7</v>
          </cell>
          <cell r="AM88">
            <v>0</v>
          </cell>
          <cell r="AN88">
            <v>0</v>
          </cell>
          <cell r="AO88">
            <v>4</v>
          </cell>
          <cell r="AP88">
            <v>0</v>
          </cell>
          <cell r="AQ88">
            <v>0</v>
          </cell>
          <cell r="AR88">
            <v>7</v>
          </cell>
        </row>
        <row r="90">
          <cell r="A90" t="str">
            <v>12826</v>
          </cell>
          <cell r="B90" t="str">
            <v>Chinni</v>
          </cell>
          <cell r="C90" t="str">
            <v>Chinni</v>
          </cell>
          <cell r="E90" t="str">
            <v>Replacement Housekeeping</v>
          </cell>
          <cell r="AK90">
            <v>31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6</v>
          </cell>
          <cell r="AQ90">
            <v>0.75</v>
          </cell>
          <cell r="AR90">
            <v>0</v>
          </cell>
        </row>
        <row r="91">
          <cell r="AC91">
            <v>6</v>
          </cell>
        </row>
        <row r="92">
          <cell r="A92" t="str">
            <v>13826</v>
          </cell>
          <cell r="B92" t="str">
            <v>Vijaya Laxmi</v>
          </cell>
          <cell r="C92" t="str">
            <v>Vijaya Laxmi</v>
          </cell>
          <cell r="E92" t="str">
            <v>Replacement Housekeeping</v>
          </cell>
          <cell r="AI92" t="str">
            <v>P</v>
          </cell>
          <cell r="AJ92" t="str">
            <v>P</v>
          </cell>
          <cell r="AK92">
            <v>31</v>
          </cell>
          <cell r="AL92">
            <v>2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2</v>
          </cell>
        </row>
        <row r="94">
          <cell r="A94">
            <v>10762</v>
          </cell>
          <cell r="B94" t="str">
            <v>MADHUKAR</v>
          </cell>
          <cell r="C94" t="str">
            <v xml:space="preserve"> DARAVATHU MADHUKAR</v>
          </cell>
          <cell r="E94" t="str">
            <v>10TH FLOOR  MST</v>
          </cell>
          <cell r="F94" t="str">
            <v>A</v>
          </cell>
          <cell r="G94" t="str">
            <v>P</v>
          </cell>
          <cell r="H94" t="str">
            <v>P</v>
          </cell>
          <cell r="I94" t="str">
            <v>P</v>
          </cell>
          <cell r="J94" t="str">
            <v>W/O</v>
          </cell>
          <cell r="K94" t="str">
            <v>P</v>
          </cell>
          <cell r="L94" t="str">
            <v>P</v>
          </cell>
          <cell r="M94" t="str">
            <v>P</v>
          </cell>
          <cell r="N94" t="str">
            <v>P</v>
          </cell>
          <cell r="O94" t="str">
            <v>P</v>
          </cell>
          <cell r="P94" t="str">
            <v>P</v>
          </cell>
          <cell r="Q94" t="str">
            <v>W/O</v>
          </cell>
          <cell r="R94" t="str">
            <v>P</v>
          </cell>
          <cell r="S94" t="str">
            <v>P</v>
          </cell>
          <cell r="T94" t="str">
            <v>P</v>
          </cell>
          <cell r="U94" t="str">
            <v>P</v>
          </cell>
          <cell r="V94" t="str">
            <v>P</v>
          </cell>
          <cell r="W94" t="str">
            <v>P</v>
          </cell>
          <cell r="X94" t="str">
            <v>W/O</v>
          </cell>
          <cell r="Y94" t="str">
            <v>P</v>
          </cell>
          <cell r="Z94" t="str">
            <v>P</v>
          </cell>
          <cell r="AA94" t="str">
            <v>P</v>
          </cell>
          <cell r="AB94" t="str">
            <v>P</v>
          </cell>
          <cell r="AC94" t="str">
            <v>W/O</v>
          </cell>
          <cell r="AD94" t="str">
            <v>P</v>
          </cell>
          <cell r="AE94" t="str">
            <v>P</v>
          </cell>
          <cell r="AF94" t="str">
            <v>P</v>
          </cell>
          <cell r="AG94" t="str">
            <v>P</v>
          </cell>
          <cell r="AH94" t="str">
            <v>P</v>
          </cell>
          <cell r="AI94" t="str">
            <v>P</v>
          </cell>
          <cell r="AJ94" t="str">
            <v>P</v>
          </cell>
          <cell r="AK94">
            <v>31</v>
          </cell>
          <cell r="AL94">
            <v>26</v>
          </cell>
          <cell r="AM94">
            <v>4</v>
          </cell>
          <cell r="AN94">
            <v>0</v>
          </cell>
          <cell r="AO94">
            <v>1</v>
          </cell>
          <cell r="AP94">
            <v>32</v>
          </cell>
          <cell r="AQ94">
            <v>4</v>
          </cell>
          <cell r="AR94">
            <v>30</v>
          </cell>
        </row>
        <row r="95">
          <cell r="J95">
            <v>8</v>
          </cell>
          <cell r="K95">
            <v>8</v>
          </cell>
          <cell r="X95">
            <v>8</v>
          </cell>
          <cell r="AC95">
            <v>8</v>
          </cell>
        </row>
        <row r="96">
          <cell r="A96">
            <v>11081</v>
          </cell>
          <cell r="B96" t="str">
            <v xml:space="preserve">SHAREEF  </v>
          </cell>
          <cell r="C96" t="str">
            <v>S.K NAGOOR SHARIF</v>
          </cell>
          <cell r="E96" t="str">
            <v>10TH FLOOR  MST</v>
          </cell>
          <cell r="F96" t="str">
            <v>P</v>
          </cell>
          <cell r="G96" t="str">
            <v>P</v>
          </cell>
          <cell r="H96" t="str">
            <v>W/O</v>
          </cell>
          <cell r="I96" t="str">
            <v>P</v>
          </cell>
          <cell r="J96" t="str">
            <v>P</v>
          </cell>
          <cell r="K96" t="str">
            <v>P</v>
          </cell>
          <cell r="L96" t="str">
            <v>P</v>
          </cell>
          <cell r="M96" t="str">
            <v>P</v>
          </cell>
          <cell r="N96" t="str">
            <v>P</v>
          </cell>
          <cell r="O96" t="str">
            <v>W/O</v>
          </cell>
          <cell r="P96" t="str">
            <v>P</v>
          </cell>
          <cell r="Q96" t="str">
            <v>P</v>
          </cell>
          <cell r="R96" t="str">
            <v>P</v>
          </cell>
          <cell r="S96" t="str">
            <v>P</v>
          </cell>
          <cell r="T96" t="str">
            <v>P</v>
          </cell>
          <cell r="U96" t="str">
            <v>P</v>
          </cell>
          <cell r="V96" t="str">
            <v>W/O</v>
          </cell>
          <cell r="W96" t="str">
            <v>P</v>
          </cell>
          <cell r="X96" t="str">
            <v>P</v>
          </cell>
          <cell r="Y96" t="str">
            <v>P</v>
          </cell>
          <cell r="Z96" t="str">
            <v>P</v>
          </cell>
          <cell r="AA96" t="str">
            <v>P</v>
          </cell>
          <cell r="AB96" t="str">
            <v>P</v>
          </cell>
          <cell r="AC96" t="str">
            <v>P</v>
          </cell>
          <cell r="AD96" t="str">
            <v>P</v>
          </cell>
          <cell r="AE96" t="str">
            <v>W/O</v>
          </cell>
          <cell r="AF96" t="str">
            <v>P</v>
          </cell>
          <cell r="AG96" t="str">
            <v>P</v>
          </cell>
          <cell r="AH96" t="str">
            <v>P</v>
          </cell>
          <cell r="AI96" t="str">
            <v>P</v>
          </cell>
          <cell r="AJ96" t="str">
            <v>W/O</v>
          </cell>
          <cell r="AK96">
            <v>31</v>
          </cell>
          <cell r="AL96">
            <v>26</v>
          </cell>
          <cell r="AM96">
            <v>5</v>
          </cell>
          <cell r="AN96">
            <v>0</v>
          </cell>
          <cell r="AO96">
            <v>0</v>
          </cell>
          <cell r="AP96">
            <v>48</v>
          </cell>
          <cell r="AQ96">
            <v>6</v>
          </cell>
          <cell r="AR96">
            <v>31</v>
          </cell>
        </row>
        <row r="97">
          <cell r="F97">
            <v>8</v>
          </cell>
          <cell r="H97">
            <v>16</v>
          </cell>
          <cell r="I97">
            <v>8</v>
          </cell>
          <cell r="V97">
            <v>8</v>
          </cell>
          <cell r="AJ97">
            <v>8</v>
          </cell>
        </row>
        <row r="98">
          <cell r="A98">
            <v>11328</v>
          </cell>
          <cell r="B98" t="str">
            <v>VARA PRASAD</v>
          </cell>
          <cell r="C98" t="str">
            <v>Varaprasad</v>
          </cell>
          <cell r="E98" t="str">
            <v>10TH FLOOR  MST</v>
          </cell>
          <cell r="F98" t="str">
            <v>W/O</v>
          </cell>
          <cell r="G98" t="str">
            <v>P</v>
          </cell>
          <cell r="H98" t="str">
            <v>A</v>
          </cell>
          <cell r="I98" t="str">
            <v>A</v>
          </cell>
          <cell r="J98" t="str">
            <v>A</v>
          </cell>
          <cell r="K98" t="str">
            <v>A</v>
          </cell>
          <cell r="L98" t="str">
            <v>P</v>
          </cell>
          <cell r="M98" t="str">
            <v>W/O</v>
          </cell>
          <cell r="N98" t="str">
            <v>P</v>
          </cell>
          <cell r="O98" t="str">
            <v>P</v>
          </cell>
          <cell r="P98" t="str">
            <v>P</v>
          </cell>
          <cell r="Q98" t="str">
            <v>P</v>
          </cell>
          <cell r="R98" t="str">
            <v>P</v>
          </cell>
          <cell r="S98" t="str">
            <v>P</v>
          </cell>
          <cell r="T98" t="str">
            <v>W/O</v>
          </cell>
          <cell r="U98" t="str">
            <v>P</v>
          </cell>
          <cell r="V98" t="str">
            <v>P</v>
          </cell>
          <cell r="W98" t="str">
            <v>P</v>
          </cell>
          <cell r="X98" t="str">
            <v>P</v>
          </cell>
          <cell r="Y98" t="str">
            <v>P</v>
          </cell>
          <cell r="Z98" t="str">
            <v>P</v>
          </cell>
          <cell r="AA98" t="str">
            <v>W/O</v>
          </cell>
          <cell r="AB98" t="str">
            <v>P</v>
          </cell>
          <cell r="AC98" t="str">
            <v>P</v>
          </cell>
          <cell r="AD98" t="str">
            <v>P</v>
          </cell>
          <cell r="AE98" t="str">
            <v>P</v>
          </cell>
          <cell r="AF98" t="str">
            <v>P</v>
          </cell>
          <cell r="AG98" t="str">
            <v>P</v>
          </cell>
          <cell r="AH98" t="str">
            <v>W/O</v>
          </cell>
          <cell r="AI98" t="str">
            <v>P</v>
          </cell>
          <cell r="AJ98" t="str">
            <v>P</v>
          </cell>
          <cell r="AK98">
            <v>31</v>
          </cell>
          <cell r="AL98">
            <v>22</v>
          </cell>
          <cell r="AM98">
            <v>5</v>
          </cell>
          <cell r="AN98">
            <v>0</v>
          </cell>
          <cell r="AO98">
            <v>4</v>
          </cell>
          <cell r="AP98">
            <v>48</v>
          </cell>
          <cell r="AQ98">
            <v>6</v>
          </cell>
          <cell r="AR98">
            <v>27</v>
          </cell>
        </row>
        <row r="99">
          <cell r="F99">
            <v>8</v>
          </cell>
          <cell r="M99">
            <v>8</v>
          </cell>
          <cell r="O99">
            <v>8</v>
          </cell>
          <cell r="Q99">
            <v>8</v>
          </cell>
          <cell r="T99">
            <v>8</v>
          </cell>
          <cell r="AA99">
            <v>8</v>
          </cell>
        </row>
        <row r="100">
          <cell r="A100">
            <v>11610</v>
          </cell>
          <cell r="B100" t="str">
            <v>SYED AFROZ ALI</v>
          </cell>
          <cell r="C100" t="str">
            <v>SYED AFROZ ALI</v>
          </cell>
          <cell r="E100" t="str">
            <v>7TH FLLOR  MST</v>
          </cell>
          <cell r="F100" t="str">
            <v>P</v>
          </cell>
          <cell r="G100" t="str">
            <v>P</v>
          </cell>
          <cell r="H100" t="str">
            <v>P</v>
          </cell>
          <cell r="I100" t="str">
            <v>P</v>
          </cell>
          <cell r="J100" t="str">
            <v>P</v>
          </cell>
          <cell r="K100" t="str">
            <v>W/O</v>
          </cell>
          <cell r="L100" t="str">
            <v>A</v>
          </cell>
          <cell r="M100" t="str">
            <v>A</v>
          </cell>
          <cell r="N100" t="str">
            <v>A</v>
          </cell>
          <cell r="O100" t="str">
            <v>A</v>
          </cell>
          <cell r="P100" t="str">
            <v>P</v>
          </cell>
          <cell r="Q100" t="str">
            <v>P</v>
          </cell>
          <cell r="R100" t="str">
            <v>W/O</v>
          </cell>
          <cell r="S100" t="str">
            <v>P</v>
          </cell>
          <cell r="T100" t="str">
            <v>P</v>
          </cell>
          <cell r="U100" t="str">
            <v>P</v>
          </cell>
          <cell r="V100" t="str">
            <v>P</v>
          </cell>
          <cell r="W100" t="str">
            <v>P</v>
          </cell>
          <cell r="X100" t="str">
            <v>P</v>
          </cell>
          <cell r="Y100" t="str">
            <v>W/o</v>
          </cell>
          <cell r="Z100" t="str">
            <v>P</v>
          </cell>
          <cell r="AA100" t="str">
            <v>P</v>
          </cell>
          <cell r="AB100" t="str">
            <v>P</v>
          </cell>
          <cell r="AC100" t="str">
            <v>P</v>
          </cell>
          <cell r="AD100" t="str">
            <v>P</v>
          </cell>
          <cell r="AE100" t="str">
            <v>P</v>
          </cell>
          <cell r="AF100" t="str">
            <v>W/O</v>
          </cell>
          <cell r="AG100" t="str">
            <v>P</v>
          </cell>
          <cell r="AH100" t="str">
            <v>P</v>
          </cell>
          <cell r="AI100" t="str">
            <v>P</v>
          </cell>
          <cell r="AJ100" t="str">
            <v>P</v>
          </cell>
          <cell r="AK100">
            <v>31</v>
          </cell>
          <cell r="AL100">
            <v>23</v>
          </cell>
          <cell r="AM100">
            <v>4</v>
          </cell>
          <cell r="AN100">
            <v>0</v>
          </cell>
          <cell r="AO100">
            <v>4</v>
          </cell>
          <cell r="AP100">
            <v>40</v>
          </cell>
          <cell r="AQ100">
            <v>5</v>
          </cell>
          <cell r="AR100">
            <v>27</v>
          </cell>
        </row>
        <row r="101">
          <cell r="R101">
            <v>8</v>
          </cell>
          <cell r="W101">
            <v>8</v>
          </cell>
          <cell r="X101">
            <v>8</v>
          </cell>
          <cell r="Y101">
            <v>8</v>
          </cell>
          <cell r="AF101">
            <v>8</v>
          </cell>
        </row>
        <row r="102">
          <cell r="A102">
            <v>11900</v>
          </cell>
          <cell r="B102" t="str">
            <v>Naresh</v>
          </cell>
          <cell r="C102" t="str">
            <v>Naresh</v>
          </cell>
          <cell r="E102" t="str">
            <v>7th &amp; 10th Reliver</v>
          </cell>
          <cell r="F102" t="str">
            <v>P</v>
          </cell>
          <cell r="G102" t="str">
            <v>P</v>
          </cell>
          <cell r="H102" t="str">
            <v>P</v>
          </cell>
          <cell r="I102" t="str">
            <v>W/O</v>
          </cell>
          <cell r="J102" t="str">
            <v>P</v>
          </cell>
          <cell r="K102" t="str">
            <v>P</v>
          </cell>
          <cell r="L102" t="str">
            <v>P</v>
          </cell>
          <cell r="M102" t="str">
            <v>P</v>
          </cell>
          <cell r="N102" t="str">
            <v>P</v>
          </cell>
          <cell r="O102" t="str">
            <v>P</v>
          </cell>
          <cell r="P102" t="str">
            <v>W/O</v>
          </cell>
          <cell r="Q102" t="str">
            <v>P</v>
          </cell>
          <cell r="R102" t="str">
            <v>P</v>
          </cell>
          <cell r="S102" t="str">
            <v>P</v>
          </cell>
          <cell r="T102" t="str">
            <v>P</v>
          </cell>
          <cell r="U102" t="str">
            <v>P</v>
          </cell>
          <cell r="V102" t="str">
            <v>P</v>
          </cell>
          <cell r="W102" t="str">
            <v>W/O</v>
          </cell>
          <cell r="X102" t="str">
            <v>A</v>
          </cell>
          <cell r="Y102" t="str">
            <v>P</v>
          </cell>
          <cell r="Z102" t="str">
            <v>P</v>
          </cell>
          <cell r="AA102" t="str">
            <v>P</v>
          </cell>
          <cell r="AB102" t="str">
            <v>P</v>
          </cell>
          <cell r="AC102" t="str">
            <v>P</v>
          </cell>
          <cell r="AD102" t="str">
            <v>W/O</v>
          </cell>
          <cell r="AE102" t="str">
            <v>P</v>
          </cell>
          <cell r="AF102" t="str">
            <v>P</v>
          </cell>
          <cell r="AG102" t="str">
            <v>P</v>
          </cell>
          <cell r="AH102" t="str">
            <v>P</v>
          </cell>
          <cell r="AI102" t="str">
            <v>P</v>
          </cell>
          <cell r="AJ102" t="str">
            <v>P</v>
          </cell>
          <cell r="AK102">
            <v>31</v>
          </cell>
          <cell r="AL102">
            <v>26</v>
          </cell>
          <cell r="AM102">
            <v>4</v>
          </cell>
          <cell r="AN102">
            <v>0</v>
          </cell>
          <cell r="AO102">
            <v>1</v>
          </cell>
          <cell r="AP102">
            <v>48</v>
          </cell>
          <cell r="AQ102">
            <v>6</v>
          </cell>
          <cell r="AR102">
            <v>30</v>
          </cell>
        </row>
        <row r="103">
          <cell r="I103">
            <v>8</v>
          </cell>
          <cell r="P103">
            <v>8</v>
          </cell>
          <cell r="AD103">
            <v>8</v>
          </cell>
          <cell r="AE103">
            <v>8</v>
          </cell>
          <cell r="AH103">
            <v>8</v>
          </cell>
          <cell r="AI103">
            <v>8</v>
          </cell>
        </row>
        <row r="104">
          <cell r="A104">
            <v>12019</v>
          </cell>
          <cell r="B104" t="str">
            <v>B .Narayan</v>
          </cell>
          <cell r="C104" t="str">
            <v>Narayana</v>
          </cell>
          <cell r="E104" t="str">
            <v>7th Floor MST</v>
          </cell>
          <cell r="F104" t="str">
            <v>P</v>
          </cell>
          <cell r="G104" t="str">
            <v>W/O</v>
          </cell>
          <cell r="H104" t="str">
            <v>P</v>
          </cell>
          <cell r="I104" t="str">
            <v>P</v>
          </cell>
          <cell r="J104" t="str">
            <v>P</v>
          </cell>
          <cell r="K104" t="str">
            <v>P</v>
          </cell>
          <cell r="L104" t="str">
            <v>P</v>
          </cell>
          <cell r="M104" t="str">
            <v>P</v>
          </cell>
          <cell r="N104" t="str">
            <v>W/O</v>
          </cell>
          <cell r="O104" t="str">
            <v>P</v>
          </cell>
          <cell r="P104" t="str">
            <v>P</v>
          </cell>
          <cell r="Q104" t="str">
            <v>P</v>
          </cell>
          <cell r="R104" t="str">
            <v>P</v>
          </cell>
          <cell r="S104" t="str">
            <v>P</v>
          </cell>
          <cell r="T104" t="str">
            <v>P</v>
          </cell>
          <cell r="U104" t="str">
            <v>W/O</v>
          </cell>
          <cell r="V104" t="str">
            <v>P</v>
          </cell>
          <cell r="W104" t="str">
            <v>P</v>
          </cell>
          <cell r="X104" t="str">
            <v>P</v>
          </cell>
          <cell r="Y104" t="str">
            <v>P</v>
          </cell>
          <cell r="Z104" t="str">
            <v>P</v>
          </cell>
          <cell r="AA104" t="str">
            <v>P</v>
          </cell>
          <cell r="AB104" t="str">
            <v>W/O</v>
          </cell>
          <cell r="AC104" t="str">
            <v>P</v>
          </cell>
          <cell r="AD104" t="str">
            <v>P</v>
          </cell>
          <cell r="AE104" t="str">
            <v>P</v>
          </cell>
          <cell r="AF104" t="str">
            <v>P</v>
          </cell>
          <cell r="AG104" t="str">
            <v>P</v>
          </cell>
          <cell r="AH104" t="str">
            <v>P</v>
          </cell>
          <cell r="AI104" t="str">
            <v>W/O</v>
          </cell>
          <cell r="AJ104" t="str">
            <v>P</v>
          </cell>
          <cell r="AK104">
            <v>31</v>
          </cell>
          <cell r="AL104">
            <v>26</v>
          </cell>
          <cell r="AM104">
            <v>5</v>
          </cell>
          <cell r="AN104">
            <v>0</v>
          </cell>
          <cell r="AO104">
            <v>0</v>
          </cell>
          <cell r="AP104">
            <v>80</v>
          </cell>
          <cell r="AQ104">
            <v>10</v>
          </cell>
          <cell r="AR104">
            <v>31</v>
          </cell>
        </row>
        <row r="105">
          <cell r="G105">
            <v>8</v>
          </cell>
          <cell r="K105">
            <v>8</v>
          </cell>
          <cell r="L105">
            <v>8</v>
          </cell>
          <cell r="M105">
            <v>8</v>
          </cell>
          <cell r="N105">
            <v>16</v>
          </cell>
          <cell r="O105">
            <v>8</v>
          </cell>
          <cell r="U105">
            <v>8</v>
          </cell>
          <cell r="AB105">
            <v>8</v>
          </cell>
          <cell r="AF105">
            <v>8</v>
          </cell>
        </row>
        <row r="106">
          <cell r="A106">
            <v>10265</v>
          </cell>
          <cell r="B106" t="str">
            <v>SANTOSH</v>
          </cell>
          <cell r="C106" t="str">
            <v>SANTOSH</v>
          </cell>
          <cell r="E106" t="str">
            <v xml:space="preserve">MST Replacement
</v>
          </cell>
          <cell r="J106" t="str">
            <v>P</v>
          </cell>
          <cell r="AK106">
            <v>31</v>
          </cell>
          <cell r="AL106">
            <v>1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"/>
      <sheetName val="BANK STMT"/>
    </sheetNames>
    <sheetDataSet>
      <sheetData sheetId="0" refreshError="1"/>
      <sheetData sheetId="1">
        <row r="7">
          <cell r="B7">
            <v>11525</v>
          </cell>
          <cell r="C7" t="str">
            <v>M.Praveen</v>
          </cell>
          <cell r="D7" t="str">
            <v>HK SUPERVISOR</v>
          </cell>
          <cell r="E7" t="str">
            <v>P</v>
          </cell>
          <cell r="F7" t="str">
            <v>P</v>
          </cell>
          <cell r="G7" t="str">
            <v>W/O</v>
          </cell>
          <cell r="H7" t="str">
            <v>P</v>
          </cell>
          <cell r="I7" t="str">
            <v>P</v>
          </cell>
          <cell r="J7" t="str">
            <v>P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W/O</v>
          </cell>
          <cell r="O7" t="str">
            <v>P</v>
          </cell>
          <cell r="P7" t="str">
            <v>P</v>
          </cell>
          <cell r="Q7" t="str">
            <v>P</v>
          </cell>
          <cell r="R7" t="str">
            <v>P</v>
          </cell>
          <cell r="S7" t="str">
            <v>P</v>
          </cell>
          <cell r="T7" t="str">
            <v>P</v>
          </cell>
          <cell r="U7" t="str">
            <v>W/O</v>
          </cell>
          <cell r="V7" t="str">
            <v>P</v>
          </cell>
          <cell r="W7" t="str">
            <v>P</v>
          </cell>
          <cell r="X7" t="str">
            <v>P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W/O</v>
          </cell>
          <cell r="AC7" t="str">
            <v>P</v>
          </cell>
          <cell r="AD7" t="str">
            <v>P</v>
          </cell>
          <cell r="AE7" t="str">
            <v>P</v>
          </cell>
          <cell r="AF7" t="str">
            <v>P</v>
          </cell>
          <cell r="AG7" t="str">
            <v>P</v>
          </cell>
          <cell r="AH7" t="str">
            <v>P</v>
          </cell>
          <cell r="AI7">
            <v>30</v>
          </cell>
          <cell r="AJ7">
            <v>26</v>
          </cell>
          <cell r="AK7">
            <v>4</v>
          </cell>
          <cell r="AL7">
            <v>0</v>
          </cell>
          <cell r="AM7">
            <v>0</v>
          </cell>
          <cell r="AN7">
            <v>0</v>
          </cell>
          <cell r="AO7">
            <v>30</v>
          </cell>
          <cell r="AP7">
            <v>0</v>
          </cell>
        </row>
        <row r="9">
          <cell r="B9">
            <v>11281</v>
          </cell>
          <cell r="C9" t="str">
            <v>Karthik</v>
          </cell>
          <cell r="D9" t="str">
            <v>PANTRY BOY</v>
          </cell>
          <cell r="E9" t="str">
            <v>W/O</v>
          </cell>
          <cell r="F9" t="str">
            <v>A</v>
          </cell>
          <cell r="G9" t="str">
            <v>P</v>
          </cell>
          <cell r="H9" t="str">
            <v>P</v>
          </cell>
          <cell r="I9" t="str">
            <v>P</v>
          </cell>
          <cell r="J9" t="str">
            <v>P</v>
          </cell>
          <cell r="K9" t="str">
            <v>P</v>
          </cell>
          <cell r="L9" t="str">
            <v>P</v>
          </cell>
          <cell r="M9" t="str">
            <v>P</v>
          </cell>
          <cell r="N9" t="str">
            <v>W/O</v>
          </cell>
          <cell r="O9" t="str">
            <v>P</v>
          </cell>
          <cell r="P9" t="str">
            <v>P</v>
          </cell>
          <cell r="Q9" t="str">
            <v>P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W/O</v>
          </cell>
          <cell r="V9" t="str">
            <v>P</v>
          </cell>
          <cell r="W9" t="str">
            <v>P</v>
          </cell>
          <cell r="X9" t="str">
            <v>P</v>
          </cell>
          <cell r="Y9" t="str">
            <v>P</v>
          </cell>
          <cell r="Z9" t="str">
            <v>P</v>
          </cell>
          <cell r="AA9" t="str">
            <v>W/O</v>
          </cell>
          <cell r="AB9" t="str">
            <v>P</v>
          </cell>
          <cell r="AC9" t="str">
            <v>P</v>
          </cell>
          <cell r="AD9" t="str">
            <v>A</v>
          </cell>
          <cell r="AE9" t="str">
            <v>P</v>
          </cell>
          <cell r="AF9" t="str">
            <v>P</v>
          </cell>
          <cell r="AG9" t="str">
            <v>W/O</v>
          </cell>
          <cell r="AH9" t="str">
            <v>P</v>
          </cell>
          <cell r="AI9">
            <v>30</v>
          </cell>
          <cell r="AJ9">
            <v>23</v>
          </cell>
          <cell r="AK9">
            <v>5</v>
          </cell>
          <cell r="AL9">
            <v>20</v>
          </cell>
          <cell r="AM9">
            <v>2</v>
          </cell>
          <cell r="AN9">
            <v>0</v>
          </cell>
          <cell r="AO9">
            <v>28</v>
          </cell>
          <cell r="AP9">
            <v>2.5</v>
          </cell>
        </row>
        <row r="10">
          <cell r="I10">
            <v>5</v>
          </cell>
          <cell r="J10">
            <v>2</v>
          </cell>
          <cell r="O10">
            <v>4</v>
          </cell>
          <cell r="Q10">
            <v>5</v>
          </cell>
          <cell r="Y10">
            <v>4</v>
          </cell>
        </row>
        <row r="11">
          <cell r="B11">
            <v>10720</v>
          </cell>
          <cell r="C11" t="str">
            <v>YELIMELA GOPAL</v>
          </cell>
          <cell r="D11" t="str">
            <v>PANTRY BOY</v>
          </cell>
          <cell r="E11" t="str">
            <v>P</v>
          </cell>
          <cell r="F11" t="str">
            <v>P</v>
          </cell>
          <cell r="G11" t="str">
            <v>W/O</v>
          </cell>
          <cell r="H11" t="str">
            <v>P</v>
          </cell>
          <cell r="I11" t="str">
            <v>P</v>
          </cell>
          <cell r="J11" t="str">
            <v>P</v>
          </cell>
          <cell r="K11" t="str">
            <v>P</v>
          </cell>
          <cell r="L11" t="str">
            <v>P</v>
          </cell>
          <cell r="M11" t="str">
            <v>W/O</v>
          </cell>
          <cell r="N11" t="str">
            <v>P</v>
          </cell>
          <cell r="O11" t="str">
            <v>P</v>
          </cell>
          <cell r="P11" t="str">
            <v>P</v>
          </cell>
          <cell r="Q11" t="str">
            <v>P</v>
          </cell>
          <cell r="R11" t="str">
            <v>P</v>
          </cell>
          <cell r="S11" t="str">
            <v>P</v>
          </cell>
          <cell r="T11" t="str">
            <v>W/O</v>
          </cell>
          <cell r="U11" t="str">
            <v>P</v>
          </cell>
          <cell r="V11" t="str">
            <v>P</v>
          </cell>
          <cell r="W11" t="str">
            <v>P</v>
          </cell>
          <cell r="X11" t="str">
            <v>P</v>
          </cell>
          <cell r="Y11" t="str">
            <v>P</v>
          </cell>
          <cell r="Z11" t="str">
            <v>P</v>
          </cell>
          <cell r="AA11" t="str">
            <v>P</v>
          </cell>
          <cell r="AB11" t="str">
            <v>W/O</v>
          </cell>
          <cell r="AC11" t="str">
            <v>P</v>
          </cell>
          <cell r="AD11" t="str">
            <v>P</v>
          </cell>
          <cell r="AE11" t="str">
            <v>P</v>
          </cell>
          <cell r="AF11" t="str">
            <v>P</v>
          </cell>
          <cell r="AG11" t="str">
            <v>P</v>
          </cell>
          <cell r="AH11" t="str">
            <v>W/O</v>
          </cell>
          <cell r="AI11">
            <v>30</v>
          </cell>
          <cell r="AJ11">
            <v>25</v>
          </cell>
          <cell r="AK11">
            <v>5</v>
          </cell>
          <cell r="AL11">
            <v>22</v>
          </cell>
          <cell r="AM11">
            <v>0</v>
          </cell>
          <cell r="AN11">
            <v>0</v>
          </cell>
          <cell r="AO11">
            <v>30</v>
          </cell>
          <cell r="AP11">
            <v>2.75</v>
          </cell>
        </row>
        <row r="12">
          <cell r="H12">
            <v>5</v>
          </cell>
          <cell r="J12">
            <v>3</v>
          </cell>
          <cell r="P12">
            <v>5</v>
          </cell>
          <cell r="AD12">
            <v>9</v>
          </cell>
        </row>
        <row r="13">
          <cell r="B13">
            <v>11086</v>
          </cell>
          <cell r="C13" t="str">
            <v>Bharathi</v>
          </cell>
          <cell r="D13" t="str">
            <v>HK LADY</v>
          </cell>
          <cell r="E13" t="str">
            <v>P</v>
          </cell>
          <cell r="F13" t="str">
            <v>P</v>
          </cell>
          <cell r="G13" t="str">
            <v>W/O</v>
          </cell>
          <cell r="H13" t="str">
            <v>P</v>
          </cell>
          <cell r="I13" t="str">
            <v>P</v>
          </cell>
          <cell r="J13" t="str">
            <v>P</v>
          </cell>
          <cell r="K13" t="str">
            <v>P</v>
          </cell>
          <cell r="L13" t="str">
            <v>P</v>
          </cell>
          <cell r="M13" t="str">
            <v>W/O</v>
          </cell>
          <cell r="N13" t="str">
            <v>P</v>
          </cell>
          <cell r="O13" t="str">
            <v>P</v>
          </cell>
          <cell r="P13" t="str">
            <v>P</v>
          </cell>
          <cell r="Q13" t="str">
            <v>P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W/O</v>
          </cell>
          <cell r="V13" t="str">
            <v>P</v>
          </cell>
          <cell r="W13" t="str">
            <v>P</v>
          </cell>
          <cell r="X13" t="str">
            <v>P</v>
          </cell>
          <cell r="Y13" t="str">
            <v>P</v>
          </cell>
          <cell r="Z13" t="str">
            <v>P</v>
          </cell>
          <cell r="AA13" t="str">
            <v>W/O</v>
          </cell>
          <cell r="AB13" t="str">
            <v>P</v>
          </cell>
          <cell r="AC13" t="str">
            <v>P</v>
          </cell>
          <cell r="AD13" t="str">
            <v>P</v>
          </cell>
          <cell r="AE13" t="str">
            <v>P</v>
          </cell>
          <cell r="AF13" t="str">
            <v>P</v>
          </cell>
          <cell r="AG13" t="str">
            <v>P</v>
          </cell>
          <cell r="AH13" t="str">
            <v>P</v>
          </cell>
          <cell r="AI13">
            <v>30</v>
          </cell>
          <cell r="AJ13">
            <v>26</v>
          </cell>
          <cell r="AK13">
            <v>4</v>
          </cell>
          <cell r="AL13">
            <v>5</v>
          </cell>
          <cell r="AM13">
            <v>0</v>
          </cell>
          <cell r="AN13">
            <v>0</v>
          </cell>
          <cell r="AO13">
            <v>30</v>
          </cell>
          <cell r="AP13">
            <v>0.625</v>
          </cell>
        </row>
        <row r="14">
          <cell r="K14">
            <v>5</v>
          </cell>
        </row>
        <row r="15">
          <cell r="B15">
            <v>4</v>
          </cell>
          <cell r="C15" t="str">
            <v>Mahesh</v>
          </cell>
          <cell r="D15" t="str">
            <v>PANTRY BOY</v>
          </cell>
          <cell r="K15" t="str">
            <v>P</v>
          </cell>
          <cell r="L15" t="str">
            <v>P</v>
          </cell>
          <cell r="M15" t="str">
            <v>P</v>
          </cell>
          <cell r="AI15">
            <v>30</v>
          </cell>
          <cell r="AJ15">
            <v>3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3</v>
          </cell>
          <cell r="AP15">
            <v>0</v>
          </cell>
        </row>
        <row r="17">
          <cell r="B17">
            <v>12099</v>
          </cell>
          <cell r="C17" t="str">
            <v>Parasuram</v>
          </cell>
          <cell r="D17" t="str">
            <v>PANTRY BOY</v>
          </cell>
          <cell r="R17" t="str">
            <v>P</v>
          </cell>
          <cell r="S17" t="str">
            <v>P</v>
          </cell>
          <cell r="T17" t="str">
            <v>P</v>
          </cell>
          <cell r="U17" t="str">
            <v>P</v>
          </cell>
          <cell r="V17" t="str">
            <v>P</v>
          </cell>
          <cell r="W17" t="str">
            <v>P</v>
          </cell>
          <cell r="X17" t="str">
            <v>P</v>
          </cell>
          <cell r="Y17" t="str">
            <v>A</v>
          </cell>
          <cell r="Z17" t="str">
            <v>W/O</v>
          </cell>
          <cell r="AA17" t="str">
            <v>P</v>
          </cell>
          <cell r="AB17" t="str">
            <v>P</v>
          </cell>
          <cell r="AC17" t="str">
            <v>P</v>
          </cell>
          <cell r="AD17" t="str">
            <v>P</v>
          </cell>
          <cell r="AE17" t="str">
            <v>P</v>
          </cell>
          <cell r="AF17" t="str">
            <v>P</v>
          </cell>
          <cell r="AG17" t="str">
            <v>P</v>
          </cell>
          <cell r="AH17" t="str">
            <v>P</v>
          </cell>
          <cell r="AI17">
            <v>30</v>
          </cell>
          <cell r="AJ17">
            <v>15</v>
          </cell>
          <cell r="AK17">
            <v>1</v>
          </cell>
          <cell r="AL17">
            <v>0</v>
          </cell>
          <cell r="AM17">
            <v>1</v>
          </cell>
          <cell r="AN17">
            <v>0</v>
          </cell>
          <cell r="AO17">
            <v>16</v>
          </cell>
          <cell r="AP17">
            <v>0</v>
          </cell>
        </row>
        <row r="19">
          <cell r="B19">
            <v>12041</v>
          </cell>
          <cell r="C19" t="str">
            <v>Shymala</v>
          </cell>
          <cell r="D19" t="str">
            <v>HK LADY</v>
          </cell>
          <cell r="E19" t="str">
            <v>P</v>
          </cell>
          <cell r="F19" t="str">
            <v>W/O</v>
          </cell>
          <cell r="G19" t="str">
            <v>P</v>
          </cell>
          <cell r="H19" t="str">
            <v>P</v>
          </cell>
          <cell r="I19" t="str">
            <v>P</v>
          </cell>
          <cell r="J19" t="str">
            <v>P</v>
          </cell>
          <cell r="K19" t="str">
            <v>A</v>
          </cell>
          <cell r="L19" t="str">
            <v>P</v>
          </cell>
          <cell r="M19" t="str">
            <v>P</v>
          </cell>
          <cell r="N19" t="str">
            <v>W/O</v>
          </cell>
          <cell r="O19" t="str">
            <v>P</v>
          </cell>
          <cell r="P19" t="str">
            <v>P</v>
          </cell>
          <cell r="Q19" t="str">
            <v>P</v>
          </cell>
          <cell r="R19" t="str">
            <v>P</v>
          </cell>
          <cell r="S19" t="str">
            <v>P</v>
          </cell>
          <cell r="T19" t="str">
            <v>W/O</v>
          </cell>
          <cell r="U19" t="str">
            <v>P</v>
          </cell>
          <cell r="V19" t="str">
            <v>P</v>
          </cell>
          <cell r="W19" t="str">
            <v>P</v>
          </cell>
          <cell r="X19" t="str">
            <v>P</v>
          </cell>
          <cell r="Y19" t="str">
            <v>P</v>
          </cell>
          <cell r="Z19" t="str">
            <v>P</v>
          </cell>
          <cell r="AA19" t="str">
            <v>P</v>
          </cell>
          <cell r="AB19" t="str">
            <v>W/O</v>
          </cell>
          <cell r="AC19" t="str">
            <v>P</v>
          </cell>
          <cell r="AD19" t="str">
            <v>P</v>
          </cell>
          <cell r="AE19" t="str">
            <v>P</v>
          </cell>
          <cell r="AF19" t="str">
            <v>P</v>
          </cell>
          <cell r="AG19" t="str">
            <v>P</v>
          </cell>
          <cell r="AH19" t="str">
            <v>W/O</v>
          </cell>
          <cell r="AI19">
            <v>30</v>
          </cell>
          <cell r="AJ19">
            <v>24</v>
          </cell>
          <cell r="AK19">
            <v>5</v>
          </cell>
          <cell r="AL19">
            <v>0</v>
          </cell>
          <cell r="AM19">
            <v>1</v>
          </cell>
          <cell r="AN19">
            <v>0</v>
          </cell>
          <cell r="AO19">
            <v>29</v>
          </cell>
          <cell r="AP19">
            <v>0</v>
          </cell>
        </row>
        <row r="21">
          <cell r="B21">
            <v>1</v>
          </cell>
          <cell r="C21" t="str">
            <v>Jayrul</v>
          </cell>
          <cell r="D21" t="str">
            <v>HK BOY</v>
          </cell>
          <cell r="E21" t="str">
            <v>P</v>
          </cell>
          <cell r="F21" t="str">
            <v>P</v>
          </cell>
          <cell r="G21" t="str">
            <v>W/O</v>
          </cell>
          <cell r="H21" t="str">
            <v>P</v>
          </cell>
          <cell r="I21" t="str">
            <v>P</v>
          </cell>
          <cell r="J21" t="str">
            <v>P</v>
          </cell>
          <cell r="K21" t="str">
            <v>P</v>
          </cell>
          <cell r="L21" t="str">
            <v>P</v>
          </cell>
          <cell r="M21" t="str">
            <v>W/O</v>
          </cell>
          <cell r="N21" t="str">
            <v>P</v>
          </cell>
          <cell r="O21" t="str">
            <v>P</v>
          </cell>
          <cell r="P21" t="str">
            <v>P</v>
          </cell>
          <cell r="Q21" t="str">
            <v>P</v>
          </cell>
          <cell r="R21" t="str">
            <v>P</v>
          </cell>
          <cell r="S21" t="str">
            <v>P</v>
          </cell>
          <cell r="T21" t="str">
            <v>W/O</v>
          </cell>
          <cell r="U21" t="str">
            <v>P</v>
          </cell>
          <cell r="V21" t="str">
            <v>P</v>
          </cell>
          <cell r="W21" t="str">
            <v>P</v>
          </cell>
          <cell r="X21" t="str">
            <v>P</v>
          </cell>
          <cell r="Y21" t="str">
            <v>P</v>
          </cell>
          <cell r="Z21" t="str">
            <v>P</v>
          </cell>
          <cell r="AA21" t="str">
            <v>W/O</v>
          </cell>
          <cell r="AB21" t="str">
            <v>P</v>
          </cell>
          <cell r="AC21" t="str">
            <v>P</v>
          </cell>
          <cell r="AD21" t="str">
            <v>P</v>
          </cell>
          <cell r="AE21" t="str">
            <v>A</v>
          </cell>
          <cell r="AF21" t="str">
            <v>A</v>
          </cell>
          <cell r="AG21" t="str">
            <v>P</v>
          </cell>
          <cell r="AH21" t="str">
            <v>W/O</v>
          </cell>
          <cell r="AI21">
            <v>30</v>
          </cell>
          <cell r="AJ21">
            <v>23</v>
          </cell>
          <cell r="AK21">
            <v>5</v>
          </cell>
          <cell r="AL21">
            <v>32</v>
          </cell>
          <cell r="AM21">
            <v>2</v>
          </cell>
          <cell r="AN21">
            <v>0</v>
          </cell>
          <cell r="AO21">
            <v>28</v>
          </cell>
          <cell r="AP21">
            <v>4</v>
          </cell>
        </row>
        <row r="22">
          <cell r="H22">
            <v>5</v>
          </cell>
          <cell r="I22">
            <v>5</v>
          </cell>
          <cell r="J22">
            <v>5</v>
          </cell>
          <cell r="K22">
            <v>5</v>
          </cell>
          <cell r="L22">
            <v>5</v>
          </cell>
          <cell r="O22">
            <v>4</v>
          </cell>
          <cell r="P22">
            <v>3</v>
          </cell>
        </row>
        <row r="23">
          <cell r="B23">
            <v>12125</v>
          </cell>
          <cell r="C23" t="str">
            <v>Ibadul</v>
          </cell>
          <cell r="D23" t="str">
            <v>HK BOY</v>
          </cell>
          <cell r="P23" t="str">
            <v>P</v>
          </cell>
          <cell r="Q23" t="str">
            <v>P</v>
          </cell>
          <cell r="R23" t="str">
            <v>P</v>
          </cell>
          <cell r="S23" t="str">
            <v>P</v>
          </cell>
          <cell r="T23" t="str">
            <v>W/O</v>
          </cell>
          <cell r="U23" t="str">
            <v>P</v>
          </cell>
          <cell r="V23" t="str">
            <v>P</v>
          </cell>
          <cell r="W23" t="str">
            <v>P</v>
          </cell>
          <cell r="X23" t="str">
            <v>P</v>
          </cell>
          <cell r="Y23" t="str">
            <v>P</v>
          </cell>
          <cell r="Z23" t="str">
            <v>P</v>
          </cell>
          <cell r="AA23" t="str">
            <v>W/O</v>
          </cell>
          <cell r="AB23" t="str">
            <v>P</v>
          </cell>
          <cell r="AC23" t="str">
            <v>P</v>
          </cell>
          <cell r="AD23" t="str">
            <v>P</v>
          </cell>
          <cell r="AE23" t="str">
            <v>P</v>
          </cell>
          <cell r="AF23" t="str">
            <v>P</v>
          </cell>
          <cell r="AG23" t="str">
            <v>P</v>
          </cell>
          <cell r="AH23" t="str">
            <v>W/O</v>
          </cell>
          <cell r="AI23">
            <v>30</v>
          </cell>
          <cell r="AJ23">
            <v>16</v>
          </cell>
          <cell r="AK23">
            <v>3</v>
          </cell>
          <cell r="AL23">
            <v>10</v>
          </cell>
          <cell r="AM23">
            <v>0</v>
          </cell>
          <cell r="AN23">
            <v>0</v>
          </cell>
          <cell r="AO23">
            <v>19</v>
          </cell>
          <cell r="AP23">
            <v>1.25</v>
          </cell>
        </row>
        <row r="24">
          <cell r="AE24">
            <v>5</v>
          </cell>
          <cell r="AF24">
            <v>5</v>
          </cell>
        </row>
        <row r="25">
          <cell r="B25">
            <v>11706</v>
          </cell>
          <cell r="C25" t="str">
            <v>Rejaul</v>
          </cell>
          <cell r="D25" t="str">
            <v>HK BOY</v>
          </cell>
          <cell r="E25" t="str">
            <v>P</v>
          </cell>
          <cell r="F25" t="str">
            <v>W/O</v>
          </cell>
          <cell r="G25" t="str">
            <v>P</v>
          </cell>
          <cell r="H25" t="str">
            <v>P</v>
          </cell>
          <cell r="I25" t="str">
            <v>P</v>
          </cell>
          <cell r="J25" t="str">
            <v>P</v>
          </cell>
          <cell r="K25" t="str">
            <v>P</v>
          </cell>
          <cell r="L25" t="str">
            <v>P</v>
          </cell>
          <cell r="M25" t="str">
            <v>P</v>
          </cell>
          <cell r="N25" t="str">
            <v>W/O</v>
          </cell>
          <cell r="O25" t="str">
            <v>P</v>
          </cell>
          <cell r="P25" t="str">
            <v>P</v>
          </cell>
          <cell r="Q25" t="str">
            <v>P</v>
          </cell>
          <cell r="R25" t="str">
            <v>P</v>
          </cell>
          <cell r="S25" t="str">
            <v>P</v>
          </cell>
          <cell r="T25" t="str">
            <v>P</v>
          </cell>
          <cell r="U25" t="str">
            <v>W/O</v>
          </cell>
          <cell r="V25" t="str">
            <v>P</v>
          </cell>
          <cell r="W25" t="str">
            <v>P</v>
          </cell>
          <cell r="X25" t="str">
            <v>P</v>
          </cell>
          <cell r="Y25" t="str">
            <v>P</v>
          </cell>
          <cell r="Z25" t="str">
            <v>P</v>
          </cell>
          <cell r="AA25" t="str">
            <v>P</v>
          </cell>
          <cell r="AB25" t="str">
            <v>W/O</v>
          </cell>
          <cell r="AC25" t="str">
            <v>P</v>
          </cell>
          <cell r="AD25" t="str">
            <v>P</v>
          </cell>
          <cell r="AE25" t="str">
            <v>P</v>
          </cell>
          <cell r="AF25" t="str">
            <v>P</v>
          </cell>
          <cell r="AG25" t="str">
            <v>P</v>
          </cell>
          <cell r="AH25" t="str">
            <v>P</v>
          </cell>
          <cell r="AI25">
            <v>30</v>
          </cell>
          <cell r="AJ25">
            <v>26</v>
          </cell>
          <cell r="AK25">
            <v>4</v>
          </cell>
          <cell r="AL25">
            <v>0</v>
          </cell>
          <cell r="AM25">
            <v>0</v>
          </cell>
          <cell r="AN25">
            <v>0</v>
          </cell>
          <cell r="AO25">
            <v>30</v>
          </cell>
          <cell r="AP25">
            <v>0</v>
          </cell>
        </row>
        <row r="27">
          <cell r="B27">
            <v>11704</v>
          </cell>
          <cell r="C27" t="str">
            <v>D.Sunitha</v>
          </cell>
          <cell r="D27" t="str">
            <v>HK LADY</v>
          </cell>
          <cell r="E27" t="str">
            <v>P</v>
          </cell>
          <cell r="F27" t="str">
            <v>P</v>
          </cell>
          <cell r="G27" t="str">
            <v>W/O</v>
          </cell>
          <cell r="H27" t="str">
            <v>P</v>
          </cell>
          <cell r="I27" t="str">
            <v>P</v>
          </cell>
          <cell r="J27" t="str">
            <v>P</v>
          </cell>
          <cell r="K27" t="str">
            <v>P</v>
          </cell>
          <cell r="L27" t="str">
            <v>P</v>
          </cell>
          <cell r="M27" t="str">
            <v>P</v>
          </cell>
          <cell r="N27" t="str">
            <v>W/O</v>
          </cell>
          <cell r="O27" t="str">
            <v>P</v>
          </cell>
          <cell r="P27" t="str">
            <v>P</v>
          </cell>
          <cell r="Q27" t="str">
            <v>P</v>
          </cell>
          <cell r="R27" t="str">
            <v>P</v>
          </cell>
          <cell r="S27" t="str">
            <v>P</v>
          </cell>
          <cell r="T27" t="str">
            <v>P</v>
          </cell>
          <cell r="U27" t="str">
            <v>W/O</v>
          </cell>
          <cell r="V27" t="str">
            <v>P</v>
          </cell>
          <cell r="W27" t="str">
            <v>P</v>
          </cell>
          <cell r="X27" t="str">
            <v>P</v>
          </cell>
          <cell r="Y27" t="str">
            <v>P</v>
          </cell>
          <cell r="Z27" t="str">
            <v>P</v>
          </cell>
          <cell r="AA27" t="str">
            <v>P</v>
          </cell>
          <cell r="AB27" t="str">
            <v>W/O</v>
          </cell>
          <cell r="AC27" t="str">
            <v>P</v>
          </cell>
          <cell r="AD27" t="str">
            <v>P</v>
          </cell>
          <cell r="AE27" t="str">
            <v>P</v>
          </cell>
          <cell r="AF27" t="str">
            <v>P</v>
          </cell>
          <cell r="AG27" t="str">
            <v>P</v>
          </cell>
          <cell r="AH27" t="str">
            <v>P</v>
          </cell>
          <cell r="AI27">
            <v>30</v>
          </cell>
          <cell r="AJ27">
            <v>26</v>
          </cell>
          <cell r="AK27">
            <v>4</v>
          </cell>
          <cell r="AL27">
            <v>0</v>
          </cell>
          <cell r="AM27">
            <v>0</v>
          </cell>
          <cell r="AN27">
            <v>0</v>
          </cell>
          <cell r="AO27">
            <v>30</v>
          </cell>
          <cell r="AP27">
            <v>0</v>
          </cell>
        </row>
        <row r="29">
          <cell r="B29">
            <v>10687</v>
          </cell>
          <cell r="C29" t="str">
            <v>M.Veerash</v>
          </cell>
          <cell r="D29" t="str">
            <v>MST</v>
          </cell>
          <cell r="E29" t="str">
            <v>P</v>
          </cell>
          <cell r="F29" t="str">
            <v>P</v>
          </cell>
          <cell r="G29" t="str">
            <v>W/O</v>
          </cell>
          <cell r="H29" t="str">
            <v>P</v>
          </cell>
          <cell r="I29" t="str">
            <v>P</v>
          </cell>
          <cell r="J29" t="str">
            <v>P</v>
          </cell>
          <cell r="K29" t="str">
            <v>P</v>
          </cell>
          <cell r="L29" t="str">
            <v>P</v>
          </cell>
          <cell r="M29" t="str">
            <v>P</v>
          </cell>
          <cell r="N29" t="str">
            <v>W/O</v>
          </cell>
          <cell r="O29" t="str">
            <v>P</v>
          </cell>
          <cell r="P29" t="str">
            <v>A</v>
          </cell>
          <cell r="Q29" t="str">
            <v>A</v>
          </cell>
          <cell r="R29" t="str">
            <v>P</v>
          </cell>
          <cell r="S29" t="str">
            <v>P</v>
          </cell>
          <cell r="T29" t="str">
            <v>P</v>
          </cell>
          <cell r="U29" t="str">
            <v>W/O</v>
          </cell>
          <cell r="V29" t="str">
            <v>P</v>
          </cell>
          <cell r="W29" t="str">
            <v>P</v>
          </cell>
          <cell r="X29" t="str">
            <v>P</v>
          </cell>
          <cell r="Y29" t="str">
            <v>P</v>
          </cell>
          <cell r="Z29" t="str">
            <v>P</v>
          </cell>
          <cell r="AA29" t="str">
            <v>P</v>
          </cell>
          <cell r="AB29" t="str">
            <v>W/O</v>
          </cell>
          <cell r="AC29" t="str">
            <v>P</v>
          </cell>
          <cell r="AD29" t="str">
            <v>P</v>
          </cell>
          <cell r="AE29" t="str">
            <v>P</v>
          </cell>
          <cell r="AF29" t="str">
            <v>P</v>
          </cell>
          <cell r="AG29" t="str">
            <v>P</v>
          </cell>
          <cell r="AH29" t="str">
            <v>P</v>
          </cell>
          <cell r="AI29">
            <v>30</v>
          </cell>
          <cell r="AJ29">
            <v>24</v>
          </cell>
          <cell r="AK29">
            <v>4</v>
          </cell>
          <cell r="AL29">
            <v>64</v>
          </cell>
          <cell r="AM29">
            <v>2</v>
          </cell>
          <cell r="AN29">
            <v>0</v>
          </cell>
          <cell r="AO29">
            <v>28</v>
          </cell>
          <cell r="AP29">
            <v>8</v>
          </cell>
        </row>
        <row r="30">
          <cell r="G30">
            <v>8</v>
          </cell>
          <cell r="K30">
            <v>8</v>
          </cell>
          <cell r="N30">
            <v>8</v>
          </cell>
          <cell r="S30">
            <v>8</v>
          </cell>
          <cell r="U30">
            <v>8</v>
          </cell>
          <cell r="AA30">
            <v>8</v>
          </cell>
          <cell r="AB30">
            <v>8</v>
          </cell>
          <cell r="AC30">
            <v>8</v>
          </cell>
        </row>
        <row r="31">
          <cell r="B31">
            <v>11054</v>
          </cell>
          <cell r="C31" t="str">
            <v>P. Anil Kumar</v>
          </cell>
          <cell r="D31" t="str">
            <v>MST</v>
          </cell>
          <cell r="E31" t="str">
            <v>P</v>
          </cell>
          <cell r="F31" t="str">
            <v>W/O</v>
          </cell>
          <cell r="G31" t="str">
            <v>P</v>
          </cell>
          <cell r="H31" t="str">
            <v>P</v>
          </cell>
          <cell r="I31" t="str">
            <v>P</v>
          </cell>
          <cell r="J31" t="str">
            <v>A</v>
          </cell>
          <cell r="K31" t="str">
            <v>A</v>
          </cell>
          <cell r="L31" t="str">
            <v>P</v>
          </cell>
          <cell r="M31" t="str">
            <v>W/O</v>
          </cell>
          <cell r="N31" t="str">
            <v>A</v>
          </cell>
          <cell r="O31" t="str">
            <v>P</v>
          </cell>
          <cell r="P31" t="str">
            <v>P</v>
          </cell>
          <cell r="Q31" t="str">
            <v>P</v>
          </cell>
          <cell r="R31" t="str">
            <v>P</v>
          </cell>
          <cell r="S31" t="str">
            <v>P</v>
          </cell>
          <cell r="T31" t="str">
            <v>W/O</v>
          </cell>
          <cell r="U31" t="str">
            <v>P</v>
          </cell>
          <cell r="V31" t="str">
            <v>P</v>
          </cell>
          <cell r="W31" t="str">
            <v>P</v>
          </cell>
          <cell r="X31" t="str">
            <v>P</v>
          </cell>
          <cell r="Y31" t="str">
            <v>P</v>
          </cell>
          <cell r="Z31" t="str">
            <v>P</v>
          </cell>
          <cell r="AA31" t="str">
            <v>W/O</v>
          </cell>
          <cell r="AB31" t="str">
            <v>P</v>
          </cell>
          <cell r="AC31" t="str">
            <v>P</v>
          </cell>
          <cell r="AD31" t="str">
            <v>P</v>
          </cell>
          <cell r="AE31" t="str">
            <v>P</v>
          </cell>
          <cell r="AF31" t="str">
            <v>P</v>
          </cell>
          <cell r="AG31" t="str">
            <v>W/O</v>
          </cell>
          <cell r="AH31" t="str">
            <v>P</v>
          </cell>
          <cell r="AI31">
            <v>30</v>
          </cell>
          <cell r="AJ31">
            <v>22</v>
          </cell>
          <cell r="AK31">
            <v>5</v>
          </cell>
          <cell r="AL31">
            <v>72</v>
          </cell>
          <cell r="AM31">
            <v>3</v>
          </cell>
          <cell r="AN31">
            <v>0</v>
          </cell>
          <cell r="AO31">
            <v>27</v>
          </cell>
          <cell r="AP31">
            <v>9</v>
          </cell>
        </row>
        <row r="32">
          <cell r="F32">
            <v>8</v>
          </cell>
          <cell r="L32">
            <v>8</v>
          </cell>
          <cell r="M32">
            <v>8</v>
          </cell>
          <cell r="P32">
            <v>8</v>
          </cell>
          <cell r="T32">
            <v>8</v>
          </cell>
          <cell r="AA32">
            <v>8</v>
          </cell>
          <cell r="AB32">
            <v>8</v>
          </cell>
          <cell r="AD32">
            <v>8</v>
          </cell>
          <cell r="AG32">
            <v>8</v>
          </cell>
        </row>
        <row r="33">
          <cell r="B33">
            <v>10221</v>
          </cell>
          <cell r="C33" t="str">
            <v>Shareef</v>
          </cell>
          <cell r="D33" t="str">
            <v>MST</v>
          </cell>
          <cell r="E33" t="str">
            <v>W/O</v>
          </cell>
          <cell r="F33" t="str">
            <v>P</v>
          </cell>
          <cell r="G33" t="str">
            <v>P</v>
          </cell>
          <cell r="H33" t="str">
            <v>P</v>
          </cell>
          <cell r="I33" t="str">
            <v>P</v>
          </cell>
          <cell r="J33" t="str">
            <v>P</v>
          </cell>
          <cell r="K33" t="str">
            <v>P</v>
          </cell>
          <cell r="L33" t="str">
            <v>W/O</v>
          </cell>
          <cell r="M33" t="str">
            <v>P</v>
          </cell>
          <cell r="N33" t="str">
            <v>P</v>
          </cell>
          <cell r="O33" t="str">
            <v>P</v>
          </cell>
          <cell r="P33" t="str">
            <v>P</v>
          </cell>
          <cell r="Q33" t="str">
            <v>P</v>
          </cell>
          <cell r="R33" t="str">
            <v>P</v>
          </cell>
          <cell r="S33" t="str">
            <v>W/O</v>
          </cell>
          <cell r="T33" t="str">
            <v>P</v>
          </cell>
          <cell r="U33" t="str">
            <v>P</v>
          </cell>
          <cell r="V33" t="str">
            <v>P</v>
          </cell>
          <cell r="W33" t="str">
            <v>P</v>
          </cell>
          <cell r="X33" t="str">
            <v>P</v>
          </cell>
          <cell r="Y33" t="str">
            <v>P</v>
          </cell>
          <cell r="Z33" t="str">
            <v>W/O</v>
          </cell>
          <cell r="AA33" t="str">
            <v>A</v>
          </cell>
          <cell r="AB33" t="str">
            <v>A</v>
          </cell>
          <cell r="AC33" t="str">
            <v>A</v>
          </cell>
          <cell r="AD33" t="str">
            <v>A</v>
          </cell>
          <cell r="AE33" t="str">
            <v>P</v>
          </cell>
          <cell r="AF33" t="str">
            <v>P</v>
          </cell>
          <cell r="AG33" t="str">
            <v>P</v>
          </cell>
          <cell r="AH33" t="str">
            <v>W/O</v>
          </cell>
          <cell r="AI33">
            <v>30</v>
          </cell>
          <cell r="AJ33">
            <v>21</v>
          </cell>
          <cell r="AK33">
            <v>5</v>
          </cell>
          <cell r="AL33">
            <v>48</v>
          </cell>
          <cell r="AM33">
            <v>4</v>
          </cell>
          <cell r="AN33">
            <v>0</v>
          </cell>
          <cell r="AO33">
            <v>26</v>
          </cell>
          <cell r="AP33">
            <v>6</v>
          </cell>
        </row>
        <row r="34">
          <cell r="E34">
            <v>8</v>
          </cell>
          <cell r="J34">
            <v>8</v>
          </cell>
          <cell r="N34">
            <v>8</v>
          </cell>
          <cell r="Q34">
            <v>8</v>
          </cell>
          <cell r="Z34">
            <v>8</v>
          </cell>
          <cell r="AH34">
            <v>8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"/>
      <sheetName val="BANK STMT"/>
    </sheetNames>
    <sheetDataSet>
      <sheetData sheetId="0" refreshError="1"/>
      <sheetData sheetId="1">
        <row r="7">
          <cell r="B7">
            <v>10240</v>
          </cell>
          <cell r="C7" t="str">
            <v>CHAPALAMADUGU KRANTHI KUMAR</v>
          </cell>
          <cell r="D7" t="str">
            <v>CH SREENU</v>
          </cell>
          <cell r="E7" t="str">
            <v>Electrician</v>
          </cell>
          <cell r="F7" t="str">
            <v>P</v>
          </cell>
          <cell r="G7" t="str">
            <v>P</v>
          </cell>
          <cell r="H7" t="str">
            <v>P</v>
          </cell>
          <cell r="I7" t="str">
            <v>P</v>
          </cell>
          <cell r="J7" t="str">
            <v>W/O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P</v>
          </cell>
          <cell r="P7" t="str">
            <v>P</v>
          </cell>
          <cell r="Q7" t="str">
            <v>W/O</v>
          </cell>
          <cell r="R7" t="str">
            <v>P</v>
          </cell>
          <cell r="S7" t="str">
            <v>P</v>
          </cell>
          <cell r="T7" t="str">
            <v>P</v>
          </cell>
          <cell r="U7" t="str">
            <v>P</v>
          </cell>
          <cell r="V7" t="str">
            <v>P</v>
          </cell>
          <cell r="W7" t="str">
            <v>P</v>
          </cell>
          <cell r="X7" t="str">
            <v>W/O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P</v>
          </cell>
          <cell r="AC7" t="str">
            <v>P</v>
          </cell>
          <cell r="AD7" t="str">
            <v>P</v>
          </cell>
          <cell r="AE7" t="str">
            <v>W/O</v>
          </cell>
          <cell r="AF7" t="str">
            <v>P</v>
          </cell>
          <cell r="AG7" t="str">
            <v>P</v>
          </cell>
          <cell r="AH7" t="str">
            <v>P</v>
          </cell>
          <cell r="AI7" t="str">
            <v>P</v>
          </cell>
          <cell r="AJ7" t="str">
            <v>P</v>
          </cell>
          <cell r="AK7">
            <v>31</v>
          </cell>
          <cell r="AL7">
            <v>27</v>
          </cell>
          <cell r="AM7">
            <v>4</v>
          </cell>
          <cell r="AN7">
            <v>0</v>
          </cell>
          <cell r="AO7">
            <v>0</v>
          </cell>
          <cell r="AP7">
            <v>0</v>
          </cell>
          <cell r="AQ7">
            <v>31</v>
          </cell>
        </row>
        <row r="9">
          <cell r="B9">
            <v>10248</v>
          </cell>
          <cell r="C9" t="str">
            <v xml:space="preserve"> ZAHEER KHAN</v>
          </cell>
          <cell r="D9" t="str">
            <v>HUSAIN KHAN</v>
          </cell>
          <cell r="E9" t="str">
            <v>HK Boy</v>
          </cell>
          <cell r="F9" t="str">
            <v>P</v>
          </cell>
          <cell r="G9" t="str">
            <v>P</v>
          </cell>
          <cell r="H9" t="str">
            <v>P</v>
          </cell>
          <cell r="I9" t="str">
            <v>P</v>
          </cell>
          <cell r="J9" t="str">
            <v>W/O</v>
          </cell>
          <cell r="K9" t="str">
            <v>P</v>
          </cell>
          <cell r="L9" t="str">
            <v>P</v>
          </cell>
          <cell r="M9" t="str">
            <v>P</v>
          </cell>
          <cell r="N9" t="str">
            <v>P</v>
          </cell>
          <cell r="O9" t="str">
            <v>P</v>
          </cell>
          <cell r="P9" t="str">
            <v>P</v>
          </cell>
          <cell r="Q9" t="str">
            <v>W/O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P</v>
          </cell>
          <cell r="V9" t="str">
            <v>P</v>
          </cell>
          <cell r="W9" t="str">
            <v>P</v>
          </cell>
          <cell r="X9" t="str">
            <v>W/O</v>
          </cell>
          <cell r="Y9" t="str">
            <v>P</v>
          </cell>
          <cell r="Z9" t="str">
            <v>P</v>
          </cell>
          <cell r="AA9" t="str">
            <v>P</v>
          </cell>
          <cell r="AB9" t="str">
            <v>P</v>
          </cell>
          <cell r="AC9" t="str">
            <v>P</v>
          </cell>
          <cell r="AD9" t="str">
            <v>P</v>
          </cell>
          <cell r="AE9" t="str">
            <v>W/O</v>
          </cell>
          <cell r="AF9" t="str">
            <v>P</v>
          </cell>
          <cell r="AG9" t="str">
            <v>P</v>
          </cell>
          <cell r="AH9" t="str">
            <v>P</v>
          </cell>
          <cell r="AI9" t="str">
            <v>P</v>
          </cell>
          <cell r="AJ9" t="str">
            <v>P</v>
          </cell>
          <cell r="AK9">
            <v>31</v>
          </cell>
          <cell r="AL9">
            <v>27</v>
          </cell>
          <cell r="AM9">
            <v>4</v>
          </cell>
          <cell r="AN9">
            <v>0</v>
          </cell>
          <cell r="AO9">
            <v>0</v>
          </cell>
          <cell r="AP9">
            <v>0</v>
          </cell>
          <cell r="AQ9">
            <v>31</v>
          </cell>
        </row>
        <row r="11">
          <cell r="B11">
            <v>10249</v>
          </cell>
          <cell r="C11" t="str">
            <v>KATAKARI BALAPPA</v>
          </cell>
          <cell r="D11" t="str">
            <v>K SAYAPPA</v>
          </cell>
          <cell r="E11" t="str">
            <v>HK Boy</v>
          </cell>
          <cell r="F11" t="str">
            <v>P</v>
          </cell>
          <cell r="G11" t="str">
            <v>P</v>
          </cell>
          <cell r="H11" t="str">
            <v>P</v>
          </cell>
          <cell r="I11" t="str">
            <v>P</v>
          </cell>
          <cell r="J11" t="str">
            <v>W/O</v>
          </cell>
          <cell r="K11" t="str">
            <v>P</v>
          </cell>
          <cell r="L11" t="str">
            <v>P</v>
          </cell>
          <cell r="M11" t="str">
            <v>P</v>
          </cell>
          <cell r="N11" t="str">
            <v>P</v>
          </cell>
          <cell r="O11" t="str">
            <v>P</v>
          </cell>
          <cell r="P11" t="str">
            <v>P</v>
          </cell>
          <cell r="Q11" t="str">
            <v>W/O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P</v>
          </cell>
          <cell r="V11" t="str">
            <v>P</v>
          </cell>
          <cell r="W11" t="str">
            <v>P</v>
          </cell>
          <cell r="X11" t="str">
            <v>W/O</v>
          </cell>
          <cell r="Y11" t="str">
            <v>P</v>
          </cell>
          <cell r="Z11" t="str">
            <v>P</v>
          </cell>
          <cell r="AA11" t="str">
            <v>P</v>
          </cell>
          <cell r="AB11" t="str">
            <v>P</v>
          </cell>
          <cell r="AC11" t="str">
            <v>P</v>
          </cell>
          <cell r="AD11" t="str">
            <v>P</v>
          </cell>
          <cell r="AE11" t="str">
            <v>W/O</v>
          </cell>
          <cell r="AF11" t="str">
            <v>P</v>
          </cell>
          <cell r="AG11" t="str">
            <v>P</v>
          </cell>
          <cell r="AH11" t="str">
            <v>P</v>
          </cell>
          <cell r="AI11" t="str">
            <v>P</v>
          </cell>
          <cell r="AJ11" t="str">
            <v>P</v>
          </cell>
          <cell r="AK11">
            <v>31</v>
          </cell>
          <cell r="AL11">
            <v>27</v>
          </cell>
          <cell r="AM11">
            <v>4</v>
          </cell>
          <cell r="AN11">
            <v>0</v>
          </cell>
          <cell r="AO11">
            <v>0</v>
          </cell>
          <cell r="AP11">
            <v>0</v>
          </cell>
          <cell r="AQ11">
            <v>31</v>
          </cell>
        </row>
        <row r="13">
          <cell r="B13">
            <v>10242</v>
          </cell>
          <cell r="C13" t="str">
            <v>MEESALA MANEMMA</v>
          </cell>
          <cell r="D13" t="str">
            <v>M KANAKAIAH</v>
          </cell>
          <cell r="E13" t="str">
            <v>House keep  Lady</v>
          </cell>
          <cell r="F13" t="str">
            <v>P</v>
          </cell>
          <cell r="G13" t="str">
            <v>P</v>
          </cell>
          <cell r="H13" t="str">
            <v>P</v>
          </cell>
          <cell r="I13" t="str">
            <v>P</v>
          </cell>
          <cell r="J13" t="str">
            <v>W/O</v>
          </cell>
          <cell r="K13" t="str">
            <v>P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P</v>
          </cell>
          <cell r="P13" t="str">
            <v>P</v>
          </cell>
          <cell r="Q13" t="str">
            <v>W/O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P</v>
          </cell>
          <cell r="V13" t="str">
            <v>P</v>
          </cell>
          <cell r="W13" t="str">
            <v>P</v>
          </cell>
          <cell r="X13" t="str">
            <v>W/O</v>
          </cell>
          <cell r="Y13" t="str">
            <v>P</v>
          </cell>
          <cell r="Z13" t="str">
            <v>P</v>
          </cell>
          <cell r="AA13" t="str">
            <v>P</v>
          </cell>
          <cell r="AB13" t="str">
            <v>P</v>
          </cell>
          <cell r="AC13" t="str">
            <v>P</v>
          </cell>
          <cell r="AD13" t="str">
            <v>P</v>
          </cell>
          <cell r="AE13" t="str">
            <v>W/O</v>
          </cell>
          <cell r="AF13" t="str">
            <v>P</v>
          </cell>
          <cell r="AG13" t="str">
            <v>P</v>
          </cell>
          <cell r="AH13" t="str">
            <v>P</v>
          </cell>
          <cell r="AI13" t="str">
            <v>P</v>
          </cell>
          <cell r="AJ13" t="str">
            <v>P</v>
          </cell>
          <cell r="AK13">
            <v>31</v>
          </cell>
          <cell r="AL13">
            <v>27</v>
          </cell>
          <cell r="AM13">
            <v>4</v>
          </cell>
          <cell r="AN13">
            <v>0</v>
          </cell>
          <cell r="AO13">
            <v>0</v>
          </cell>
          <cell r="AP13">
            <v>0</v>
          </cell>
          <cell r="AQ13">
            <v>31</v>
          </cell>
        </row>
      </sheetData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LIGHTS INVOICE"/>
      <sheetName val="ATTANDANCE"/>
      <sheetName val="PAYSHEET"/>
      <sheetName val="BANK STMT"/>
    </sheetNames>
    <sheetDataSet>
      <sheetData sheetId="0" refreshError="1"/>
      <sheetData sheetId="1" refreshError="1"/>
      <sheetData sheetId="2">
        <row r="7">
          <cell r="B7">
            <v>10546</v>
          </cell>
          <cell r="C7" t="str">
            <v>ANTARAM VIJAY KUMAR</v>
          </cell>
          <cell r="D7" t="str">
            <v>A SRIRAMULU</v>
          </cell>
          <cell r="E7" t="str">
            <v>Facility Executive</v>
          </cell>
          <cell r="F7" t="str">
            <v>P</v>
          </cell>
          <cell r="G7" t="str">
            <v>P</v>
          </cell>
          <cell r="H7" t="str">
            <v>P</v>
          </cell>
          <cell r="I7" t="str">
            <v>W/O</v>
          </cell>
          <cell r="J7" t="str">
            <v>P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P</v>
          </cell>
          <cell r="P7" t="str">
            <v>P</v>
          </cell>
          <cell r="Q7" t="str">
            <v>W/O</v>
          </cell>
          <cell r="R7" t="str">
            <v>P</v>
          </cell>
          <cell r="S7" t="str">
            <v>P</v>
          </cell>
          <cell r="T7" t="str">
            <v>P</v>
          </cell>
          <cell r="U7" t="str">
            <v>P</v>
          </cell>
          <cell r="V7" t="str">
            <v>P</v>
          </cell>
          <cell r="W7" t="str">
            <v>W/O</v>
          </cell>
          <cell r="X7" t="str">
            <v>P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P</v>
          </cell>
          <cell r="AC7" t="str">
            <v>P</v>
          </cell>
          <cell r="AD7" t="str">
            <v>P</v>
          </cell>
          <cell r="AE7" t="str">
            <v>W/O</v>
          </cell>
          <cell r="AF7" t="str">
            <v>P</v>
          </cell>
          <cell r="AG7" t="str">
            <v>P</v>
          </cell>
          <cell r="AH7" t="str">
            <v>P</v>
          </cell>
          <cell r="AI7" t="str">
            <v>P</v>
          </cell>
          <cell r="AJ7" t="str">
            <v>P</v>
          </cell>
          <cell r="AK7">
            <v>31</v>
          </cell>
          <cell r="AL7">
            <v>27</v>
          </cell>
          <cell r="AM7">
            <v>4</v>
          </cell>
          <cell r="AN7">
            <v>0</v>
          </cell>
          <cell r="AO7">
            <v>0</v>
          </cell>
          <cell r="AP7">
            <v>0</v>
          </cell>
          <cell r="AQ7">
            <v>31</v>
          </cell>
        </row>
        <row r="9">
          <cell r="B9">
            <v>10544</v>
          </cell>
          <cell r="C9" t="str">
            <v>SHAIK GHOUSE BASHA</v>
          </cell>
          <cell r="D9" t="str">
            <v>SHAIK BASHA</v>
          </cell>
          <cell r="E9" t="str">
            <v>HK SUPERVISOR</v>
          </cell>
          <cell r="F9" t="str">
            <v>P</v>
          </cell>
          <cell r="G9" t="str">
            <v>P</v>
          </cell>
          <cell r="H9" t="str">
            <v>P</v>
          </cell>
          <cell r="I9" t="str">
            <v>P</v>
          </cell>
          <cell r="J9" t="str">
            <v>W/O</v>
          </cell>
          <cell r="K9" t="str">
            <v>P</v>
          </cell>
          <cell r="L9" t="str">
            <v>P</v>
          </cell>
          <cell r="M9" t="str">
            <v>P</v>
          </cell>
          <cell r="N9" t="str">
            <v>P</v>
          </cell>
          <cell r="O9" t="str">
            <v>P</v>
          </cell>
          <cell r="P9" t="str">
            <v>W/O</v>
          </cell>
          <cell r="Q9" t="str">
            <v>P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P</v>
          </cell>
          <cell r="V9" t="str">
            <v>P</v>
          </cell>
          <cell r="W9" t="str">
            <v>P</v>
          </cell>
          <cell r="X9" t="str">
            <v>W/O</v>
          </cell>
          <cell r="Y9" t="str">
            <v>P</v>
          </cell>
          <cell r="Z9" t="str">
            <v>P</v>
          </cell>
          <cell r="AA9" t="str">
            <v>P</v>
          </cell>
          <cell r="AB9" t="str">
            <v>P</v>
          </cell>
          <cell r="AC9" t="str">
            <v>P</v>
          </cell>
          <cell r="AD9" t="str">
            <v>W/O</v>
          </cell>
          <cell r="AE9" t="str">
            <v>P</v>
          </cell>
          <cell r="AF9" t="str">
            <v>P</v>
          </cell>
          <cell r="AG9" t="str">
            <v>P</v>
          </cell>
          <cell r="AH9" t="str">
            <v>P</v>
          </cell>
          <cell r="AI9" t="str">
            <v>P</v>
          </cell>
          <cell r="AJ9" t="str">
            <v>P</v>
          </cell>
          <cell r="AK9">
            <v>31</v>
          </cell>
          <cell r="AL9">
            <v>27</v>
          </cell>
          <cell r="AM9">
            <v>4</v>
          </cell>
          <cell r="AN9">
            <v>0</v>
          </cell>
          <cell r="AO9">
            <v>0</v>
          </cell>
          <cell r="AP9">
            <v>0</v>
          </cell>
          <cell r="AQ9">
            <v>31</v>
          </cell>
        </row>
        <row r="11">
          <cell r="B11">
            <v>11552</v>
          </cell>
          <cell r="C11" t="str">
            <v>OMKAR</v>
          </cell>
          <cell r="E11" t="str">
            <v>Pantry Boy</v>
          </cell>
          <cell r="F11" t="str">
            <v>P</v>
          </cell>
          <cell r="G11" t="str">
            <v>P</v>
          </cell>
          <cell r="H11" t="str">
            <v>P</v>
          </cell>
          <cell r="I11" t="str">
            <v>P</v>
          </cell>
          <cell r="J11" t="str">
            <v>W/O</v>
          </cell>
          <cell r="K11" t="str">
            <v>A</v>
          </cell>
          <cell r="L11" t="str">
            <v>A</v>
          </cell>
          <cell r="M11" t="str">
            <v>P</v>
          </cell>
          <cell r="N11" t="str">
            <v>P</v>
          </cell>
          <cell r="O11" t="str">
            <v>P</v>
          </cell>
          <cell r="P11" t="str">
            <v>P</v>
          </cell>
          <cell r="Q11" t="str">
            <v>W/O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P</v>
          </cell>
          <cell r="V11" t="str">
            <v>P</v>
          </cell>
          <cell r="W11" t="str">
            <v>P</v>
          </cell>
          <cell r="X11" t="str">
            <v>W/O</v>
          </cell>
          <cell r="Y11" t="str">
            <v>P</v>
          </cell>
          <cell r="Z11" t="str">
            <v>P</v>
          </cell>
          <cell r="AA11" t="str">
            <v>P</v>
          </cell>
          <cell r="AB11" t="str">
            <v>P</v>
          </cell>
          <cell r="AC11" t="str">
            <v>P</v>
          </cell>
          <cell r="AD11" t="str">
            <v>P</v>
          </cell>
          <cell r="AE11" t="str">
            <v>W/O</v>
          </cell>
          <cell r="AF11" t="str">
            <v>P</v>
          </cell>
          <cell r="AG11" t="str">
            <v>P</v>
          </cell>
          <cell r="AH11" t="str">
            <v>P</v>
          </cell>
          <cell r="AI11" t="str">
            <v>P</v>
          </cell>
          <cell r="AJ11" t="str">
            <v>P</v>
          </cell>
          <cell r="AK11">
            <v>31</v>
          </cell>
          <cell r="AL11">
            <v>25</v>
          </cell>
          <cell r="AM11">
            <v>4</v>
          </cell>
          <cell r="AN11">
            <v>0</v>
          </cell>
          <cell r="AO11">
            <v>0</v>
          </cell>
          <cell r="AP11">
            <v>2</v>
          </cell>
          <cell r="AQ11">
            <v>29</v>
          </cell>
        </row>
        <row r="13">
          <cell r="B13">
            <v>10727</v>
          </cell>
          <cell r="C13" t="str">
            <v>BALLU</v>
          </cell>
          <cell r="D13" t="str">
            <v>Mullu noni</v>
          </cell>
          <cell r="E13" t="str">
            <v>House keeping</v>
          </cell>
          <cell r="F13" t="str">
            <v>P</v>
          </cell>
          <cell r="G13" t="str">
            <v>P</v>
          </cell>
          <cell r="H13" t="str">
            <v>P</v>
          </cell>
          <cell r="I13" t="str">
            <v>P</v>
          </cell>
          <cell r="J13" t="str">
            <v>W/O</v>
          </cell>
          <cell r="K13" t="str">
            <v>P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P</v>
          </cell>
          <cell r="P13" t="str">
            <v>W/O</v>
          </cell>
          <cell r="Q13" t="str">
            <v>P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P</v>
          </cell>
          <cell r="V13" t="str">
            <v>P</v>
          </cell>
          <cell r="W13" t="str">
            <v>P</v>
          </cell>
          <cell r="X13" t="str">
            <v>W/O</v>
          </cell>
          <cell r="Y13" t="str">
            <v>P</v>
          </cell>
          <cell r="Z13" t="str">
            <v>P</v>
          </cell>
          <cell r="AA13" t="str">
            <v>P</v>
          </cell>
          <cell r="AB13" t="str">
            <v>P</v>
          </cell>
          <cell r="AC13" t="str">
            <v>P</v>
          </cell>
          <cell r="AD13" t="str">
            <v>W/O</v>
          </cell>
          <cell r="AE13" t="str">
            <v>P</v>
          </cell>
          <cell r="AF13" t="str">
            <v>P</v>
          </cell>
          <cell r="AG13" t="str">
            <v>P</v>
          </cell>
          <cell r="AH13" t="str">
            <v>P</v>
          </cell>
          <cell r="AI13" t="str">
            <v>P</v>
          </cell>
          <cell r="AJ13" t="str">
            <v>P</v>
          </cell>
          <cell r="AK13">
            <v>31</v>
          </cell>
          <cell r="AL13">
            <v>27</v>
          </cell>
          <cell r="AM13">
            <v>4</v>
          </cell>
          <cell r="AN13">
            <v>0</v>
          </cell>
          <cell r="AO13">
            <v>0</v>
          </cell>
          <cell r="AP13">
            <v>0</v>
          </cell>
          <cell r="AQ13">
            <v>31</v>
          </cell>
        </row>
        <row r="15">
          <cell r="B15">
            <v>10961</v>
          </cell>
          <cell r="C15" t="str">
            <v>V.KRISHNAVENI</v>
          </cell>
          <cell r="D15" t="str">
            <v>JESTARAO</v>
          </cell>
          <cell r="E15" t="str">
            <v>House keeping</v>
          </cell>
          <cell r="F15" t="str">
            <v>P</v>
          </cell>
          <cell r="G15" t="str">
            <v>P</v>
          </cell>
          <cell r="H15" t="str">
            <v>P</v>
          </cell>
          <cell r="I15" t="str">
            <v>P</v>
          </cell>
          <cell r="J15" t="str">
            <v>W/O</v>
          </cell>
          <cell r="K15" t="str">
            <v>P</v>
          </cell>
          <cell r="L15" t="str">
            <v>P</v>
          </cell>
          <cell r="M15" t="str">
            <v>P</v>
          </cell>
          <cell r="N15" t="str">
            <v>P</v>
          </cell>
          <cell r="O15" t="str">
            <v>P</v>
          </cell>
          <cell r="P15" t="str">
            <v>P</v>
          </cell>
          <cell r="Q15" t="str">
            <v>W/O</v>
          </cell>
          <cell r="R15" t="str">
            <v>P</v>
          </cell>
          <cell r="S15" t="str">
            <v>P</v>
          </cell>
          <cell r="T15" t="str">
            <v>P</v>
          </cell>
          <cell r="U15" t="str">
            <v>P</v>
          </cell>
          <cell r="V15" t="str">
            <v>P</v>
          </cell>
          <cell r="W15" t="str">
            <v>W/O</v>
          </cell>
          <cell r="X15" t="str">
            <v>P</v>
          </cell>
          <cell r="Y15" t="str">
            <v>P</v>
          </cell>
          <cell r="Z15" t="str">
            <v>P</v>
          </cell>
          <cell r="AA15" t="str">
            <v>P</v>
          </cell>
          <cell r="AB15" t="str">
            <v>P</v>
          </cell>
          <cell r="AC15" t="str">
            <v>P</v>
          </cell>
          <cell r="AD15" t="str">
            <v>P</v>
          </cell>
          <cell r="AE15" t="str">
            <v>W/O</v>
          </cell>
          <cell r="AF15" t="str">
            <v>P</v>
          </cell>
          <cell r="AG15" t="str">
            <v>P</v>
          </cell>
          <cell r="AH15" t="str">
            <v>P</v>
          </cell>
          <cell r="AI15" t="str">
            <v>P</v>
          </cell>
          <cell r="AJ15" t="str">
            <v>P</v>
          </cell>
          <cell r="AK15">
            <v>31</v>
          </cell>
          <cell r="AL15">
            <v>27</v>
          </cell>
          <cell r="AM15">
            <v>4</v>
          </cell>
          <cell r="AN15">
            <v>0</v>
          </cell>
          <cell r="AO15">
            <v>0</v>
          </cell>
          <cell r="AP15">
            <v>0</v>
          </cell>
          <cell r="AQ15">
            <v>31</v>
          </cell>
        </row>
        <row r="17">
          <cell r="B17">
            <v>10968</v>
          </cell>
          <cell r="C17" t="str">
            <v>D.SWAPNA</v>
          </cell>
          <cell r="D17" t="str">
            <v>ANIL KUMAR DEVASANI</v>
          </cell>
          <cell r="E17" t="str">
            <v>House keeping</v>
          </cell>
          <cell r="F17" t="str">
            <v>P</v>
          </cell>
          <cell r="G17" t="str">
            <v>P</v>
          </cell>
          <cell r="H17" t="str">
            <v>P</v>
          </cell>
          <cell r="I17" t="str">
            <v>W/O</v>
          </cell>
          <cell r="J17" t="str">
            <v>P</v>
          </cell>
          <cell r="K17" t="str">
            <v>P</v>
          </cell>
          <cell r="L17" t="str">
            <v>P</v>
          </cell>
          <cell r="M17" t="str">
            <v>P</v>
          </cell>
          <cell r="N17" t="str">
            <v>P</v>
          </cell>
          <cell r="O17" t="str">
            <v>P</v>
          </cell>
          <cell r="P17" t="str">
            <v>P</v>
          </cell>
          <cell r="Q17" t="str">
            <v>W/O</v>
          </cell>
          <cell r="R17" t="str">
            <v>P</v>
          </cell>
          <cell r="S17" t="str">
            <v>P</v>
          </cell>
          <cell r="T17" t="str">
            <v>P</v>
          </cell>
          <cell r="U17" t="str">
            <v>A</v>
          </cell>
          <cell r="V17" t="str">
            <v>P</v>
          </cell>
          <cell r="W17" t="str">
            <v>P</v>
          </cell>
          <cell r="X17" t="str">
            <v>W/O</v>
          </cell>
          <cell r="Y17" t="str">
            <v>P</v>
          </cell>
          <cell r="Z17" t="str">
            <v>P</v>
          </cell>
          <cell r="AA17" t="str">
            <v>P</v>
          </cell>
          <cell r="AB17" t="str">
            <v>P</v>
          </cell>
          <cell r="AC17" t="str">
            <v>P</v>
          </cell>
          <cell r="AD17" t="str">
            <v>P</v>
          </cell>
          <cell r="AE17" t="str">
            <v>W/O</v>
          </cell>
          <cell r="AF17" t="str">
            <v>P</v>
          </cell>
          <cell r="AG17" t="str">
            <v>P</v>
          </cell>
          <cell r="AH17" t="str">
            <v>P</v>
          </cell>
          <cell r="AI17" t="str">
            <v>P</v>
          </cell>
          <cell r="AJ17" t="str">
            <v>P</v>
          </cell>
          <cell r="AK17">
            <v>31</v>
          </cell>
          <cell r="AL17">
            <v>26</v>
          </cell>
          <cell r="AM17">
            <v>4</v>
          </cell>
          <cell r="AN17">
            <v>0</v>
          </cell>
          <cell r="AO17">
            <v>0</v>
          </cell>
          <cell r="AP17">
            <v>1</v>
          </cell>
          <cell r="AQ17">
            <v>30</v>
          </cell>
        </row>
        <row r="19">
          <cell r="B19">
            <v>11067</v>
          </cell>
          <cell r="C19" t="str">
            <v>ANURADHA</v>
          </cell>
          <cell r="E19" t="str">
            <v>House keeping</v>
          </cell>
          <cell r="F19" t="str">
            <v>P</v>
          </cell>
          <cell r="G19" t="str">
            <v>P</v>
          </cell>
          <cell r="H19" t="str">
            <v>P</v>
          </cell>
          <cell r="I19" t="str">
            <v>P</v>
          </cell>
          <cell r="J19" t="str">
            <v>W/O</v>
          </cell>
          <cell r="K19" t="str">
            <v>P</v>
          </cell>
          <cell r="L19" t="str">
            <v>P</v>
          </cell>
          <cell r="M19" t="str">
            <v>P</v>
          </cell>
          <cell r="N19" t="str">
            <v>P</v>
          </cell>
          <cell r="O19" t="str">
            <v>P</v>
          </cell>
          <cell r="P19" t="str">
            <v>P</v>
          </cell>
          <cell r="Q19" t="str">
            <v>W/O</v>
          </cell>
          <cell r="R19" t="str">
            <v>P</v>
          </cell>
          <cell r="S19" t="str">
            <v>P</v>
          </cell>
          <cell r="T19" t="str">
            <v>P</v>
          </cell>
          <cell r="U19" t="str">
            <v>P</v>
          </cell>
          <cell r="V19" t="str">
            <v>P</v>
          </cell>
          <cell r="W19" t="str">
            <v>P</v>
          </cell>
          <cell r="X19" t="str">
            <v>W/O</v>
          </cell>
          <cell r="Y19" t="str">
            <v>P</v>
          </cell>
          <cell r="Z19" t="str">
            <v>P</v>
          </cell>
          <cell r="AA19" t="str">
            <v>P</v>
          </cell>
          <cell r="AB19" t="str">
            <v>P</v>
          </cell>
          <cell r="AC19" t="str">
            <v>P</v>
          </cell>
          <cell r="AD19" t="str">
            <v>P</v>
          </cell>
          <cell r="AE19" t="str">
            <v>W/O</v>
          </cell>
          <cell r="AF19" t="str">
            <v>P</v>
          </cell>
          <cell r="AG19" t="str">
            <v>P</v>
          </cell>
          <cell r="AH19" t="str">
            <v>P</v>
          </cell>
          <cell r="AI19" t="str">
            <v>P</v>
          </cell>
          <cell r="AJ19" t="str">
            <v>P</v>
          </cell>
          <cell r="AK19">
            <v>31</v>
          </cell>
          <cell r="AL19">
            <v>27</v>
          </cell>
          <cell r="AM19">
            <v>4</v>
          </cell>
          <cell r="AN19">
            <v>0</v>
          </cell>
          <cell r="AO19">
            <v>0</v>
          </cell>
          <cell r="AP19">
            <v>0</v>
          </cell>
          <cell r="AQ19">
            <v>31</v>
          </cell>
        </row>
        <row r="21">
          <cell r="B21">
            <v>11926</v>
          </cell>
          <cell r="C21" t="str">
            <v>B.Shanthi</v>
          </cell>
          <cell r="E21" t="str">
            <v>House keeping</v>
          </cell>
          <cell r="F21" t="str">
            <v>P</v>
          </cell>
          <cell r="G21" t="str">
            <v>P</v>
          </cell>
          <cell r="H21" t="str">
            <v>P</v>
          </cell>
          <cell r="I21" t="str">
            <v>P</v>
          </cell>
          <cell r="J21" t="str">
            <v>W/O</v>
          </cell>
          <cell r="K21" t="str">
            <v>P</v>
          </cell>
          <cell r="L21" t="str">
            <v>P</v>
          </cell>
          <cell r="M21" t="str">
            <v>P</v>
          </cell>
          <cell r="N21" t="str">
            <v>P</v>
          </cell>
          <cell r="O21" t="str">
            <v>P</v>
          </cell>
          <cell r="P21" t="str">
            <v>W/O</v>
          </cell>
          <cell r="Q21" t="str">
            <v>P</v>
          </cell>
          <cell r="R21" t="str">
            <v>P</v>
          </cell>
          <cell r="S21" t="str">
            <v>P</v>
          </cell>
          <cell r="T21" t="str">
            <v>P</v>
          </cell>
          <cell r="U21" t="str">
            <v>P</v>
          </cell>
          <cell r="V21" t="str">
            <v>P</v>
          </cell>
          <cell r="W21" t="str">
            <v>P</v>
          </cell>
          <cell r="X21" t="str">
            <v>W/O</v>
          </cell>
          <cell r="Y21" t="str">
            <v>P</v>
          </cell>
          <cell r="Z21" t="str">
            <v>P</v>
          </cell>
          <cell r="AA21" t="str">
            <v>P</v>
          </cell>
          <cell r="AB21" t="str">
            <v>P</v>
          </cell>
          <cell r="AC21" t="str">
            <v>P</v>
          </cell>
          <cell r="AD21" t="str">
            <v>P</v>
          </cell>
          <cell r="AE21" t="str">
            <v>W/O</v>
          </cell>
          <cell r="AF21" t="str">
            <v>P</v>
          </cell>
          <cell r="AG21" t="str">
            <v>P</v>
          </cell>
          <cell r="AH21" t="str">
            <v>P</v>
          </cell>
          <cell r="AI21" t="str">
            <v>P</v>
          </cell>
          <cell r="AJ21" t="str">
            <v>P</v>
          </cell>
          <cell r="AK21">
            <v>31</v>
          </cell>
          <cell r="AL21">
            <v>27</v>
          </cell>
          <cell r="AM21">
            <v>4</v>
          </cell>
          <cell r="AN21">
            <v>0</v>
          </cell>
          <cell r="AO21">
            <v>0</v>
          </cell>
          <cell r="AP21">
            <v>0</v>
          </cell>
          <cell r="AQ21">
            <v>31</v>
          </cell>
        </row>
        <row r="23">
          <cell r="B23">
            <v>10582</v>
          </cell>
          <cell r="C23" t="str">
            <v xml:space="preserve">SHAMSHAD </v>
          </cell>
          <cell r="E23" t="str">
            <v>MST</v>
          </cell>
          <cell r="F23" t="str">
            <v>P</v>
          </cell>
          <cell r="G23" t="str">
            <v>P</v>
          </cell>
          <cell r="H23" t="str">
            <v>P</v>
          </cell>
          <cell r="I23" t="str">
            <v>W/O</v>
          </cell>
          <cell r="J23" t="str">
            <v>P</v>
          </cell>
          <cell r="K23" t="str">
            <v>P</v>
          </cell>
          <cell r="L23" t="str">
            <v>P</v>
          </cell>
          <cell r="M23" t="str">
            <v>P</v>
          </cell>
          <cell r="N23" t="str">
            <v>P</v>
          </cell>
          <cell r="O23" t="str">
            <v>P</v>
          </cell>
          <cell r="P23" t="str">
            <v>P</v>
          </cell>
          <cell r="Q23" t="str">
            <v>W/O</v>
          </cell>
          <cell r="R23" t="str">
            <v>P</v>
          </cell>
          <cell r="S23" t="str">
            <v>P</v>
          </cell>
          <cell r="T23" t="str">
            <v>P</v>
          </cell>
          <cell r="U23" t="str">
            <v>P</v>
          </cell>
          <cell r="V23" t="str">
            <v>P</v>
          </cell>
          <cell r="W23" t="str">
            <v>W/O</v>
          </cell>
          <cell r="X23" t="str">
            <v>P</v>
          </cell>
          <cell r="Y23" t="str">
            <v>P</v>
          </cell>
          <cell r="Z23" t="str">
            <v>P</v>
          </cell>
          <cell r="AA23" t="str">
            <v>P</v>
          </cell>
          <cell r="AB23" t="str">
            <v>P</v>
          </cell>
          <cell r="AC23" t="str">
            <v>P</v>
          </cell>
          <cell r="AD23" t="str">
            <v>P</v>
          </cell>
          <cell r="AE23" t="str">
            <v>W/O</v>
          </cell>
          <cell r="AF23" t="str">
            <v>P</v>
          </cell>
          <cell r="AG23" t="str">
            <v>P</v>
          </cell>
          <cell r="AH23" t="str">
            <v>P</v>
          </cell>
          <cell r="AI23" t="str">
            <v>P</v>
          </cell>
          <cell r="AJ23" t="str">
            <v>P</v>
          </cell>
          <cell r="AK23">
            <v>31</v>
          </cell>
          <cell r="AL23">
            <v>27</v>
          </cell>
          <cell r="AM23">
            <v>4</v>
          </cell>
          <cell r="AN23">
            <v>0</v>
          </cell>
          <cell r="AO23">
            <v>0</v>
          </cell>
          <cell r="AP23">
            <v>0</v>
          </cell>
          <cell r="AQ23">
            <v>31</v>
          </cell>
        </row>
        <row r="25">
          <cell r="B25">
            <v>11818</v>
          </cell>
          <cell r="C25" t="str">
            <v>GOURI SHANKAR</v>
          </cell>
          <cell r="E25" t="str">
            <v>House keeping</v>
          </cell>
          <cell r="F25" t="str">
            <v>P</v>
          </cell>
          <cell r="G25" t="str">
            <v>P</v>
          </cell>
          <cell r="H25" t="str">
            <v>P</v>
          </cell>
          <cell r="I25" t="str">
            <v>W/O</v>
          </cell>
          <cell r="J25" t="str">
            <v>P</v>
          </cell>
          <cell r="K25" t="str">
            <v>P</v>
          </cell>
          <cell r="L25" t="str">
            <v>A</v>
          </cell>
          <cell r="M25" t="str">
            <v>P</v>
          </cell>
          <cell r="N25" t="str">
            <v>P</v>
          </cell>
          <cell r="O25" t="str">
            <v>P</v>
          </cell>
          <cell r="P25" t="str">
            <v>P</v>
          </cell>
          <cell r="Q25" t="str">
            <v>W/O</v>
          </cell>
          <cell r="R25" t="str">
            <v>P</v>
          </cell>
          <cell r="S25" t="str">
            <v>P</v>
          </cell>
          <cell r="T25" t="str">
            <v>P</v>
          </cell>
          <cell r="U25" t="str">
            <v>P</v>
          </cell>
          <cell r="V25" t="str">
            <v>P</v>
          </cell>
          <cell r="W25" t="str">
            <v>W/O</v>
          </cell>
          <cell r="X25" t="str">
            <v>P</v>
          </cell>
          <cell r="Y25" t="str">
            <v>P</v>
          </cell>
          <cell r="Z25" t="str">
            <v>P</v>
          </cell>
          <cell r="AA25" t="str">
            <v>P</v>
          </cell>
          <cell r="AB25" t="str">
            <v>P</v>
          </cell>
          <cell r="AC25" t="str">
            <v>P</v>
          </cell>
          <cell r="AD25" t="str">
            <v>W/O</v>
          </cell>
          <cell r="AE25" t="str">
            <v>P</v>
          </cell>
          <cell r="AF25" t="str">
            <v>P</v>
          </cell>
          <cell r="AG25" t="str">
            <v>P</v>
          </cell>
          <cell r="AH25" t="str">
            <v>P</v>
          </cell>
          <cell r="AI25" t="str">
            <v>P</v>
          </cell>
          <cell r="AJ25" t="str">
            <v>P</v>
          </cell>
          <cell r="AK25">
            <v>31</v>
          </cell>
          <cell r="AL25">
            <v>26</v>
          </cell>
          <cell r="AM25">
            <v>4</v>
          </cell>
          <cell r="AN25">
            <v>0</v>
          </cell>
          <cell r="AO25">
            <v>0</v>
          </cell>
          <cell r="AP25">
            <v>1</v>
          </cell>
          <cell r="AQ25">
            <v>30</v>
          </cell>
        </row>
        <row r="27">
          <cell r="B27">
            <v>11815</v>
          </cell>
          <cell r="C27" t="str">
            <v>SRILATHA</v>
          </cell>
          <cell r="E27" t="str">
            <v>House keeping</v>
          </cell>
          <cell r="F27" t="str">
            <v>P</v>
          </cell>
          <cell r="G27" t="str">
            <v>P</v>
          </cell>
          <cell r="H27" t="str">
            <v>P</v>
          </cell>
          <cell r="I27" t="str">
            <v>P</v>
          </cell>
          <cell r="J27" t="str">
            <v>W/O</v>
          </cell>
          <cell r="K27" t="str">
            <v>P</v>
          </cell>
          <cell r="L27" t="str">
            <v>P</v>
          </cell>
          <cell r="M27" t="str">
            <v>P</v>
          </cell>
          <cell r="N27" t="str">
            <v>P</v>
          </cell>
          <cell r="O27" t="str">
            <v>P</v>
          </cell>
          <cell r="P27" t="str">
            <v>W/O</v>
          </cell>
          <cell r="Q27" t="str">
            <v>P</v>
          </cell>
          <cell r="R27" t="str">
            <v>P</v>
          </cell>
          <cell r="S27" t="str">
            <v>P</v>
          </cell>
          <cell r="T27" t="str">
            <v>P</v>
          </cell>
          <cell r="U27" t="str">
            <v>P</v>
          </cell>
          <cell r="V27" t="str">
            <v>P</v>
          </cell>
          <cell r="W27" t="str">
            <v>W/O</v>
          </cell>
          <cell r="X27" t="str">
            <v>P</v>
          </cell>
          <cell r="Y27" t="str">
            <v>P</v>
          </cell>
          <cell r="Z27" t="str">
            <v>P</v>
          </cell>
          <cell r="AA27" t="str">
            <v>P</v>
          </cell>
          <cell r="AB27" t="str">
            <v>P</v>
          </cell>
          <cell r="AC27" t="str">
            <v>P</v>
          </cell>
          <cell r="AD27" t="str">
            <v>P</v>
          </cell>
          <cell r="AE27" t="str">
            <v>W/O</v>
          </cell>
          <cell r="AF27" t="str">
            <v>P</v>
          </cell>
          <cell r="AG27" t="str">
            <v>P</v>
          </cell>
          <cell r="AH27" t="str">
            <v>P</v>
          </cell>
          <cell r="AI27" t="str">
            <v>P</v>
          </cell>
          <cell r="AJ27" t="str">
            <v>P</v>
          </cell>
          <cell r="AK27">
            <v>31</v>
          </cell>
          <cell r="AL27">
            <v>27</v>
          </cell>
          <cell r="AM27">
            <v>4</v>
          </cell>
          <cell r="AN27">
            <v>0</v>
          </cell>
          <cell r="AO27">
            <v>0</v>
          </cell>
          <cell r="AP27">
            <v>0</v>
          </cell>
          <cell r="AQ27">
            <v>31</v>
          </cell>
        </row>
        <row r="29">
          <cell r="B29">
            <v>11816</v>
          </cell>
          <cell r="C29" t="str">
            <v>Diljan Begum</v>
          </cell>
          <cell r="E29" t="str">
            <v>House keeping</v>
          </cell>
          <cell r="F29" t="str">
            <v>P</v>
          </cell>
          <cell r="G29" t="str">
            <v>P</v>
          </cell>
          <cell r="H29" t="str">
            <v>P</v>
          </cell>
          <cell r="I29" t="str">
            <v>W/O</v>
          </cell>
          <cell r="J29" t="str">
            <v>P</v>
          </cell>
          <cell r="K29" t="str">
            <v>P</v>
          </cell>
          <cell r="L29" t="str">
            <v>P</v>
          </cell>
          <cell r="M29" t="str">
            <v>P</v>
          </cell>
          <cell r="N29" t="str">
            <v>P</v>
          </cell>
          <cell r="O29" t="str">
            <v>P</v>
          </cell>
          <cell r="P29" t="str">
            <v>P</v>
          </cell>
          <cell r="Q29" t="str">
            <v>W/O</v>
          </cell>
          <cell r="R29" t="str">
            <v>P</v>
          </cell>
          <cell r="S29" t="str">
            <v>P</v>
          </cell>
          <cell r="T29" t="str">
            <v>P</v>
          </cell>
          <cell r="U29" t="str">
            <v>P</v>
          </cell>
          <cell r="V29" t="str">
            <v>P</v>
          </cell>
          <cell r="W29" t="str">
            <v>P</v>
          </cell>
          <cell r="X29" t="str">
            <v>W/O</v>
          </cell>
          <cell r="Y29" t="str">
            <v>P</v>
          </cell>
          <cell r="Z29" t="str">
            <v>P</v>
          </cell>
          <cell r="AA29" t="str">
            <v>P</v>
          </cell>
          <cell r="AB29" t="str">
            <v>P</v>
          </cell>
          <cell r="AC29" t="str">
            <v>P</v>
          </cell>
          <cell r="AD29" t="str">
            <v>W/O</v>
          </cell>
          <cell r="AE29" t="str">
            <v>P</v>
          </cell>
          <cell r="AF29" t="str">
            <v>P</v>
          </cell>
          <cell r="AG29" t="str">
            <v>P</v>
          </cell>
          <cell r="AH29" t="str">
            <v>P</v>
          </cell>
          <cell r="AI29" t="str">
            <v>P</v>
          </cell>
          <cell r="AJ29" t="str">
            <v>P</v>
          </cell>
          <cell r="AK29">
            <v>31</v>
          </cell>
          <cell r="AL29">
            <v>27</v>
          </cell>
          <cell r="AM29">
            <v>4</v>
          </cell>
          <cell r="AN29">
            <v>0</v>
          </cell>
          <cell r="AO29">
            <v>0</v>
          </cell>
          <cell r="AP29">
            <v>0</v>
          </cell>
          <cell r="AQ29">
            <v>31</v>
          </cell>
        </row>
        <row r="31">
          <cell r="B31">
            <v>10213</v>
          </cell>
          <cell r="C31" t="str">
            <v>Madhusudan</v>
          </cell>
          <cell r="E31" t="str">
            <v>MST</v>
          </cell>
          <cell r="F31" t="str">
            <v>P</v>
          </cell>
          <cell r="G31" t="str">
            <v>P</v>
          </cell>
          <cell r="H31" t="str">
            <v>P</v>
          </cell>
          <cell r="I31" t="str">
            <v>P</v>
          </cell>
          <cell r="J31" t="str">
            <v>W/O</v>
          </cell>
          <cell r="K31" t="str">
            <v>P</v>
          </cell>
          <cell r="L31" t="str">
            <v>P</v>
          </cell>
          <cell r="M31" t="str">
            <v>P</v>
          </cell>
          <cell r="N31" t="str">
            <v>P</v>
          </cell>
          <cell r="O31" t="str">
            <v>P</v>
          </cell>
          <cell r="P31" t="str">
            <v>P</v>
          </cell>
          <cell r="Q31" t="str">
            <v>W/O</v>
          </cell>
          <cell r="R31" t="str">
            <v>P</v>
          </cell>
          <cell r="S31" t="str">
            <v>P</v>
          </cell>
          <cell r="T31" t="str">
            <v>P</v>
          </cell>
          <cell r="U31" t="str">
            <v>P</v>
          </cell>
          <cell r="V31" t="str">
            <v>P</v>
          </cell>
          <cell r="W31" t="str">
            <v>P</v>
          </cell>
          <cell r="X31" t="str">
            <v>W/O</v>
          </cell>
          <cell r="Y31" t="str">
            <v>A</v>
          </cell>
          <cell r="Z31" t="str">
            <v>P</v>
          </cell>
          <cell r="AA31" t="str">
            <v>A</v>
          </cell>
          <cell r="AB31" t="str">
            <v>A</v>
          </cell>
          <cell r="AC31" t="str">
            <v>P</v>
          </cell>
          <cell r="AD31" t="str">
            <v>P</v>
          </cell>
          <cell r="AE31" t="str">
            <v>W/O</v>
          </cell>
          <cell r="AF31" t="str">
            <v>P</v>
          </cell>
          <cell r="AG31" t="str">
            <v>P</v>
          </cell>
          <cell r="AH31" t="str">
            <v>P</v>
          </cell>
          <cell r="AI31" t="str">
            <v>P</v>
          </cell>
          <cell r="AJ31" t="str">
            <v>P</v>
          </cell>
          <cell r="AK31">
            <v>31</v>
          </cell>
          <cell r="AL31">
            <v>24</v>
          </cell>
          <cell r="AM31">
            <v>4</v>
          </cell>
          <cell r="AN31">
            <v>0</v>
          </cell>
          <cell r="AO31">
            <v>0</v>
          </cell>
          <cell r="AP31">
            <v>3</v>
          </cell>
          <cell r="AQ31">
            <v>28</v>
          </cell>
        </row>
        <row r="33">
          <cell r="B33">
            <v>11915</v>
          </cell>
          <cell r="C33" t="str">
            <v>N.Srinivas</v>
          </cell>
          <cell r="E33" t="str">
            <v>House keeping</v>
          </cell>
          <cell r="F33" t="str">
            <v>P</v>
          </cell>
          <cell r="G33" t="str">
            <v>P</v>
          </cell>
          <cell r="H33" t="str">
            <v>P</v>
          </cell>
          <cell r="I33" t="str">
            <v>P</v>
          </cell>
          <cell r="J33" t="str">
            <v>W/O</v>
          </cell>
          <cell r="K33" t="str">
            <v>P</v>
          </cell>
          <cell r="L33" t="str">
            <v>P</v>
          </cell>
          <cell r="M33" t="str">
            <v>P</v>
          </cell>
          <cell r="N33" t="str">
            <v>P</v>
          </cell>
          <cell r="O33" t="str">
            <v>P</v>
          </cell>
          <cell r="P33" t="str">
            <v>W/O</v>
          </cell>
          <cell r="Q33" t="str">
            <v>P</v>
          </cell>
          <cell r="R33" t="str">
            <v>P</v>
          </cell>
          <cell r="S33" t="str">
            <v>P</v>
          </cell>
          <cell r="T33" t="str">
            <v>P</v>
          </cell>
          <cell r="U33" t="str">
            <v>P</v>
          </cell>
          <cell r="V33" t="str">
            <v>P</v>
          </cell>
          <cell r="W33" t="str">
            <v>P</v>
          </cell>
          <cell r="X33" t="str">
            <v>W/O</v>
          </cell>
          <cell r="Y33" t="str">
            <v>P</v>
          </cell>
          <cell r="Z33" t="str">
            <v>P</v>
          </cell>
          <cell r="AA33" t="str">
            <v>P</v>
          </cell>
          <cell r="AB33" t="str">
            <v>P</v>
          </cell>
          <cell r="AC33" t="str">
            <v>P</v>
          </cell>
          <cell r="AD33" t="str">
            <v>P</v>
          </cell>
          <cell r="AE33" t="str">
            <v>W/O</v>
          </cell>
          <cell r="AF33" t="str">
            <v>A</v>
          </cell>
          <cell r="AG33" t="str">
            <v>P</v>
          </cell>
          <cell r="AH33" t="str">
            <v>P</v>
          </cell>
          <cell r="AI33" t="str">
            <v>P</v>
          </cell>
          <cell r="AJ33" t="str">
            <v>P</v>
          </cell>
          <cell r="AK33">
            <v>31</v>
          </cell>
          <cell r="AL33">
            <v>26</v>
          </cell>
          <cell r="AM33">
            <v>4</v>
          </cell>
          <cell r="AN33">
            <v>0</v>
          </cell>
          <cell r="AO33">
            <v>0</v>
          </cell>
          <cell r="AP33">
            <v>1</v>
          </cell>
          <cell r="AQ33">
            <v>30</v>
          </cell>
        </row>
        <row r="35">
          <cell r="B35">
            <v>12012</v>
          </cell>
          <cell r="C35" t="str">
            <v>Muksidul Islam</v>
          </cell>
          <cell r="E35" t="str">
            <v>House keeping</v>
          </cell>
          <cell r="F35" t="str">
            <v>P</v>
          </cell>
          <cell r="G35" t="str">
            <v>P</v>
          </cell>
          <cell r="H35" t="str">
            <v>P</v>
          </cell>
          <cell r="I35" t="str">
            <v>P</v>
          </cell>
          <cell r="J35" t="str">
            <v>W/O</v>
          </cell>
          <cell r="K35" t="str">
            <v>P</v>
          </cell>
          <cell r="L35" t="str">
            <v>P</v>
          </cell>
          <cell r="M35" t="str">
            <v>P</v>
          </cell>
          <cell r="N35" t="str">
            <v>P</v>
          </cell>
          <cell r="O35" t="str">
            <v>P</v>
          </cell>
          <cell r="P35" t="str">
            <v>W/O</v>
          </cell>
          <cell r="Q35" t="str">
            <v>P</v>
          </cell>
          <cell r="R35" t="str">
            <v>P</v>
          </cell>
          <cell r="S35" t="str">
            <v>P</v>
          </cell>
          <cell r="T35" t="str">
            <v>P</v>
          </cell>
          <cell r="U35" t="str">
            <v>P</v>
          </cell>
          <cell r="V35" t="str">
            <v>P</v>
          </cell>
          <cell r="W35" t="str">
            <v>P</v>
          </cell>
          <cell r="X35" t="str">
            <v>W/O</v>
          </cell>
          <cell r="Y35" t="str">
            <v>P</v>
          </cell>
          <cell r="Z35" t="str">
            <v>P</v>
          </cell>
          <cell r="AA35" t="str">
            <v>P</v>
          </cell>
          <cell r="AB35" t="str">
            <v>P</v>
          </cell>
          <cell r="AC35" t="str">
            <v>P</v>
          </cell>
          <cell r="AD35" t="str">
            <v>W/O</v>
          </cell>
          <cell r="AE35" t="str">
            <v>P</v>
          </cell>
          <cell r="AF35" t="str">
            <v>P</v>
          </cell>
          <cell r="AG35" t="str">
            <v>P</v>
          </cell>
          <cell r="AH35" t="str">
            <v>P</v>
          </cell>
          <cell r="AI35" t="str">
            <v>P</v>
          </cell>
          <cell r="AJ35" t="str">
            <v>P</v>
          </cell>
          <cell r="AK35">
            <v>31</v>
          </cell>
          <cell r="AL35">
            <v>27</v>
          </cell>
          <cell r="AM35">
            <v>4</v>
          </cell>
          <cell r="AN35">
            <v>0</v>
          </cell>
          <cell r="AO35">
            <v>0</v>
          </cell>
          <cell r="AP35">
            <v>0</v>
          </cell>
          <cell r="AQ35">
            <v>31</v>
          </cell>
        </row>
        <row r="37">
          <cell r="B37" t="str">
            <v>REP</v>
          </cell>
          <cell r="C37" t="str">
            <v>Vara Prasad</v>
          </cell>
          <cell r="E37" t="str">
            <v>MST</v>
          </cell>
          <cell r="Y37" t="str">
            <v>P</v>
          </cell>
          <cell r="AK37">
            <v>31</v>
          </cell>
          <cell r="AL37">
            <v>1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1</v>
          </cell>
        </row>
        <row r="39">
          <cell r="B39" t="str">
            <v>REPLACEMENT</v>
          </cell>
          <cell r="C39" t="str">
            <v>MD.Ibrahim Ali</v>
          </cell>
          <cell r="E39" t="str">
            <v>House keeping</v>
          </cell>
          <cell r="AF39" t="str">
            <v>P</v>
          </cell>
          <cell r="AK39">
            <v>31</v>
          </cell>
          <cell r="AL39">
            <v>1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1</v>
          </cell>
        </row>
        <row r="41">
          <cell r="B41" t="str">
            <v>REP</v>
          </cell>
          <cell r="C41" t="str">
            <v>Santosh</v>
          </cell>
          <cell r="E41" t="str">
            <v>MST</v>
          </cell>
          <cell r="AA41" t="str">
            <v>P</v>
          </cell>
          <cell r="AB41" t="str">
            <v>P</v>
          </cell>
          <cell r="AK41">
            <v>31</v>
          </cell>
          <cell r="AL41">
            <v>2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2</v>
          </cell>
        </row>
        <row r="43">
          <cell r="B43">
            <v>12065</v>
          </cell>
          <cell r="C43" t="str">
            <v>Parat Kumar</v>
          </cell>
          <cell r="E43" t="str">
            <v>House keeping</v>
          </cell>
          <cell r="F43" t="str">
            <v>P</v>
          </cell>
          <cell r="G43" t="str">
            <v>P</v>
          </cell>
          <cell r="H43" t="str">
            <v>A</v>
          </cell>
          <cell r="I43" t="str">
            <v>W/O</v>
          </cell>
          <cell r="J43" t="str">
            <v>P</v>
          </cell>
          <cell r="K43" t="str">
            <v>P</v>
          </cell>
          <cell r="L43" t="str">
            <v>P</v>
          </cell>
          <cell r="M43" t="str">
            <v>P</v>
          </cell>
          <cell r="N43" t="str">
            <v>P</v>
          </cell>
          <cell r="O43" t="str">
            <v>P</v>
          </cell>
          <cell r="P43" t="str">
            <v>P</v>
          </cell>
          <cell r="Q43" t="str">
            <v>W/O</v>
          </cell>
          <cell r="R43" t="str">
            <v>P</v>
          </cell>
          <cell r="S43" t="str">
            <v>P</v>
          </cell>
          <cell r="T43" t="str">
            <v>P</v>
          </cell>
          <cell r="U43" t="str">
            <v>P</v>
          </cell>
          <cell r="V43" t="str">
            <v>P</v>
          </cell>
          <cell r="W43" t="str">
            <v>P</v>
          </cell>
          <cell r="X43" t="str">
            <v>W/O</v>
          </cell>
          <cell r="Y43" t="str">
            <v>P</v>
          </cell>
          <cell r="Z43" t="str">
            <v>P</v>
          </cell>
          <cell r="AA43" t="str">
            <v>P</v>
          </cell>
          <cell r="AB43" t="str">
            <v>P</v>
          </cell>
          <cell r="AC43" t="str">
            <v>P</v>
          </cell>
          <cell r="AD43" t="str">
            <v>P</v>
          </cell>
          <cell r="AE43" t="str">
            <v>W/O</v>
          </cell>
          <cell r="AF43" t="str">
            <v>P</v>
          </cell>
          <cell r="AG43" t="str">
            <v>P</v>
          </cell>
          <cell r="AH43" t="str">
            <v>P</v>
          </cell>
          <cell r="AI43" t="str">
            <v>P</v>
          </cell>
          <cell r="AJ43" t="str">
            <v>P</v>
          </cell>
          <cell r="AK43">
            <v>31</v>
          </cell>
          <cell r="AL43">
            <v>26</v>
          </cell>
          <cell r="AM43">
            <v>4</v>
          </cell>
          <cell r="AN43">
            <v>0</v>
          </cell>
          <cell r="AO43">
            <v>0</v>
          </cell>
          <cell r="AP43">
            <v>1</v>
          </cell>
          <cell r="AQ43">
            <v>30</v>
          </cell>
        </row>
        <row r="45">
          <cell r="AK45">
            <v>589</v>
          </cell>
          <cell r="AL45">
            <v>427</v>
          </cell>
          <cell r="AM45">
            <v>64</v>
          </cell>
          <cell r="AN45">
            <v>0</v>
          </cell>
          <cell r="AO45">
            <v>0</v>
          </cell>
          <cell r="AP45">
            <v>9</v>
          </cell>
          <cell r="AQ45">
            <v>491</v>
          </cell>
        </row>
      </sheetData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 "/>
      <sheetName val="BANK STMT"/>
    </sheetNames>
    <sheetDataSet>
      <sheetData sheetId="0" refreshError="1"/>
      <sheetData sheetId="1">
        <row r="7">
          <cell r="B7">
            <v>10305</v>
          </cell>
          <cell r="C7" t="str">
            <v>MUKKERA RAVI KUMAR</v>
          </cell>
          <cell r="D7" t="str">
            <v>Office Boy</v>
          </cell>
          <cell r="E7" t="str">
            <v>RAMULU</v>
          </cell>
          <cell r="F7" t="str">
            <v xml:space="preserve">Attendance </v>
          </cell>
          <cell r="G7" t="str">
            <v>P</v>
          </cell>
          <cell r="H7" t="str">
            <v>P</v>
          </cell>
          <cell r="I7" t="str">
            <v>P</v>
          </cell>
          <cell r="J7" t="str">
            <v>P</v>
          </cell>
          <cell r="K7" t="str">
            <v>W/O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P</v>
          </cell>
          <cell r="P7" t="str">
            <v>P</v>
          </cell>
          <cell r="Q7">
            <v>5</v>
          </cell>
          <cell r="R7" t="str">
            <v>W/O</v>
          </cell>
          <cell r="S7" t="str">
            <v>P</v>
          </cell>
          <cell r="T7" t="str">
            <v>P</v>
          </cell>
          <cell r="U7" t="str">
            <v>P</v>
          </cell>
          <cell r="V7" t="str">
            <v>P</v>
          </cell>
          <cell r="W7" t="str">
            <v>P</v>
          </cell>
          <cell r="X7" t="str">
            <v>P</v>
          </cell>
          <cell r="Y7" t="str">
            <v>W/O</v>
          </cell>
          <cell r="Z7" t="str">
            <v>P</v>
          </cell>
          <cell r="AA7" t="str">
            <v>P</v>
          </cell>
          <cell r="AB7" t="str">
            <v>P</v>
          </cell>
          <cell r="AC7" t="str">
            <v>P</v>
          </cell>
          <cell r="AD7" t="str">
            <v>P</v>
          </cell>
          <cell r="AE7" t="str">
            <v>P</v>
          </cell>
          <cell r="AF7" t="str">
            <v>W/O</v>
          </cell>
          <cell r="AG7" t="str">
            <v>P</v>
          </cell>
          <cell r="AH7" t="str">
            <v>P</v>
          </cell>
          <cell r="AI7" t="str">
            <v>P</v>
          </cell>
          <cell r="AJ7" t="str">
            <v>P</v>
          </cell>
          <cell r="AK7" t="str">
            <v>P</v>
          </cell>
          <cell r="AL7">
            <v>31</v>
          </cell>
          <cell r="AM7">
            <v>26.625</v>
          </cell>
          <cell r="AN7">
            <v>4</v>
          </cell>
          <cell r="AO7">
            <v>0</v>
          </cell>
          <cell r="AP7">
            <v>0</v>
          </cell>
          <cell r="AQ7">
            <v>0</v>
          </cell>
          <cell r="AR7">
            <v>30.625</v>
          </cell>
          <cell r="AS7">
            <v>0</v>
          </cell>
        </row>
        <row r="8">
          <cell r="F8" t="str">
            <v>OT Hours</v>
          </cell>
        </row>
        <row r="9">
          <cell r="B9">
            <v>11400</v>
          </cell>
          <cell r="C9" t="str">
            <v>M.Suresh</v>
          </cell>
          <cell r="D9" t="str">
            <v>Office Boy</v>
          </cell>
          <cell r="F9" t="str">
            <v xml:space="preserve">Attendance </v>
          </cell>
          <cell r="G9" t="str">
            <v>P</v>
          </cell>
          <cell r="H9" t="str">
            <v>P</v>
          </cell>
          <cell r="I9" t="str">
            <v>P</v>
          </cell>
          <cell r="J9" t="str">
            <v>P</v>
          </cell>
          <cell r="K9" t="str">
            <v>W/O</v>
          </cell>
          <cell r="L9" t="str">
            <v>P</v>
          </cell>
          <cell r="M9" t="str">
            <v>P</v>
          </cell>
          <cell r="N9" t="str">
            <v>P</v>
          </cell>
          <cell r="O9" t="str">
            <v>P</v>
          </cell>
          <cell r="P9" t="str">
            <v>P</v>
          </cell>
          <cell r="Q9" t="str">
            <v>W/O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P</v>
          </cell>
          <cell r="V9" t="str">
            <v>P</v>
          </cell>
          <cell r="W9" t="str">
            <v>P</v>
          </cell>
          <cell r="X9" t="str">
            <v>P</v>
          </cell>
          <cell r="Y9" t="str">
            <v>W/O</v>
          </cell>
          <cell r="Z9" t="str">
            <v>P</v>
          </cell>
          <cell r="AA9" t="str">
            <v>P</v>
          </cell>
          <cell r="AB9" t="str">
            <v>P</v>
          </cell>
          <cell r="AC9" t="str">
            <v>P</v>
          </cell>
          <cell r="AD9" t="str">
            <v>P</v>
          </cell>
          <cell r="AE9" t="str">
            <v>P</v>
          </cell>
          <cell r="AF9" t="str">
            <v>W/O</v>
          </cell>
          <cell r="AG9" t="str">
            <v>P</v>
          </cell>
          <cell r="AH9" t="str">
            <v>P</v>
          </cell>
          <cell r="AI9" t="str">
            <v>P</v>
          </cell>
          <cell r="AJ9" t="str">
            <v>P</v>
          </cell>
          <cell r="AK9" t="str">
            <v>P</v>
          </cell>
          <cell r="AL9">
            <v>31</v>
          </cell>
          <cell r="AM9">
            <v>27</v>
          </cell>
          <cell r="AN9">
            <v>4</v>
          </cell>
          <cell r="AO9">
            <v>1.3</v>
          </cell>
          <cell r="AP9">
            <v>0</v>
          </cell>
          <cell r="AQ9">
            <v>0</v>
          </cell>
          <cell r="AR9">
            <v>31</v>
          </cell>
          <cell r="AS9">
            <v>0.16250000000000001</v>
          </cell>
        </row>
        <row r="10">
          <cell r="F10" t="str">
            <v>OT Hours</v>
          </cell>
          <cell r="AC10">
            <v>1.3</v>
          </cell>
        </row>
        <row r="11">
          <cell r="B11">
            <v>10307</v>
          </cell>
          <cell r="C11" t="str">
            <v>Nita Acharya</v>
          </cell>
          <cell r="D11" t="str">
            <v xml:space="preserve">House keeping </v>
          </cell>
          <cell r="E11" t="str">
            <v>KHARANANDA ACHARJAYA</v>
          </cell>
          <cell r="F11" t="str">
            <v xml:space="preserve">Attendance </v>
          </cell>
          <cell r="G11" t="str">
            <v>P</v>
          </cell>
          <cell r="H11" t="str">
            <v>P</v>
          </cell>
          <cell r="I11" t="str">
            <v>P</v>
          </cell>
          <cell r="J11" t="str">
            <v>P</v>
          </cell>
          <cell r="K11" t="str">
            <v>W/O</v>
          </cell>
          <cell r="L11" t="str">
            <v>P</v>
          </cell>
          <cell r="M11" t="str">
            <v>P</v>
          </cell>
          <cell r="N11" t="str">
            <v>P</v>
          </cell>
          <cell r="O11" t="str">
            <v>P</v>
          </cell>
          <cell r="P11" t="str">
            <v>P</v>
          </cell>
          <cell r="Q11" t="str">
            <v>W/O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P</v>
          </cell>
          <cell r="V11" t="str">
            <v>P</v>
          </cell>
          <cell r="W11" t="str">
            <v>P</v>
          </cell>
          <cell r="X11" t="str">
            <v>P</v>
          </cell>
          <cell r="Y11" t="str">
            <v>W/O</v>
          </cell>
          <cell r="Z11" t="str">
            <v>P</v>
          </cell>
          <cell r="AA11" t="str">
            <v>P</v>
          </cell>
          <cell r="AB11" t="str">
            <v>P</v>
          </cell>
          <cell r="AC11" t="str">
            <v>A</v>
          </cell>
          <cell r="AD11" t="str">
            <v>P</v>
          </cell>
          <cell r="AE11" t="str">
            <v>P</v>
          </cell>
          <cell r="AF11" t="str">
            <v>W/O</v>
          </cell>
          <cell r="AG11" t="str">
            <v>P</v>
          </cell>
          <cell r="AH11" t="str">
            <v>P</v>
          </cell>
          <cell r="AI11" t="str">
            <v>P</v>
          </cell>
          <cell r="AJ11" t="str">
            <v>P</v>
          </cell>
          <cell r="AK11" t="str">
            <v>P</v>
          </cell>
          <cell r="AL11">
            <v>31</v>
          </cell>
          <cell r="AM11">
            <v>26</v>
          </cell>
          <cell r="AN11">
            <v>4</v>
          </cell>
          <cell r="AO11">
            <v>0</v>
          </cell>
          <cell r="AP11">
            <v>1</v>
          </cell>
          <cell r="AQ11">
            <v>0</v>
          </cell>
          <cell r="AR11">
            <v>30</v>
          </cell>
          <cell r="AS11">
            <v>0</v>
          </cell>
        </row>
        <row r="12">
          <cell r="F12" t="str">
            <v>OT Hours</v>
          </cell>
        </row>
        <row r="13">
          <cell r="B13">
            <v>10304</v>
          </cell>
          <cell r="C13" t="str">
            <v>Jetti Kuruvamma</v>
          </cell>
          <cell r="D13" t="str">
            <v xml:space="preserve">House keeping </v>
          </cell>
          <cell r="E13" t="str">
            <v>JETTI KASHANNA</v>
          </cell>
          <cell r="F13" t="str">
            <v xml:space="preserve">Attendance </v>
          </cell>
          <cell r="G13" t="str">
            <v>P</v>
          </cell>
          <cell r="H13" t="str">
            <v>P</v>
          </cell>
          <cell r="I13" t="str">
            <v>P</v>
          </cell>
          <cell r="J13" t="str">
            <v>P</v>
          </cell>
          <cell r="K13" t="str">
            <v>W/O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P</v>
          </cell>
          <cell r="P13" t="str">
            <v>P</v>
          </cell>
          <cell r="Q13" t="str">
            <v>P</v>
          </cell>
          <cell r="R13" t="str">
            <v>W/O</v>
          </cell>
          <cell r="S13" t="str">
            <v>P</v>
          </cell>
          <cell r="T13" t="str">
            <v>P</v>
          </cell>
          <cell r="U13" t="str">
            <v>P</v>
          </cell>
          <cell r="V13" t="str">
            <v>P</v>
          </cell>
          <cell r="W13" t="str">
            <v>P</v>
          </cell>
          <cell r="X13" t="str">
            <v>P</v>
          </cell>
          <cell r="Y13" t="str">
            <v>W/O</v>
          </cell>
          <cell r="Z13" t="str">
            <v>P</v>
          </cell>
          <cell r="AA13" t="str">
            <v>P</v>
          </cell>
          <cell r="AB13" t="str">
            <v>P</v>
          </cell>
          <cell r="AC13" t="str">
            <v>P</v>
          </cell>
          <cell r="AD13" t="str">
            <v>P</v>
          </cell>
          <cell r="AE13" t="str">
            <v>A</v>
          </cell>
          <cell r="AF13" t="str">
            <v>W/O</v>
          </cell>
          <cell r="AG13" t="str">
            <v>P</v>
          </cell>
          <cell r="AH13" t="str">
            <v>P</v>
          </cell>
          <cell r="AI13" t="str">
            <v>P</v>
          </cell>
          <cell r="AJ13" t="str">
            <v>P</v>
          </cell>
          <cell r="AK13" t="str">
            <v>P</v>
          </cell>
          <cell r="AL13">
            <v>31</v>
          </cell>
          <cell r="AM13">
            <v>26</v>
          </cell>
          <cell r="AN13">
            <v>4</v>
          </cell>
          <cell r="AO13">
            <v>0</v>
          </cell>
          <cell r="AP13">
            <v>1</v>
          </cell>
          <cell r="AQ13">
            <v>0</v>
          </cell>
          <cell r="AR13">
            <v>30</v>
          </cell>
          <cell r="AS13">
            <v>0</v>
          </cell>
        </row>
        <row r="14">
          <cell r="F14" t="str">
            <v>OT Hours</v>
          </cell>
        </row>
        <row r="15">
          <cell r="B15">
            <v>10303</v>
          </cell>
          <cell r="C15" t="str">
            <v>Sobir Uddin Laskar</v>
          </cell>
          <cell r="D15" t="str">
            <v>House keeping</v>
          </cell>
          <cell r="E15" t="str">
            <v>ISLAM UDDIN LASKAR</v>
          </cell>
          <cell r="F15" t="str">
            <v xml:space="preserve">Attendance </v>
          </cell>
          <cell r="G15" t="str">
            <v>P</v>
          </cell>
          <cell r="H15" t="str">
            <v>P</v>
          </cell>
          <cell r="I15" t="str">
            <v>P</v>
          </cell>
          <cell r="J15" t="str">
            <v>W/O</v>
          </cell>
          <cell r="K15" t="str">
            <v>P</v>
          </cell>
          <cell r="L15" t="str">
            <v>P</v>
          </cell>
          <cell r="M15" t="str">
            <v>P</v>
          </cell>
          <cell r="N15" t="str">
            <v>P</v>
          </cell>
          <cell r="O15" t="str">
            <v>P</v>
          </cell>
          <cell r="P15" t="str">
            <v>P</v>
          </cell>
          <cell r="Q15" t="str">
            <v>W/O</v>
          </cell>
          <cell r="R15" t="str">
            <v>P</v>
          </cell>
          <cell r="S15" t="str">
            <v>P</v>
          </cell>
          <cell r="T15" t="str">
            <v>P</v>
          </cell>
          <cell r="U15" t="str">
            <v>P</v>
          </cell>
          <cell r="V15" t="str">
            <v>P</v>
          </cell>
          <cell r="W15" t="str">
            <v>P</v>
          </cell>
          <cell r="X15" t="str">
            <v>W/O</v>
          </cell>
          <cell r="Y15" t="str">
            <v>P</v>
          </cell>
          <cell r="Z15" t="str">
            <v>P</v>
          </cell>
          <cell r="AA15" t="str">
            <v>P</v>
          </cell>
          <cell r="AB15" t="str">
            <v>P</v>
          </cell>
          <cell r="AC15" t="str">
            <v>P</v>
          </cell>
          <cell r="AD15" t="str">
            <v>P</v>
          </cell>
          <cell r="AE15" t="str">
            <v>W/O</v>
          </cell>
          <cell r="AF15" t="str">
            <v>P</v>
          </cell>
          <cell r="AG15" t="str">
            <v>P</v>
          </cell>
          <cell r="AH15" t="str">
            <v>P</v>
          </cell>
          <cell r="AI15" t="str">
            <v>P</v>
          </cell>
          <cell r="AJ15" t="str">
            <v>P</v>
          </cell>
          <cell r="AK15" t="str">
            <v>P</v>
          </cell>
          <cell r="AL15">
            <v>31</v>
          </cell>
          <cell r="AM15">
            <v>27</v>
          </cell>
          <cell r="AN15">
            <v>4</v>
          </cell>
          <cell r="AO15">
            <v>0</v>
          </cell>
          <cell r="AP15">
            <v>0</v>
          </cell>
          <cell r="AQ15">
            <v>0</v>
          </cell>
          <cell r="AR15">
            <v>31</v>
          </cell>
          <cell r="AS15">
            <v>0</v>
          </cell>
        </row>
        <row r="16">
          <cell r="F16" t="str">
            <v>OT Hours</v>
          </cell>
        </row>
        <row r="17">
          <cell r="B17">
            <v>11661</v>
          </cell>
          <cell r="C17" t="str">
            <v>Musthafa Ahmed</v>
          </cell>
          <cell r="D17" t="str">
            <v>House keeping</v>
          </cell>
          <cell r="F17" t="str">
            <v xml:space="preserve">Attendance </v>
          </cell>
          <cell r="G17" t="str">
            <v>P</v>
          </cell>
          <cell r="H17" t="str">
            <v>P</v>
          </cell>
          <cell r="I17" t="str">
            <v>P</v>
          </cell>
          <cell r="J17" t="str">
            <v>P</v>
          </cell>
          <cell r="K17" t="str">
            <v>W/O</v>
          </cell>
          <cell r="L17" t="str">
            <v>P</v>
          </cell>
          <cell r="M17" t="str">
            <v>P</v>
          </cell>
          <cell r="N17" t="str">
            <v>P</v>
          </cell>
          <cell r="O17" t="str">
            <v>P</v>
          </cell>
          <cell r="P17" t="str">
            <v>P</v>
          </cell>
          <cell r="Q17" t="str">
            <v>P</v>
          </cell>
          <cell r="R17" t="str">
            <v>W/O</v>
          </cell>
          <cell r="S17" t="str">
            <v>P</v>
          </cell>
          <cell r="T17" t="str">
            <v>P</v>
          </cell>
          <cell r="U17" t="str">
            <v>P</v>
          </cell>
          <cell r="V17" t="str">
            <v>P</v>
          </cell>
          <cell r="W17" t="str">
            <v>P</v>
          </cell>
          <cell r="X17" t="str">
            <v>P</v>
          </cell>
          <cell r="Y17" t="str">
            <v>W/O</v>
          </cell>
          <cell r="Z17" t="str">
            <v>P</v>
          </cell>
          <cell r="AA17" t="str">
            <v>P</v>
          </cell>
          <cell r="AB17" t="str">
            <v>P</v>
          </cell>
          <cell r="AC17" t="str">
            <v>P</v>
          </cell>
          <cell r="AD17" t="str">
            <v>P</v>
          </cell>
          <cell r="AE17" t="str">
            <v>P</v>
          </cell>
          <cell r="AF17" t="str">
            <v>W/O</v>
          </cell>
          <cell r="AG17" t="str">
            <v>P</v>
          </cell>
          <cell r="AH17" t="str">
            <v>P</v>
          </cell>
          <cell r="AI17" t="str">
            <v>P</v>
          </cell>
          <cell r="AJ17" t="str">
            <v>P</v>
          </cell>
          <cell r="AK17" t="str">
            <v>P</v>
          </cell>
          <cell r="AL17">
            <v>31</v>
          </cell>
          <cell r="AM17">
            <v>27</v>
          </cell>
          <cell r="AN17">
            <v>4</v>
          </cell>
          <cell r="AO17">
            <v>0</v>
          </cell>
          <cell r="AP17">
            <v>0</v>
          </cell>
          <cell r="AQ17">
            <v>0</v>
          </cell>
          <cell r="AR17">
            <v>31</v>
          </cell>
          <cell r="AS17">
            <v>0</v>
          </cell>
        </row>
        <row r="18">
          <cell r="F18" t="str">
            <v>OT Hours</v>
          </cell>
        </row>
        <row r="19">
          <cell r="B19">
            <v>11445</v>
          </cell>
          <cell r="C19" t="str">
            <v>Maruf Ahmed</v>
          </cell>
          <cell r="D19" t="str">
            <v>House keeping</v>
          </cell>
          <cell r="F19" t="str">
            <v xml:space="preserve">Attendance </v>
          </cell>
          <cell r="G19" t="str">
            <v>P</v>
          </cell>
          <cell r="H19" t="str">
            <v>P</v>
          </cell>
          <cell r="I19" t="str">
            <v>P</v>
          </cell>
          <cell r="J19" t="str">
            <v>W/O</v>
          </cell>
          <cell r="K19" t="str">
            <v>P</v>
          </cell>
          <cell r="L19" t="str">
            <v>P</v>
          </cell>
          <cell r="M19" t="str">
            <v>P</v>
          </cell>
          <cell r="N19" t="str">
            <v>P</v>
          </cell>
          <cell r="O19" t="str">
            <v>P</v>
          </cell>
          <cell r="P19" t="str">
            <v>P</v>
          </cell>
          <cell r="Q19" t="str">
            <v>W/O</v>
          </cell>
          <cell r="R19" t="str">
            <v>P</v>
          </cell>
          <cell r="S19" t="str">
            <v>P</v>
          </cell>
          <cell r="T19" t="str">
            <v>P</v>
          </cell>
          <cell r="U19" t="str">
            <v>P</v>
          </cell>
          <cell r="V19" t="str">
            <v>P</v>
          </cell>
          <cell r="W19" t="str">
            <v>P</v>
          </cell>
          <cell r="X19" t="str">
            <v>W/O</v>
          </cell>
          <cell r="Y19" t="str">
            <v>P</v>
          </cell>
          <cell r="Z19" t="str">
            <v>P</v>
          </cell>
          <cell r="AA19" t="str">
            <v>P</v>
          </cell>
          <cell r="AB19" t="str">
            <v>P</v>
          </cell>
          <cell r="AC19" t="str">
            <v>P</v>
          </cell>
          <cell r="AD19" t="str">
            <v>P</v>
          </cell>
          <cell r="AE19" t="str">
            <v>W/O</v>
          </cell>
          <cell r="AF19" t="str">
            <v>P</v>
          </cell>
          <cell r="AG19" t="str">
            <v>P</v>
          </cell>
          <cell r="AH19" t="str">
            <v>P</v>
          </cell>
          <cell r="AI19" t="str">
            <v>P</v>
          </cell>
          <cell r="AJ19" t="str">
            <v>P</v>
          </cell>
          <cell r="AK19" t="str">
            <v>P</v>
          </cell>
          <cell r="AL19">
            <v>31</v>
          </cell>
          <cell r="AM19">
            <v>27</v>
          </cell>
          <cell r="AN19">
            <v>4</v>
          </cell>
          <cell r="AO19">
            <v>0</v>
          </cell>
          <cell r="AP19">
            <v>0</v>
          </cell>
          <cell r="AQ19">
            <v>0</v>
          </cell>
          <cell r="AR19">
            <v>31</v>
          </cell>
          <cell r="AS19">
            <v>0</v>
          </cell>
        </row>
        <row r="20">
          <cell r="F20" t="str">
            <v>OT Hours</v>
          </cell>
        </row>
        <row r="21">
          <cell r="B21">
            <v>1</v>
          </cell>
          <cell r="C21" t="str">
            <v>Bhagya Laxmi</v>
          </cell>
          <cell r="D21" t="str">
            <v>House keeping</v>
          </cell>
          <cell r="F21" t="str">
            <v xml:space="preserve">Attendance </v>
          </cell>
          <cell r="J21" t="str">
            <v>P</v>
          </cell>
          <cell r="K21" t="str">
            <v>W/O</v>
          </cell>
          <cell r="L21" t="str">
            <v>P</v>
          </cell>
          <cell r="M21" t="str">
            <v>P</v>
          </cell>
          <cell r="N21" t="str">
            <v>P</v>
          </cell>
          <cell r="O21" t="str">
            <v>P</v>
          </cell>
          <cell r="P21" t="str">
            <v>P</v>
          </cell>
          <cell r="Q21" t="str">
            <v>P</v>
          </cell>
          <cell r="R21" t="str">
            <v>W/O</v>
          </cell>
          <cell r="S21" t="str">
            <v>P</v>
          </cell>
          <cell r="T21" t="str">
            <v>P</v>
          </cell>
          <cell r="U21" t="str">
            <v>P</v>
          </cell>
          <cell r="V21" t="str">
            <v>P</v>
          </cell>
          <cell r="W21" t="str">
            <v>P</v>
          </cell>
          <cell r="X21" t="str">
            <v>P</v>
          </cell>
          <cell r="Y21" t="str">
            <v>W/O</v>
          </cell>
          <cell r="Z21" t="str">
            <v>P</v>
          </cell>
          <cell r="AA21" t="str">
            <v>P</v>
          </cell>
          <cell r="AB21" t="str">
            <v>P</v>
          </cell>
          <cell r="AC21" t="str">
            <v>P</v>
          </cell>
          <cell r="AD21" t="str">
            <v>P</v>
          </cell>
          <cell r="AE21" t="str">
            <v>P</v>
          </cell>
          <cell r="AF21" t="str">
            <v>W/O</v>
          </cell>
          <cell r="AG21" t="str">
            <v>P</v>
          </cell>
          <cell r="AH21" t="str">
            <v>P</v>
          </cell>
          <cell r="AI21" t="str">
            <v>P</v>
          </cell>
          <cell r="AJ21" t="str">
            <v>P</v>
          </cell>
          <cell r="AK21" t="str">
            <v>P</v>
          </cell>
          <cell r="AL21">
            <v>31</v>
          </cell>
          <cell r="AM21">
            <v>24</v>
          </cell>
          <cell r="AN21">
            <v>4</v>
          </cell>
          <cell r="AO21">
            <v>0</v>
          </cell>
          <cell r="AP21">
            <v>0</v>
          </cell>
          <cell r="AQ21">
            <v>0</v>
          </cell>
          <cell r="AR21">
            <v>28</v>
          </cell>
          <cell r="AS21">
            <v>0</v>
          </cell>
        </row>
        <row r="22">
          <cell r="F22" t="str">
            <v>OT Hours</v>
          </cell>
        </row>
        <row r="23">
          <cell r="B23">
            <v>10320</v>
          </cell>
          <cell r="C23" t="str">
            <v>Karthik</v>
          </cell>
          <cell r="D23" t="str">
            <v>MST</v>
          </cell>
          <cell r="F23" t="str">
            <v xml:space="preserve">Attendance </v>
          </cell>
          <cell r="G23" t="str">
            <v>P</v>
          </cell>
          <cell r="H23" t="str">
            <v>P</v>
          </cell>
          <cell r="I23" t="str">
            <v>P</v>
          </cell>
          <cell r="J23" t="str">
            <v>P</v>
          </cell>
          <cell r="K23" t="str">
            <v>W/O</v>
          </cell>
          <cell r="L23" t="str">
            <v>P</v>
          </cell>
          <cell r="M23" t="str">
            <v>P</v>
          </cell>
          <cell r="N23" t="str">
            <v>P</v>
          </cell>
          <cell r="O23" t="str">
            <v>P</v>
          </cell>
          <cell r="P23" t="str">
            <v>P</v>
          </cell>
          <cell r="Q23" t="str">
            <v>P</v>
          </cell>
          <cell r="R23" t="str">
            <v>W/O</v>
          </cell>
          <cell r="S23" t="str">
            <v>P</v>
          </cell>
          <cell r="T23" t="str">
            <v>P</v>
          </cell>
          <cell r="U23" t="str">
            <v>P</v>
          </cell>
          <cell r="V23" t="str">
            <v>P</v>
          </cell>
          <cell r="W23" t="str">
            <v>P</v>
          </cell>
          <cell r="X23" t="str">
            <v>P</v>
          </cell>
          <cell r="Y23" t="str">
            <v>W/O</v>
          </cell>
          <cell r="Z23" t="str">
            <v>P</v>
          </cell>
          <cell r="AA23" t="str">
            <v>P</v>
          </cell>
          <cell r="AB23" t="str">
            <v>P</v>
          </cell>
          <cell r="AC23" t="str">
            <v>P</v>
          </cell>
          <cell r="AD23" t="str">
            <v>P</v>
          </cell>
          <cell r="AE23" t="str">
            <v>P</v>
          </cell>
          <cell r="AF23" t="str">
            <v>W/O</v>
          </cell>
          <cell r="AG23" t="str">
            <v>P</v>
          </cell>
          <cell r="AH23" t="str">
            <v>P</v>
          </cell>
          <cell r="AI23" t="str">
            <v>P</v>
          </cell>
          <cell r="AJ23" t="str">
            <v>P</v>
          </cell>
          <cell r="AK23" t="str">
            <v>P</v>
          </cell>
          <cell r="AL23">
            <v>31</v>
          </cell>
          <cell r="AM23">
            <v>27</v>
          </cell>
          <cell r="AN23">
            <v>4</v>
          </cell>
          <cell r="AO23">
            <v>8</v>
          </cell>
          <cell r="AP23">
            <v>0</v>
          </cell>
          <cell r="AQ23">
            <v>0</v>
          </cell>
          <cell r="AR23">
            <v>31</v>
          </cell>
          <cell r="AS23">
            <v>1</v>
          </cell>
        </row>
        <row r="24">
          <cell r="F24" t="str">
            <v>OT Hours</v>
          </cell>
          <cell r="R24">
            <v>8</v>
          </cell>
        </row>
        <row r="25">
          <cell r="B25">
            <v>10510</v>
          </cell>
          <cell r="C25" t="str">
            <v>Dhanbahadur Chetri</v>
          </cell>
          <cell r="D25" t="str">
            <v>House keeping</v>
          </cell>
          <cell r="F25" t="str">
            <v xml:space="preserve">Attendance </v>
          </cell>
          <cell r="G25" t="str">
            <v>P</v>
          </cell>
          <cell r="H25" t="str">
            <v>P</v>
          </cell>
          <cell r="I25" t="str">
            <v>P</v>
          </cell>
          <cell r="J25" t="str">
            <v>P</v>
          </cell>
          <cell r="K25" t="str">
            <v>W/O</v>
          </cell>
          <cell r="L25" t="str">
            <v>P</v>
          </cell>
          <cell r="M25" t="str">
            <v>P</v>
          </cell>
          <cell r="N25" t="str">
            <v>P</v>
          </cell>
          <cell r="O25" t="str">
            <v>P</v>
          </cell>
          <cell r="P25" t="str">
            <v>P</v>
          </cell>
          <cell r="Q25" t="str">
            <v>W/O</v>
          </cell>
          <cell r="R25" t="str">
            <v>P</v>
          </cell>
          <cell r="S25" t="str">
            <v>P</v>
          </cell>
          <cell r="T25" t="str">
            <v>P</v>
          </cell>
          <cell r="U25" t="str">
            <v>P</v>
          </cell>
          <cell r="V25" t="str">
            <v>P</v>
          </cell>
          <cell r="W25" t="str">
            <v>P</v>
          </cell>
          <cell r="X25" t="str">
            <v>P</v>
          </cell>
          <cell r="Y25" t="str">
            <v>W/O</v>
          </cell>
          <cell r="Z25" t="str">
            <v>P</v>
          </cell>
          <cell r="AA25" t="str">
            <v>P</v>
          </cell>
          <cell r="AB25" t="str">
            <v>P</v>
          </cell>
          <cell r="AC25" t="str">
            <v>P</v>
          </cell>
          <cell r="AD25" t="str">
            <v>P</v>
          </cell>
          <cell r="AE25" t="str">
            <v>P</v>
          </cell>
          <cell r="AF25" t="str">
            <v>W/O</v>
          </cell>
          <cell r="AG25" t="str">
            <v>P</v>
          </cell>
          <cell r="AH25" t="str">
            <v>P</v>
          </cell>
          <cell r="AI25" t="str">
            <v>P</v>
          </cell>
          <cell r="AJ25" t="str">
            <v>P</v>
          </cell>
          <cell r="AK25" t="str">
            <v>P</v>
          </cell>
          <cell r="AL25">
            <v>31</v>
          </cell>
          <cell r="AM25">
            <v>27</v>
          </cell>
          <cell r="AN25">
            <v>4</v>
          </cell>
          <cell r="AO25">
            <v>0</v>
          </cell>
          <cell r="AP25">
            <v>0</v>
          </cell>
          <cell r="AQ25">
            <v>0</v>
          </cell>
          <cell r="AR25">
            <v>31</v>
          </cell>
          <cell r="AS25">
            <v>0</v>
          </cell>
        </row>
        <row r="26">
          <cell r="F26" t="str">
            <v>OT Hours</v>
          </cell>
        </row>
        <row r="27">
          <cell r="B27">
            <v>11879</v>
          </cell>
          <cell r="C27" t="str">
            <v>Abhijit</v>
          </cell>
          <cell r="D27" t="str">
            <v>Driver</v>
          </cell>
          <cell r="F27" t="str">
            <v xml:space="preserve">Attendance </v>
          </cell>
          <cell r="G27" t="str">
            <v>P</v>
          </cell>
          <cell r="H27" t="str">
            <v>P</v>
          </cell>
          <cell r="I27" t="str">
            <v>P</v>
          </cell>
          <cell r="J27" t="str">
            <v>W/O</v>
          </cell>
          <cell r="K27" t="str">
            <v>W/O</v>
          </cell>
          <cell r="L27" t="str">
            <v>P</v>
          </cell>
          <cell r="M27" t="str">
            <v>P</v>
          </cell>
          <cell r="N27" t="str">
            <v>P</v>
          </cell>
          <cell r="O27" t="str">
            <v>P</v>
          </cell>
          <cell r="P27" t="str">
            <v>P</v>
          </cell>
          <cell r="Q27" t="str">
            <v>W/O</v>
          </cell>
          <cell r="R27" t="str">
            <v>W/O</v>
          </cell>
          <cell r="S27" t="str">
            <v>P</v>
          </cell>
          <cell r="T27" t="str">
            <v>P</v>
          </cell>
          <cell r="U27" t="str">
            <v>P</v>
          </cell>
          <cell r="V27" t="str">
            <v>P</v>
          </cell>
          <cell r="W27" t="str">
            <v>P</v>
          </cell>
          <cell r="X27" t="str">
            <v>W/O</v>
          </cell>
          <cell r="Y27" t="str">
            <v>W/O</v>
          </cell>
          <cell r="Z27" t="str">
            <v>P</v>
          </cell>
          <cell r="AA27" t="str">
            <v>P</v>
          </cell>
          <cell r="AB27" t="str">
            <v>P</v>
          </cell>
          <cell r="AC27" t="str">
            <v>P</v>
          </cell>
          <cell r="AD27" t="str">
            <v>P</v>
          </cell>
          <cell r="AE27" t="str">
            <v>W/O</v>
          </cell>
          <cell r="AF27" t="str">
            <v>W/O</v>
          </cell>
          <cell r="AG27" t="str">
            <v>P</v>
          </cell>
          <cell r="AH27" t="str">
            <v>P</v>
          </cell>
          <cell r="AI27" t="str">
            <v>P</v>
          </cell>
          <cell r="AJ27" t="str">
            <v>P</v>
          </cell>
          <cell r="AK27" t="str">
            <v>P</v>
          </cell>
          <cell r="AL27">
            <v>31</v>
          </cell>
          <cell r="AM27">
            <v>23</v>
          </cell>
          <cell r="AN27">
            <v>8</v>
          </cell>
          <cell r="AO27">
            <v>0</v>
          </cell>
          <cell r="AP27">
            <v>0</v>
          </cell>
          <cell r="AQ27">
            <v>0</v>
          </cell>
          <cell r="AR27">
            <v>31</v>
          </cell>
          <cell r="AS27">
            <v>0</v>
          </cell>
        </row>
        <row r="28">
          <cell r="F28" t="str">
            <v>OT Hours</v>
          </cell>
        </row>
        <row r="29">
          <cell r="B29" t="str">
            <v>REP</v>
          </cell>
          <cell r="C29" t="str">
            <v>N.Jyothi</v>
          </cell>
          <cell r="D29" t="str">
            <v>HK Replacement</v>
          </cell>
          <cell r="F29" t="str">
            <v xml:space="preserve">Attendance </v>
          </cell>
          <cell r="AB29" t="str">
            <v>P</v>
          </cell>
          <cell r="AL29">
            <v>31</v>
          </cell>
          <cell r="AM29">
            <v>1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1</v>
          </cell>
          <cell r="AS29">
            <v>0</v>
          </cell>
        </row>
        <row r="30">
          <cell r="F30" t="str">
            <v>OT Hours</v>
          </cell>
        </row>
        <row r="31">
          <cell r="B31" t="str">
            <v>REP</v>
          </cell>
          <cell r="C31" t="str">
            <v>Chinni</v>
          </cell>
          <cell r="D31" t="str">
            <v>HK Replacement</v>
          </cell>
          <cell r="F31" t="str">
            <v xml:space="preserve">Attendance </v>
          </cell>
          <cell r="AE31" t="str">
            <v>P</v>
          </cell>
          <cell r="AL31">
            <v>31</v>
          </cell>
          <cell r="AM31">
            <v>1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1</v>
          </cell>
          <cell r="AS31">
            <v>0</v>
          </cell>
        </row>
        <row r="32">
          <cell r="F32" t="str">
            <v>OT Hours</v>
          </cell>
        </row>
        <row r="33">
          <cell r="B33">
            <v>11224</v>
          </cell>
          <cell r="C33" t="str">
            <v>Reshma Begum</v>
          </cell>
          <cell r="D33" t="str">
            <v>House keeping</v>
          </cell>
          <cell r="F33" t="str">
            <v xml:space="preserve">Attendance </v>
          </cell>
          <cell r="G33" t="str">
            <v>P</v>
          </cell>
          <cell r="H33" t="str">
            <v>P</v>
          </cell>
          <cell r="AL33">
            <v>31</v>
          </cell>
          <cell r="AM33">
            <v>2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2</v>
          </cell>
          <cell r="AS33">
            <v>0</v>
          </cell>
        </row>
        <row r="34">
          <cell r="F34" t="str">
            <v>OT Hours</v>
          </cell>
        </row>
        <row r="35">
          <cell r="B35">
            <v>11836</v>
          </cell>
          <cell r="C35" t="str">
            <v>P CHANNAMMA</v>
          </cell>
          <cell r="D35" t="str">
            <v>House keeping</v>
          </cell>
          <cell r="F35" t="str">
            <v xml:space="preserve">Attendance </v>
          </cell>
          <cell r="G35" t="str">
            <v>P</v>
          </cell>
          <cell r="H35" t="str">
            <v>P</v>
          </cell>
          <cell r="I35" t="str">
            <v>P</v>
          </cell>
          <cell r="J35" t="str">
            <v>P</v>
          </cell>
          <cell r="K35" t="str">
            <v>W/O</v>
          </cell>
          <cell r="L35" t="str">
            <v>P</v>
          </cell>
          <cell r="M35" t="str">
            <v>P</v>
          </cell>
          <cell r="N35" t="str">
            <v>P</v>
          </cell>
          <cell r="O35" t="str">
            <v>P</v>
          </cell>
          <cell r="P35" t="str">
            <v>P</v>
          </cell>
          <cell r="Q35" t="str">
            <v>W/O</v>
          </cell>
          <cell r="R35" t="str">
            <v>P</v>
          </cell>
          <cell r="S35" t="str">
            <v>P</v>
          </cell>
          <cell r="T35" t="str">
            <v>P</v>
          </cell>
          <cell r="U35" t="str">
            <v>P</v>
          </cell>
          <cell r="V35" t="str">
            <v>P</v>
          </cell>
          <cell r="W35" t="str">
            <v>P</v>
          </cell>
          <cell r="X35" t="str">
            <v>P</v>
          </cell>
          <cell r="Y35" t="str">
            <v>W/O</v>
          </cell>
          <cell r="Z35" t="str">
            <v>P</v>
          </cell>
          <cell r="AA35" t="str">
            <v>P</v>
          </cell>
          <cell r="AB35" t="str">
            <v>A</v>
          </cell>
          <cell r="AC35" t="str">
            <v>P</v>
          </cell>
          <cell r="AD35" t="str">
            <v>P</v>
          </cell>
          <cell r="AE35" t="str">
            <v>P</v>
          </cell>
          <cell r="AF35" t="str">
            <v>W/O</v>
          </cell>
          <cell r="AG35" t="str">
            <v>P</v>
          </cell>
          <cell r="AH35" t="str">
            <v>P</v>
          </cell>
          <cell r="AI35" t="str">
            <v>P</v>
          </cell>
          <cell r="AJ35" t="str">
            <v>P</v>
          </cell>
          <cell r="AK35" t="str">
            <v>P</v>
          </cell>
          <cell r="AL35">
            <v>31</v>
          </cell>
          <cell r="AM35">
            <v>26</v>
          </cell>
          <cell r="AN35">
            <v>4</v>
          </cell>
          <cell r="AO35">
            <v>0</v>
          </cell>
          <cell r="AP35">
            <v>1</v>
          </cell>
          <cell r="AQ35">
            <v>0</v>
          </cell>
          <cell r="AR35">
            <v>30</v>
          </cell>
          <cell r="AS35">
            <v>0</v>
          </cell>
        </row>
        <row r="36">
          <cell r="F36" t="str">
            <v>OT Hours</v>
          </cell>
        </row>
        <row r="37">
          <cell r="T37" t="str">
            <v>Total:-</v>
          </cell>
          <cell r="AL37">
            <v>465</v>
          </cell>
          <cell r="AM37">
            <v>317.625</v>
          </cell>
          <cell r="AN37">
            <v>52</v>
          </cell>
          <cell r="AO37">
            <v>9.3000000000000007</v>
          </cell>
          <cell r="AP37">
            <v>3</v>
          </cell>
          <cell r="AQ37">
            <v>0</v>
          </cell>
          <cell r="AR37">
            <v>369.625</v>
          </cell>
          <cell r="AS37">
            <v>1.1625000000000001</v>
          </cell>
        </row>
        <row r="38">
          <cell r="AO38" t="str">
            <v>Grand Total:-</v>
          </cell>
          <cell r="AR38">
            <v>370.78750000000002</v>
          </cell>
        </row>
      </sheetData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 POWER INVOICE"/>
      <sheetName val="Consumables &amp; Machinery "/>
      <sheetName val="Room Amenities"/>
      <sheetName val="ATTENDANCE- ACCOM &amp; VILLA"/>
      <sheetName val="PAYSHEET-ACCOM&amp; VILLA"/>
      <sheetName val="ATTANDANCE- CRECHE"/>
      <sheetName val="CRECHE-PAYSHEET"/>
      <sheetName val="HK"/>
      <sheetName val="BANK STMT"/>
    </sheetNames>
    <sheetDataSet>
      <sheetData sheetId="0" refreshError="1"/>
      <sheetData sheetId="1" refreshError="1"/>
      <sheetData sheetId="2" refreshError="1"/>
      <sheetData sheetId="3">
        <row r="7">
          <cell r="B7">
            <v>11536</v>
          </cell>
          <cell r="C7" t="str">
            <v>A.Kalyan</v>
          </cell>
          <cell r="D7" t="str">
            <v>Facility Executive</v>
          </cell>
          <cell r="E7" t="str">
            <v>P</v>
          </cell>
          <cell r="F7" t="str">
            <v>P</v>
          </cell>
          <cell r="G7" t="str">
            <v>P</v>
          </cell>
          <cell r="H7" t="str">
            <v>P</v>
          </cell>
          <cell r="I7" t="str">
            <v>W/O</v>
          </cell>
          <cell r="J7" t="str">
            <v>P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P</v>
          </cell>
          <cell r="P7" t="str">
            <v>W/O</v>
          </cell>
          <cell r="Q7" t="str">
            <v>CL</v>
          </cell>
          <cell r="R7" t="str">
            <v>CL</v>
          </cell>
          <cell r="S7" t="str">
            <v>CL</v>
          </cell>
          <cell r="T7" t="str">
            <v>A</v>
          </cell>
          <cell r="U7" t="str">
            <v>A</v>
          </cell>
          <cell r="V7" t="str">
            <v>P</v>
          </cell>
          <cell r="W7" t="str">
            <v>W/O</v>
          </cell>
          <cell r="X7" t="str">
            <v>P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P</v>
          </cell>
          <cell r="AC7" t="str">
            <v>P</v>
          </cell>
          <cell r="AD7" t="str">
            <v>W/O</v>
          </cell>
          <cell r="AE7" t="str">
            <v>P</v>
          </cell>
          <cell r="AF7" t="str">
            <v>P</v>
          </cell>
          <cell r="AG7" t="str">
            <v>P</v>
          </cell>
          <cell r="AH7" t="str">
            <v>P</v>
          </cell>
          <cell r="AI7" t="str">
            <v>P</v>
          </cell>
          <cell r="AJ7">
            <v>31</v>
          </cell>
          <cell r="AK7">
            <v>22</v>
          </cell>
          <cell r="AL7">
            <v>4</v>
          </cell>
          <cell r="AM7">
            <v>2</v>
          </cell>
          <cell r="AN7">
            <v>3</v>
          </cell>
          <cell r="AO7">
            <v>0</v>
          </cell>
          <cell r="AP7">
            <v>29</v>
          </cell>
        </row>
        <row r="9">
          <cell r="B9">
            <v>11534</v>
          </cell>
          <cell r="C9" t="str">
            <v>Subodh</v>
          </cell>
          <cell r="D9" t="str">
            <v>Cook Cum Care Taker</v>
          </cell>
          <cell r="E9" t="str">
            <v>P</v>
          </cell>
          <cell r="F9" t="str">
            <v>P</v>
          </cell>
          <cell r="G9" t="str">
            <v>P</v>
          </cell>
          <cell r="H9" t="str">
            <v>P</v>
          </cell>
          <cell r="I9" t="str">
            <v>W/O</v>
          </cell>
          <cell r="J9" t="str">
            <v>P</v>
          </cell>
          <cell r="K9" t="str">
            <v>P</v>
          </cell>
          <cell r="L9" t="str">
            <v>P</v>
          </cell>
          <cell r="M9" t="str">
            <v>P</v>
          </cell>
          <cell r="N9" t="str">
            <v>P</v>
          </cell>
          <cell r="O9" t="str">
            <v>P</v>
          </cell>
          <cell r="P9" t="str">
            <v>W/O</v>
          </cell>
          <cell r="Q9" t="str">
            <v>P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P</v>
          </cell>
          <cell r="V9" t="str">
            <v>P</v>
          </cell>
          <cell r="W9" t="str">
            <v>W/O</v>
          </cell>
          <cell r="X9" t="str">
            <v>P</v>
          </cell>
          <cell r="Y9" t="str">
            <v>P</v>
          </cell>
          <cell r="Z9" t="str">
            <v>P</v>
          </cell>
          <cell r="AA9" t="str">
            <v>P</v>
          </cell>
          <cell r="AB9" t="str">
            <v>P</v>
          </cell>
          <cell r="AC9" t="str">
            <v>P</v>
          </cell>
          <cell r="AD9" t="str">
            <v>W/O</v>
          </cell>
          <cell r="AE9" t="str">
            <v>P</v>
          </cell>
          <cell r="AF9" t="str">
            <v>P</v>
          </cell>
          <cell r="AG9" t="str">
            <v>P</v>
          </cell>
          <cell r="AH9" t="str">
            <v>P</v>
          </cell>
          <cell r="AI9" t="str">
            <v>P</v>
          </cell>
          <cell r="AJ9">
            <v>31</v>
          </cell>
          <cell r="AK9">
            <v>27</v>
          </cell>
          <cell r="AL9">
            <v>4</v>
          </cell>
          <cell r="AM9">
            <v>0</v>
          </cell>
          <cell r="AN9">
            <v>0</v>
          </cell>
          <cell r="AO9">
            <v>0</v>
          </cell>
          <cell r="AP9">
            <v>31</v>
          </cell>
        </row>
        <row r="11">
          <cell r="B11">
            <v>11501</v>
          </cell>
          <cell r="C11" t="str">
            <v>Hemanta</v>
          </cell>
          <cell r="D11" t="str">
            <v>Cook Cum Care Taker</v>
          </cell>
          <cell r="E11" t="str">
            <v>P</v>
          </cell>
          <cell r="F11" t="str">
            <v>P</v>
          </cell>
          <cell r="G11" t="str">
            <v>P</v>
          </cell>
          <cell r="H11" t="str">
            <v>P</v>
          </cell>
          <cell r="I11" t="str">
            <v>W/O</v>
          </cell>
          <cell r="J11" t="str">
            <v>P</v>
          </cell>
          <cell r="K11" t="str">
            <v>P</v>
          </cell>
          <cell r="L11" t="str">
            <v>P</v>
          </cell>
          <cell r="M11" t="str">
            <v>P</v>
          </cell>
          <cell r="N11" t="str">
            <v>P</v>
          </cell>
          <cell r="O11" t="str">
            <v>P</v>
          </cell>
          <cell r="P11" t="str">
            <v>W/O</v>
          </cell>
          <cell r="Q11" t="str">
            <v>P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P</v>
          </cell>
          <cell r="V11" t="str">
            <v>P</v>
          </cell>
          <cell r="W11" t="str">
            <v>W/O</v>
          </cell>
          <cell r="X11" t="str">
            <v>P</v>
          </cell>
          <cell r="Y11" t="str">
            <v>P</v>
          </cell>
          <cell r="Z11" t="str">
            <v>P</v>
          </cell>
          <cell r="AA11" t="str">
            <v>P</v>
          </cell>
          <cell r="AB11" t="str">
            <v>P</v>
          </cell>
          <cell r="AC11" t="str">
            <v>P</v>
          </cell>
          <cell r="AD11" t="str">
            <v>W/O</v>
          </cell>
          <cell r="AE11" t="str">
            <v>P</v>
          </cell>
          <cell r="AF11" t="str">
            <v>P</v>
          </cell>
          <cell r="AG11" t="str">
            <v>P</v>
          </cell>
          <cell r="AH11" t="str">
            <v>P</v>
          </cell>
          <cell r="AI11" t="str">
            <v>P</v>
          </cell>
          <cell r="AJ11">
            <v>31</v>
          </cell>
          <cell r="AK11">
            <v>27</v>
          </cell>
          <cell r="AL11">
            <v>4</v>
          </cell>
          <cell r="AM11">
            <v>0</v>
          </cell>
          <cell r="AN11">
            <v>0</v>
          </cell>
          <cell r="AO11">
            <v>0</v>
          </cell>
          <cell r="AP11">
            <v>31</v>
          </cell>
        </row>
        <row r="12">
          <cell r="C12" t="str">
            <v>Sukdev</v>
          </cell>
        </row>
        <row r="13">
          <cell r="B13">
            <v>11499</v>
          </cell>
          <cell r="C13" t="str">
            <v>Jagabandu Das</v>
          </cell>
          <cell r="D13" t="str">
            <v>Asst.Cook/Server</v>
          </cell>
          <cell r="E13" t="str">
            <v>P</v>
          </cell>
          <cell r="F13" t="str">
            <v>P</v>
          </cell>
          <cell r="G13" t="str">
            <v>P</v>
          </cell>
          <cell r="H13" t="str">
            <v>P</v>
          </cell>
          <cell r="I13" t="str">
            <v>W/O</v>
          </cell>
          <cell r="J13" t="str">
            <v>P</v>
          </cell>
          <cell r="K13" t="str">
            <v>P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P</v>
          </cell>
          <cell r="P13" t="str">
            <v>W/O</v>
          </cell>
          <cell r="Q13" t="str">
            <v>P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P</v>
          </cell>
          <cell r="V13" t="str">
            <v>P</v>
          </cell>
          <cell r="W13" t="str">
            <v>W/O</v>
          </cell>
          <cell r="X13" t="str">
            <v>P</v>
          </cell>
          <cell r="Y13" t="str">
            <v>P</v>
          </cell>
          <cell r="Z13" t="str">
            <v>P</v>
          </cell>
          <cell r="AA13" t="str">
            <v>P</v>
          </cell>
          <cell r="AB13" t="str">
            <v>P</v>
          </cell>
          <cell r="AC13" t="str">
            <v>P</v>
          </cell>
          <cell r="AD13" t="str">
            <v>W/O</v>
          </cell>
          <cell r="AE13" t="str">
            <v>P</v>
          </cell>
          <cell r="AF13" t="str">
            <v>P</v>
          </cell>
          <cell r="AG13" t="str">
            <v>P</v>
          </cell>
          <cell r="AH13" t="str">
            <v>P</v>
          </cell>
          <cell r="AI13" t="str">
            <v>P</v>
          </cell>
          <cell r="AJ13">
            <v>31</v>
          </cell>
          <cell r="AK13">
            <v>27</v>
          </cell>
          <cell r="AL13">
            <v>4</v>
          </cell>
          <cell r="AM13">
            <v>0</v>
          </cell>
          <cell r="AN13">
            <v>0</v>
          </cell>
          <cell r="AO13">
            <v>0</v>
          </cell>
          <cell r="AP13">
            <v>31</v>
          </cell>
        </row>
        <row r="15">
          <cell r="B15">
            <v>11975</v>
          </cell>
          <cell r="C15" t="str">
            <v>Lakshmindara Bhanja</v>
          </cell>
          <cell r="D15" t="str">
            <v>Housekeeping</v>
          </cell>
          <cell r="E15" t="str">
            <v>P</v>
          </cell>
          <cell r="F15" t="str">
            <v>P</v>
          </cell>
          <cell r="G15" t="str">
            <v>P</v>
          </cell>
          <cell r="H15" t="str">
            <v>P</v>
          </cell>
          <cell r="I15" t="str">
            <v>W/O</v>
          </cell>
          <cell r="J15" t="str">
            <v>P</v>
          </cell>
          <cell r="K15" t="str">
            <v>P</v>
          </cell>
          <cell r="L15" t="str">
            <v>P</v>
          </cell>
          <cell r="M15" t="str">
            <v>P</v>
          </cell>
          <cell r="N15" t="str">
            <v>P</v>
          </cell>
          <cell r="O15" t="str">
            <v>P</v>
          </cell>
          <cell r="P15" t="str">
            <v>W/O</v>
          </cell>
          <cell r="Q15" t="str">
            <v>P</v>
          </cell>
          <cell r="R15" t="str">
            <v>P</v>
          </cell>
          <cell r="S15" t="str">
            <v>P</v>
          </cell>
          <cell r="T15" t="str">
            <v>P</v>
          </cell>
          <cell r="U15" t="str">
            <v>A</v>
          </cell>
          <cell r="V15" t="str">
            <v>A</v>
          </cell>
          <cell r="W15" t="str">
            <v>A</v>
          </cell>
          <cell r="X15" t="str">
            <v>A</v>
          </cell>
          <cell r="Y15" t="str">
            <v>A</v>
          </cell>
          <cell r="Z15" t="str">
            <v>A</v>
          </cell>
          <cell r="AA15" t="str">
            <v>A</v>
          </cell>
          <cell r="AB15" t="str">
            <v>A</v>
          </cell>
          <cell r="AC15" t="str">
            <v>A</v>
          </cell>
          <cell r="AD15" t="str">
            <v>A</v>
          </cell>
          <cell r="AE15" t="str">
            <v>A</v>
          </cell>
          <cell r="AF15" t="str">
            <v>A</v>
          </cell>
          <cell r="AG15" t="str">
            <v>A</v>
          </cell>
          <cell r="AH15" t="str">
            <v>A</v>
          </cell>
          <cell r="AI15" t="str">
            <v>A</v>
          </cell>
          <cell r="AJ15">
            <v>31</v>
          </cell>
          <cell r="AK15">
            <v>14</v>
          </cell>
          <cell r="AL15">
            <v>2</v>
          </cell>
          <cell r="AM15">
            <v>15</v>
          </cell>
          <cell r="AN15">
            <v>0</v>
          </cell>
          <cell r="AO15">
            <v>0</v>
          </cell>
          <cell r="AP15">
            <v>16</v>
          </cell>
        </row>
        <row r="17">
          <cell r="B17">
            <v>11529</v>
          </cell>
          <cell r="C17" t="str">
            <v>Upender Si</v>
          </cell>
          <cell r="D17" t="str">
            <v>Housekeeping</v>
          </cell>
          <cell r="E17" t="str">
            <v>P</v>
          </cell>
          <cell r="F17" t="str">
            <v>P</v>
          </cell>
          <cell r="G17" t="str">
            <v>P</v>
          </cell>
          <cell r="H17" t="str">
            <v>P</v>
          </cell>
          <cell r="I17" t="str">
            <v>W/O</v>
          </cell>
          <cell r="J17" t="str">
            <v>P</v>
          </cell>
          <cell r="K17" t="str">
            <v>P</v>
          </cell>
          <cell r="L17" t="str">
            <v>P</v>
          </cell>
          <cell r="M17" t="str">
            <v>P</v>
          </cell>
          <cell r="N17" t="str">
            <v>P</v>
          </cell>
          <cell r="O17" t="str">
            <v>P</v>
          </cell>
          <cell r="P17" t="str">
            <v>W/O</v>
          </cell>
          <cell r="Q17" t="str">
            <v>P</v>
          </cell>
          <cell r="R17" t="str">
            <v>P</v>
          </cell>
          <cell r="S17" t="str">
            <v>P</v>
          </cell>
          <cell r="T17" t="str">
            <v>P</v>
          </cell>
          <cell r="U17" t="str">
            <v>P</v>
          </cell>
          <cell r="V17" t="str">
            <v>P</v>
          </cell>
          <cell r="W17" t="str">
            <v>W/O</v>
          </cell>
          <cell r="X17" t="str">
            <v>P</v>
          </cell>
          <cell r="Y17" t="str">
            <v>P</v>
          </cell>
          <cell r="Z17" t="str">
            <v>P</v>
          </cell>
          <cell r="AA17" t="str">
            <v>P</v>
          </cell>
          <cell r="AB17" t="str">
            <v>P</v>
          </cell>
          <cell r="AC17" t="str">
            <v>P</v>
          </cell>
          <cell r="AD17" t="str">
            <v>W/O</v>
          </cell>
          <cell r="AE17" t="str">
            <v>P</v>
          </cell>
          <cell r="AF17" t="str">
            <v>P</v>
          </cell>
          <cell r="AG17" t="str">
            <v>P</v>
          </cell>
          <cell r="AH17" t="str">
            <v>P</v>
          </cell>
          <cell r="AI17" t="str">
            <v>P</v>
          </cell>
          <cell r="AJ17">
            <v>31</v>
          </cell>
          <cell r="AK17">
            <v>27</v>
          </cell>
          <cell r="AL17">
            <v>4</v>
          </cell>
          <cell r="AM17">
            <v>0</v>
          </cell>
          <cell r="AN17">
            <v>0</v>
          </cell>
          <cell r="AO17">
            <v>0</v>
          </cell>
          <cell r="AP17">
            <v>31</v>
          </cell>
        </row>
        <row r="19">
          <cell r="B19">
            <v>11838</v>
          </cell>
          <cell r="C19" t="str">
            <v>Ashok Kumar daal</v>
          </cell>
          <cell r="D19" t="str">
            <v>Housekeeping</v>
          </cell>
          <cell r="E19" t="str">
            <v>P</v>
          </cell>
          <cell r="F19" t="str">
            <v>P</v>
          </cell>
          <cell r="G19" t="str">
            <v>P</v>
          </cell>
          <cell r="H19" t="str">
            <v>P</v>
          </cell>
          <cell r="I19" t="str">
            <v>W/O</v>
          </cell>
          <cell r="J19" t="str">
            <v>P</v>
          </cell>
          <cell r="K19" t="str">
            <v>P</v>
          </cell>
          <cell r="L19" t="str">
            <v>P</v>
          </cell>
          <cell r="M19" t="str">
            <v>P</v>
          </cell>
          <cell r="N19" t="str">
            <v>P</v>
          </cell>
          <cell r="O19" t="str">
            <v>P</v>
          </cell>
          <cell r="P19" t="str">
            <v>W/O</v>
          </cell>
          <cell r="Q19" t="str">
            <v>P</v>
          </cell>
          <cell r="R19" t="str">
            <v>P</v>
          </cell>
          <cell r="S19" t="str">
            <v>P</v>
          </cell>
          <cell r="T19" t="str">
            <v>P</v>
          </cell>
          <cell r="U19" t="str">
            <v>P</v>
          </cell>
          <cell r="V19" t="str">
            <v>P</v>
          </cell>
          <cell r="W19" t="str">
            <v>W/O</v>
          </cell>
          <cell r="X19" t="str">
            <v>P</v>
          </cell>
          <cell r="Y19" t="str">
            <v>P</v>
          </cell>
          <cell r="Z19" t="str">
            <v>P</v>
          </cell>
          <cell r="AA19" t="str">
            <v>P</v>
          </cell>
          <cell r="AB19" t="str">
            <v>P</v>
          </cell>
          <cell r="AC19" t="str">
            <v>P</v>
          </cell>
          <cell r="AD19" t="str">
            <v>W/O</v>
          </cell>
          <cell r="AE19" t="str">
            <v>P</v>
          </cell>
          <cell r="AF19" t="str">
            <v>P</v>
          </cell>
          <cell r="AG19" t="str">
            <v>P</v>
          </cell>
          <cell r="AH19" t="str">
            <v>P</v>
          </cell>
          <cell r="AI19" t="str">
            <v>P</v>
          </cell>
          <cell r="AJ19">
            <v>31</v>
          </cell>
          <cell r="AK19">
            <v>27</v>
          </cell>
          <cell r="AL19">
            <v>4</v>
          </cell>
          <cell r="AM19">
            <v>0</v>
          </cell>
          <cell r="AN19">
            <v>0</v>
          </cell>
          <cell r="AO19">
            <v>0</v>
          </cell>
          <cell r="AP19">
            <v>31</v>
          </cell>
        </row>
        <row r="21">
          <cell r="B21">
            <v>11509</v>
          </cell>
          <cell r="C21" t="str">
            <v>Jagannath Nanda</v>
          </cell>
          <cell r="D21" t="str">
            <v>Housekeeping</v>
          </cell>
          <cell r="E21" t="str">
            <v>P</v>
          </cell>
          <cell r="F21" t="str">
            <v>P</v>
          </cell>
          <cell r="G21" t="str">
            <v>P</v>
          </cell>
          <cell r="H21" t="str">
            <v>P</v>
          </cell>
          <cell r="I21" t="str">
            <v>W/O</v>
          </cell>
          <cell r="J21" t="str">
            <v>P</v>
          </cell>
          <cell r="K21" t="str">
            <v>P</v>
          </cell>
          <cell r="L21" t="str">
            <v>P</v>
          </cell>
          <cell r="M21" t="str">
            <v>P</v>
          </cell>
          <cell r="N21" t="str">
            <v>P</v>
          </cell>
          <cell r="O21" t="str">
            <v>P</v>
          </cell>
          <cell r="P21" t="str">
            <v>W/O</v>
          </cell>
          <cell r="Q21" t="str">
            <v>P</v>
          </cell>
          <cell r="R21" t="str">
            <v>P</v>
          </cell>
          <cell r="S21" t="str">
            <v>P</v>
          </cell>
          <cell r="T21" t="str">
            <v>P</v>
          </cell>
          <cell r="U21" t="str">
            <v>P</v>
          </cell>
          <cell r="V21" t="str">
            <v>P</v>
          </cell>
          <cell r="W21" t="str">
            <v>W/O</v>
          </cell>
          <cell r="X21" t="str">
            <v>P</v>
          </cell>
          <cell r="Y21" t="str">
            <v>P</v>
          </cell>
          <cell r="Z21" t="str">
            <v>A</v>
          </cell>
          <cell r="AA21" t="str">
            <v>A</v>
          </cell>
          <cell r="AB21" t="str">
            <v>A</v>
          </cell>
          <cell r="AC21" t="str">
            <v>A</v>
          </cell>
          <cell r="AD21" t="str">
            <v>A</v>
          </cell>
          <cell r="AE21" t="str">
            <v>A</v>
          </cell>
          <cell r="AF21" t="str">
            <v>A</v>
          </cell>
          <cell r="AG21" t="str">
            <v>A</v>
          </cell>
          <cell r="AH21" t="str">
            <v>A</v>
          </cell>
          <cell r="AI21" t="str">
            <v>A</v>
          </cell>
          <cell r="AJ21">
            <v>31</v>
          </cell>
          <cell r="AK21">
            <v>18</v>
          </cell>
          <cell r="AL21">
            <v>3</v>
          </cell>
          <cell r="AM21">
            <v>10</v>
          </cell>
          <cell r="AN21">
            <v>0</v>
          </cell>
          <cell r="AO21">
            <v>0</v>
          </cell>
          <cell r="AP21">
            <v>21</v>
          </cell>
        </row>
        <row r="23">
          <cell r="B23">
            <v>11977</v>
          </cell>
          <cell r="C23" t="str">
            <v>Parvesh Kumar Daal</v>
          </cell>
          <cell r="D23" t="str">
            <v>Housekeeping</v>
          </cell>
          <cell r="E23" t="str">
            <v>P</v>
          </cell>
          <cell r="F23" t="str">
            <v>P</v>
          </cell>
          <cell r="G23" t="str">
            <v>P</v>
          </cell>
          <cell r="H23" t="str">
            <v>P</v>
          </cell>
          <cell r="I23" t="str">
            <v>W/O</v>
          </cell>
          <cell r="J23" t="str">
            <v>P</v>
          </cell>
          <cell r="K23" t="str">
            <v>P</v>
          </cell>
          <cell r="L23" t="str">
            <v>P</v>
          </cell>
          <cell r="M23" t="str">
            <v>P</v>
          </cell>
          <cell r="N23" t="str">
            <v>P</v>
          </cell>
          <cell r="O23" t="str">
            <v>P</v>
          </cell>
          <cell r="P23" t="str">
            <v>W/O</v>
          </cell>
          <cell r="Q23" t="str">
            <v>P</v>
          </cell>
          <cell r="R23" t="str">
            <v>P</v>
          </cell>
          <cell r="S23" t="str">
            <v>P</v>
          </cell>
          <cell r="T23" t="str">
            <v>P</v>
          </cell>
          <cell r="U23" t="str">
            <v>P</v>
          </cell>
          <cell r="V23" t="str">
            <v>P</v>
          </cell>
          <cell r="W23" t="str">
            <v>W/O</v>
          </cell>
          <cell r="X23" t="str">
            <v>P</v>
          </cell>
          <cell r="Y23" t="str">
            <v>P</v>
          </cell>
          <cell r="Z23" t="str">
            <v>P</v>
          </cell>
          <cell r="AA23" t="str">
            <v>P</v>
          </cell>
          <cell r="AB23" t="str">
            <v>P</v>
          </cell>
          <cell r="AC23" t="str">
            <v>P</v>
          </cell>
          <cell r="AD23" t="str">
            <v>W/O</v>
          </cell>
          <cell r="AE23" t="str">
            <v>P</v>
          </cell>
          <cell r="AF23" t="str">
            <v>P</v>
          </cell>
          <cell r="AG23" t="str">
            <v>P</v>
          </cell>
          <cell r="AH23" t="str">
            <v>P</v>
          </cell>
          <cell r="AI23" t="str">
            <v>P</v>
          </cell>
          <cell r="AJ23">
            <v>31</v>
          </cell>
          <cell r="AK23">
            <v>27</v>
          </cell>
          <cell r="AL23">
            <v>4</v>
          </cell>
          <cell r="AM23">
            <v>0</v>
          </cell>
          <cell r="AN23">
            <v>0</v>
          </cell>
          <cell r="AO23">
            <v>0</v>
          </cell>
          <cell r="AP23">
            <v>31</v>
          </cell>
        </row>
        <row r="25">
          <cell r="B25">
            <v>11530</v>
          </cell>
          <cell r="C25" t="str">
            <v>Shiva Prasad Das</v>
          </cell>
          <cell r="D25" t="str">
            <v>Housekeeping</v>
          </cell>
          <cell r="E25" t="str">
            <v>P</v>
          </cell>
          <cell r="F25" t="str">
            <v>P</v>
          </cell>
          <cell r="G25" t="str">
            <v>P</v>
          </cell>
          <cell r="H25" t="str">
            <v>P</v>
          </cell>
          <cell r="I25" t="str">
            <v>W/O</v>
          </cell>
          <cell r="J25" t="str">
            <v>P</v>
          </cell>
          <cell r="K25" t="str">
            <v>P</v>
          </cell>
          <cell r="L25" t="str">
            <v>P</v>
          </cell>
          <cell r="M25" t="str">
            <v>P</v>
          </cell>
          <cell r="N25" t="str">
            <v>P</v>
          </cell>
          <cell r="O25" t="str">
            <v>P</v>
          </cell>
          <cell r="P25" t="str">
            <v>W/O</v>
          </cell>
          <cell r="Q25" t="str">
            <v>P</v>
          </cell>
          <cell r="R25" t="str">
            <v>P</v>
          </cell>
          <cell r="S25" t="str">
            <v>P</v>
          </cell>
          <cell r="T25" t="str">
            <v>P</v>
          </cell>
          <cell r="U25" t="str">
            <v>P</v>
          </cell>
          <cell r="V25" t="str">
            <v>P</v>
          </cell>
          <cell r="W25" t="str">
            <v>W/O</v>
          </cell>
          <cell r="X25" t="str">
            <v>P</v>
          </cell>
          <cell r="Y25" t="str">
            <v>P</v>
          </cell>
          <cell r="Z25" t="str">
            <v>P</v>
          </cell>
          <cell r="AA25" t="str">
            <v>P</v>
          </cell>
          <cell r="AB25" t="str">
            <v>P</v>
          </cell>
          <cell r="AC25" t="str">
            <v>P</v>
          </cell>
          <cell r="AD25" t="str">
            <v>W/O</v>
          </cell>
          <cell r="AE25" t="str">
            <v>P</v>
          </cell>
          <cell r="AF25" t="str">
            <v>P</v>
          </cell>
          <cell r="AG25" t="str">
            <v>P</v>
          </cell>
          <cell r="AH25" t="str">
            <v>P</v>
          </cell>
          <cell r="AI25" t="str">
            <v>P</v>
          </cell>
          <cell r="AJ25">
            <v>31</v>
          </cell>
          <cell r="AK25">
            <v>27</v>
          </cell>
          <cell r="AL25">
            <v>4</v>
          </cell>
          <cell r="AM25">
            <v>0</v>
          </cell>
          <cell r="AN25">
            <v>0</v>
          </cell>
          <cell r="AO25">
            <v>0</v>
          </cell>
          <cell r="AP25">
            <v>31</v>
          </cell>
        </row>
        <row r="27">
          <cell r="B27">
            <v>2</v>
          </cell>
          <cell r="C27" t="str">
            <v>Abhimanyu</v>
          </cell>
          <cell r="D27" t="str">
            <v>Housekeeping</v>
          </cell>
          <cell r="E27" t="str">
            <v>P</v>
          </cell>
          <cell r="F27" t="str">
            <v>P</v>
          </cell>
          <cell r="G27" t="str">
            <v>P</v>
          </cell>
          <cell r="H27" t="str">
            <v>P</v>
          </cell>
          <cell r="I27" t="str">
            <v>W/O</v>
          </cell>
          <cell r="J27" t="str">
            <v>P</v>
          </cell>
          <cell r="K27" t="str">
            <v>P</v>
          </cell>
          <cell r="L27" t="str">
            <v>P</v>
          </cell>
          <cell r="M27" t="str">
            <v>P</v>
          </cell>
          <cell r="N27" t="str">
            <v>P</v>
          </cell>
          <cell r="O27" t="str">
            <v>P</v>
          </cell>
          <cell r="P27" t="str">
            <v>W/O</v>
          </cell>
          <cell r="Q27" t="str">
            <v>P</v>
          </cell>
          <cell r="R27" t="str">
            <v>P</v>
          </cell>
          <cell r="S27" t="str">
            <v>P</v>
          </cell>
          <cell r="T27" t="str">
            <v>P</v>
          </cell>
          <cell r="U27" t="str">
            <v>P</v>
          </cell>
          <cell r="V27" t="str">
            <v>P</v>
          </cell>
          <cell r="W27" t="str">
            <v>W/O</v>
          </cell>
          <cell r="X27" t="str">
            <v>P</v>
          </cell>
          <cell r="Y27" t="str">
            <v>P</v>
          </cell>
          <cell r="Z27" t="str">
            <v>P</v>
          </cell>
          <cell r="AA27" t="str">
            <v>P</v>
          </cell>
          <cell r="AB27" t="str">
            <v>P</v>
          </cell>
          <cell r="AC27" t="str">
            <v>P</v>
          </cell>
          <cell r="AD27" t="str">
            <v>W/O</v>
          </cell>
          <cell r="AE27" t="str">
            <v>P</v>
          </cell>
          <cell r="AF27" t="str">
            <v>P</v>
          </cell>
          <cell r="AG27" t="str">
            <v>P</v>
          </cell>
          <cell r="AH27" t="str">
            <v>P</v>
          </cell>
          <cell r="AI27" t="str">
            <v>P</v>
          </cell>
          <cell r="AJ27">
            <v>31</v>
          </cell>
          <cell r="AK27">
            <v>27</v>
          </cell>
          <cell r="AL27">
            <v>4</v>
          </cell>
          <cell r="AM27">
            <v>0</v>
          </cell>
          <cell r="AN27">
            <v>0</v>
          </cell>
          <cell r="AO27">
            <v>0</v>
          </cell>
          <cell r="AP27">
            <v>31</v>
          </cell>
        </row>
        <row r="29">
          <cell r="B29">
            <v>3</v>
          </cell>
          <cell r="C29" t="str">
            <v>Sangram Keshari Patra</v>
          </cell>
          <cell r="D29" t="str">
            <v>Housekeeping</v>
          </cell>
          <cell r="E29" t="str">
            <v>A</v>
          </cell>
          <cell r="F29" t="str">
            <v>A</v>
          </cell>
          <cell r="G29" t="str">
            <v>A</v>
          </cell>
          <cell r="H29" t="str">
            <v>A</v>
          </cell>
          <cell r="I29" t="str">
            <v>A</v>
          </cell>
          <cell r="J29" t="str">
            <v>A</v>
          </cell>
          <cell r="K29" t="str">
            <v>A</v>
          </cell>
          <cell r="L29" t="str">
            <v>A</v>
          </cell>
          <cell r="M29" t="str">
            <v>A</v>
          </cell>
          <cell r="N29" t="str">
            <v>A</v>
          </cell>
          <cell r="O29" t="str">
            <v>A</v>
          </cell>
          <cell r="P29" t="str">
            <v>A</v>
          </cell>
          <cell r="Q29" t="str">
            <v>P</v>
          </cell>
          <cell r="R29" t="str">
            <v>P</v>
          </cell>
          <cell r="S29" t="str">
            <v>P</v>
          </cell>
          <cell r="T29" t="str">
            <v>P</v>
          </cell>
          <cell r="U29" t="str">
            <v>P</v>
          </cell>
          <cell r="V29" t="str">
            <v>P</v>
          </cell>
          <cell r="W29" t="str">
            <v>W/O</v>
          </cell>
          <cell r="X29" t="str">
            <v>P</v>
          </cell>
          <cell r="Y29" t="str">
            <v>P</v>
          </cell>
          <cell r="Z29" t="str">
            <v>P</v>
          </cell>
          <cell r="AA29" t="str">
            <v>P</v>
          </cell>
          <cell r="AB29" t="str">
            <v>P</v>
          </cell>
          <cell r="AC29" t="str">
            <v>P</v>
          </cell>
          <cell r="AD29" t="str">
            <v>W/O</v>
          </cell>
          <cell r="AE29" t="str">
            <v>P</v>
          </cell>
          <cell r="AF29" t="str">
            <v>P</v>
          </cell>
          <cell r="AG29" t="str">
            <v>P</v>
          </cell>
          <cell r="AH29" t="str">
            <v>P</v>
          </cell>
          <cell r="AI29" t="str">
            <v>P</v>
          </cell>
          <cell r="AJ29">
            <v>31</v>
          </cell>
          <cell r="AK29">
            <v>17</v>
          </cell>
          <cell r="AL29">
            <v>2</v>
          </cell>
          <cell r="AM29">
            <v>12</v>
          </cell>
          <cell r="AN29">
            <v>0</v>
          </cell>
          <cell r="AO29">
            <v>0</v>
          </cell>
          <cell r="AP29">
            <v>19</v>
          </cell>
        </row>
        <row r="31">
          <cell r="B31">
            <v>1</v>
          </cell>
          <cell r="C31" t="str">
            <v>Rohit</v>
          </cell>
          <cell r="D31" t="str">
            <v>Housekeeping</v>
          </cell>
          <cell r="E31" t="str">
            <v>A</v>
          </cell>
          <cell r="F31" t="str">
            <v>A</v>
          </cell>
          <cell r="G31" t="str">
            <v>A</v>
          </cell>
          <cell r="H31" t="str">
            <v>A</v>
          </cell>
          <cell r="I31" t="str">
            <v>A</v>
          </cell>
          <cell r="J31" t="str">
            <v>A</v>
          </cell>
          <cell r="K31" t="str">
            <v>A</v>
          </cell>
          <cell r="L31" t="str">
            <v>A</v>
          </cell>
          <cell r="M31" t="str">
            <v>P</v>
          </cell>
          <cell r="N31" t="str">
            <v>P</v>
          </cell>
          <cell r="O31" t="str">
            <v>P</v>
          </cell>
          <cell r="P31" t="str">
            <v>W/O</v>
          </cell>
          <cell r="Q31" t="str">
            <v>P</v>
          </cell>
          <cell r="R31" t="str">
            <v>P</v>
          </cell>
          <cell r="S31" t="str">
            <v>P</v>
          </cell>
          <cell r="T31" t="str">
            <v>P</v>
          </cell>
          <cell r="U31" t="str">
            <v>P</v>
          </cell>
          <cell r="V31" t="str">
            <v>P</v>
          </cell>
          <cell r="W31" t="str">
            <v>W/O</v>
          </cell>
          <cell r="X31" t="str">
            <v>P</v>
          </cell>
          <cell r="Y31" t="str">
            <v>P</v>
          </cell>
          <cell r="Z31" t="str">
            <v>P</v>
          </cell>
          <cell r="AA31" t="str">
            <v>P</v>
          </cell>
          <cell r="AB31" t="str">
            <v>P</v>
          </cell>
          <cell r="AC31" t="str">
            <v>P</v>
          </cell>
          <cell r="AD31" t="str">
            <v>W/O</v>
          </cell>
          <cell r="AE31" t="str">
            <v>P</v>
          </cell>
          <cell r="AF31" t="str">
            <v>P</v>
          </cell>
          <cell r="AG31" t="str">
            <v>P</v>
          </cell>
          <cell r="AH31" t="str">
            <v>P</v>
          </cell>
          <cell r="AI31" t="str">
            <v>P</v>
          </cell>
          <cell r="AJ31">
            <v>31</v>
          </cell>
          <cell r="AK31">
            <v>20</v>
          </cell>
          <cell r="AL31">
            <v>3</v>
          </cell>
          <cell r="AM31">
            <v>8</v>
          </cell>
          <cell r="AN31">
            <v>0</v>
          </cell>
          <cell r="AO31">
            <v>0</v>
          </cell>
          <cell r="AP31">
            <v>23</v>
          </cell>
        </row>
        <row r="33">
          <cell r="AE33" t="str">
            <v xml:space="preserve">TOTAL
Greetings!
We would like to inform you that the Housekeeping &amp; Technician attendance has been shared for the month of June 2025. Kindly verify and seek your approval to proceed with salary processing. 
</v>
          </cell>
          <cell r="AJ33">
            <v>403</v>
          </cell>
          <cell r="AK33">
            <v>307</v>
          </cell>
          <cell r="AL33">
            <v>46</v>
          </cell>
          <cell r="AM33">
            <v>47</v>
          </cell>
          <cell r="AN33">
            <v>3</v>
          </cell>
          <cell r="AO33">
            <v>0</v>
          </cell>
          <cell r="AP33">
            <v>356</v>
          </cell>
        </row>
        <row r="34">
          <cell r="AJ34" t="str">
            <v>Grand Total Mandays</v>
          </cell>
          <cell r="AP34">
            <v>356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 1"/>
      <sheetName val="INVOICE 2"/>
      <sheetName val="Carpenter "/>
      <sheetName val="ATTENDANCE "/>
      <sheetName val="PAYSHEET"/>
      <sheetName val="BANK STMT"/>
    </sheetNames>
    <sheetDataSet>
      <sheetData sheetId="0" refreshError="1"/>
      <sheetData sheetId="1" refreshError="1"/>
      <sheetData sheetId="2" refreshError="1"/>
      <sheetData sheetId="3">
        <row r="4">
          <cell r="B4">
            <v>10905</v>
          </cell>
          <cell r="C4" t="str">
            <v>YADAVALLI ASHOK KUMAR</v>
          </cell>
          <cell r="D4" t="str">
            <v>MST</v>
          </cell>
          <cell r="E4" t="str">
            <v>SHIFT</v>
          </cell>
          <cell r="F4" t="str">
            <v>W/O</v>
          </cell>
          <cell r="G4" t="str">
            <v>P</v>
          </cell>
          <cell r="H4" t="str">
            <v>P</v>
          </cell>
          <cell r="I4" t="str">
            <v>P</v>
          </cell>
          <cell r="J4" t="str">
            <v>P</v>
          </cell>
          <cell r="K4" t="str">
            <v>P</v>
          </cell>
          <cell r="L4" t="str">
            <v>P</v>
          </cell>
          <cell r="M4" t="str">
            <v>W/O</v>
          </cell>
          <cell r="N4" t="str">
            <v>L</v>
          </cell>
          <cell r="O4" t="str">
            <v>P</v>
          </cell>
          <cell r="P4" t="str">
            <v>P</v>
          </cell>
          <cell r="Q4" t="str">
            <v>P</v>
          </cell>
          <cell r="R4" t="str">
            <v>P</v>
          </cell>
          <cell r="S4" t="str">
            <v>P</v>
          </cell>
          <cell r="T4" t="str">
            <v>W/O</v>
          </cell>
          <cell r="U4" t="str">
            <v>P</v>
          </cell>
          <cell r="V4" t="str">
            <v>P</v>
          </cell>
          <cell r="W4" t="str">
            <v>P</v>
          </cell>
          <cell r="X4" t="str">
            <v>P</v>
          </cell>
          <cell r="Y4" t="str">
            <v>P</v>
          </cell>
          <cell r="Z4" t="str">
            <v>P</v>
          </cell>
          <cell r="AA4" t="str">
            <v>W/O</v>
          </cell>
          <cell r="AB4" t="str">
            <v>P</v>
          </cell>
          <cell r="AC4" t="str">
            <v>P</v>
          </cell>
          <cell r="AD4" t="str">
            <v>P</v>
          </cell>
          <cell r="AE4" t="str">
            <v>P</v>
          </cell>
          <cell r="AF4" t="str">
            <v>P</v>
          </cell>
          <cell r="AG4" t="str">
            <v>P</v>
          </cell>
          <cell r="AH4" t="str">
            <v>W/O</v>
          </cell>
          <cell r="AI4" t="str">
            <v>P</v>
          </cell>
          <cell r="AJ4">
            <v>30</v>
          </cell>
          <cell r="AK4">
            <v>1</v>
          </cell>
          <cell r="AL4">
            <v>0</v>
          </cell>
          <cell r="AM4">
            <v>24</v>
          </cell>
          <cell r="AN4">
            <v>5</v>
          </cell>
          <cell r="AO4">
            <v>29</v>
          </cell>
          <cell r="AP4">
            <v>48</v>
          </cell>
          <cell r="AQ4">
            <v>6</v>
          </cell>
          <cell r="AR4">
            <v>35</v>
          </cell>
        </row>
        <row r="5">
          <cell r="E5" t="str">
            <v>BD</v>
          </cell>
          <cell r="G5">
            <v>8</v>
          </cell>
          <cell r="I5">
            <v>8</v>
          </cell>
          <cell r="P5">
            <v>8</v>
          </cell>
          <cell r="U5">
            <v>8</v>
          </cell>
          <cell r="Y5">
            <v>8</v>
          </cell>
          <cell r="AC5">
            <v>8</v>
          </cell>
        </row>
        <row r="6">
          <cell r="B6">
            <v>11046</v>
          </cell>
          <cell r="C6" t="str">
            <v>MADHU KANDURU</v>
          </cell>
          <cell r="D6" t="str">
            <v>MST</v>
          </cell>
          <cell r="E6" t="str">
            <v>SHIFT</v>
          </cell>
          <cell r="F6" t="str">
            <v>W/O</v>
          </cell>
          <cell r="G6" t="str">
            <v>L</v>
          </cell>
          <cell r="H6" t="str">
            <v>P</v>
          </cell>
          <cell r="I6" t="str">
            <v>P</v>
          </cell>
          <cell r="J6" t="str">
            <v>P</v>
          </cell>
          <cell r="K6" t="str">
            <v>P</v>
          </cell>
          <cell r="L6" t="str">
            <v>P</v>
          </cell>
          <cell r="M6" t="str">
            <v>W/O</v>
          </cell>
          <cell r="N6" t="str">
            <v>P</v>
          </cell>
          <cell r="O6" t="str">
            <v>P</v>
          </cell>
          <cell r="P6" t="str">
            <v>L</v>
          </cell>
          <cell r="Q6" t="str">
            <v>P</v>
          </cell>
          <cell r="R6" t="str">
            <v>P</v>
          </cell>
          <cell r="S6" t="str">
            <v>P</v>
          </cell>
          <cell r="T6" t="str">
            <v>W/O</v>
          </cell>
          <cell r="U6" t="str">
            <v>P</v>
          </cell>
          <cell r="V6" t="str">
            <v>P</v>
          </cell>
          <cell r="W6" t="str">
            <v>P</v>
          </cell>
          <cell r="X6" t="str">
            <v>P</v>
          </cell>
          <cell r="Y6" t="str">
            <v>L</v>
          </cell>
          <cell r="Z6" t="str">
            <v>P</v>
          </cell>
          <cell r="AA6" t="str">
            <v>W/O</v>
          </cell>
          <cell r="AB6" t="str">
            <v>P</v>
          </cell>
          <cell r="AC6" t="str">
            <v>P</v>
          </cell>
          <cell r="AD6" t="str">
            <v>P</v>
          </cell>
          <cell r="AE6" t="str">
            <v>P</v>
          </cell>
          <cell r="AF6" t="str">
            <v>P</v>
          </cell>
          <cell r="AG6" t="str">
            <v>P</v>
          </cell>
          <cell r="AH6" t="str">
            <v>W/O</v>
          </cell>
          <cell r="AI6" t="str">
            <v>P</v>
          </cell>
          <cell r="AJ6">
            <v>30</v>
          </cell>
          <cell r="AK6">
            <v>3</v>
          </cell>
          <cell r="AL6">
            <v>0</v>
          </cell>
          <cell r="AM6">
            <v>22</v>
          </cell>
          <cell r="AN6">
            <v>5</v>
          </cell>
          <cell r="AO6">
            <v>27</v>
          </cell>
          <cell r="AP6">
            <v>40</v>
          </cell>
          <cell r="AQ6">
            <v>5</v>
          </cell>
          <cell r="AR6">
            <v>32</v>
          </cell>
        </row>
        <row r="7">
          <cell r="E7" t="str">
            <v>BD</v>
          </cell>
          <cell r="N7">
            <v>8</v>
          </cell>
          <cell r="O7">
            <v>8</v>
          </cell>
          <cell r="AA7">
            <v>8</v>
          </cell>
          <cell r="AB7">
            <v>8</v>
          </cell>
          <cell r="AH7">
            <v>8</v>
          </cell>
        </row>
        <row r="8">
          <cell r="B8">
            <v>11057</v>
          </cell>
          <cell r="C8" t="str">
            <v>ALAUDDIN</v>
          </cell>
          <cell r="D8" t="str">
            <v>MST</v>
          </cell>
          <cell r="E8" t="str">
            <v>SHIFT</v>
          </cell>
          <cell r="F8" t="str">
            <v>P</v>
          </cell>
          <cell r="G8" t="str">
            <v>L</v>
          </cell>
          <cell r="H8" t="str">
            <v>P</v>
          </cell>
          <cell r="I8" t="str">
            <v>P</v>
          </cell>
          <cell r="J8" t="str">
            <v>P</v>
          </cell>
          <cell r="K8" t="str">
            <v>P</v>
          </cell>
          <cell r="L8" t="str">
            <v>W/O</v>
          </cell>
          <cell r="M8" t="str">
            <v>P</v>
          </cell>
          <cell r="N8" t="str">
            <v>P</v>
          </cell>
          <cell r="O8" t="str">
            <v>P</v>
          </cell>
          <cell r="P8" t="str">
            <v>P</v>
          </cell>
          <cell r="Q8" t="str">
            <v>P</v>
          </cell>
          <cell r="R8" t="str">
            <v>P</v>
          </cell>
          <cell r="S8" t="str">
            <v>W/O</v>
          </cell>
          <cell r="T8" t="str">
            <v>P</v>
          </cell>
          <cell r="U8" t="str">
            <v>L</v>
          </cell>
          <cell r="V8" t="str">
            <v>P</v>
          </cell>
          <cell r="W8" t="str">
            <v>P</v>
          </cell>
          <cell r="X8" t="str">
            <v>P</v>
          </cell>
          <cell r="Y8" t="str">
            <v>P</v>
          </cell>
          <cell r="Z8" t="str">
            <v>W/O</v>
          </cell>
          <cell r="AA8" t="str">
            <v>P</v>
          </cell>
          <cell r="AB8" t="str">
            <v>P</v>
          </cell>
          <cell r="AC8" t="str">
            <v>P</v>
          </cell>
          <cell r="AD8" t="str">
            <v>P</v>
          </cell>
          <cell r="AE8" t="str">
            <v>P</v>
          </cell>
          <cell r="AF8" t="str">
            <v>P</v>
          </cell>
          <cell r="AG8" t="str">
            <v>W/O</v>
          </cell>
          <cell r="AH8" t="str">
            <v>P</v>
          </cell>
          <cell r="AI8" t="str">
            <v>P</v>
          </cell>
          <cell r="AJ8">
            <v>30</v>
          </cell>
          <cell r="AK8">
            <v>2</v>
          </cell>
          <cell r="AL8">
            <v>0</v>
          </cell>
          <cell r="AM8">
            <v>24</v>
          </cell>
          <cell r="AN8">
            <v>4</v>
          </cell>
          <cell r="AO8">
            <v>28</v>
          </cell>
          <cell r="AP8">
            <v>16</v>
          </cell>
          <cell r="AQ8">
            <v>2</v>
          </cell>
          <cell r="AR8">
            <v>30</v>
          </cell>
        </row>
        <row r="9">
          <cell r="E9" t="str">
            <v>BD</v>
          </cell>
          <cell r="AE9">
            <v>8</v>
          </cell>
          <cell r="AI9">
            <v>8</v>
          </cell>
        </row>
        <row r="10">
          <cell r="B10">
            <v>11899</v>
          </cell>
          <cell r="C10" t="str">
            <v>MED ASIF BABA</v>
          </cell>
          <cell r="D10" t="str">
            <v>MST</v>
          </cell>
          <cell r="E10" t="str">
            <v>SHIFT</v>
          </cell>
          <cell r="F10" t="str">
            <v>P</v>
          </cell>
          <cell r="G10" t="str">
            <v>P</v>
          </cell>
          <cell r="H10" t="str">
            <v>P</v>
          </cell>
          <cell r="I10" t="str">
            <v>L</v>
          </cell>
          <cell r="J10" t="str">
            <v>P</v>
          </cell>
          <cell r="K10" t="str">
            <v>P</v>
          </cell>
          <cell r="L10" t="str">
            <v>W/O</v>
          </cell>
          <cell r="M10" t="str">
            <v>P</v>
          </cell>
          <cell r="N10" t="str">
            <v>P</v>
          </cell>
          <cell r="O10" t="str">
            <v>L</v>
          </cell>
          <cell r="P10" t="str">
            <v>P</v>
          </cell>
          <cell r="Q10" t="str">
            <v>P</v>
          </cell>
          <cell r="R10" t="str">
            <v>P</v>
          </cell>
          <cell r="S10" t="str">
            <v>W/O</v>
          </cell>
          <cell r="T10" t="str">
            <v>P</v>
          </cell>
          <cell r="U10" t="str">
            <v>P</v>
          </cell>
          <cell r="V10" t="str">
            <v>P</v>
          </cell>
          <cell r="W10" t="str">
            <v>P</v>
          </cell>
          <cell r="X10" t="str">
            <v>P</v>
          </cell>
          <cell r="Y10" t="str">
            <v>P</v>
          </cell>
          <cell r="Z10" t="str">
            <v>W/O</v>
          </cell>
          <cell r="AA10" t="str">
            <v>L</v>
          </cell>
          <cell r="AB10" t="str">
            <v>L</v>
          </cell>
          <cell r="AC10" t="str">
            <v>L</v>
          </cell>
          <cell r="AD10" t="str">
            <v>P</v>
          </cell>
          <cell r="AE10" t="str">
            <v>L</v>
          </cell>
          <cell r="AF10" t="str">
            <v>L</v>
          </cell>
          <cell r="AG10" t="str">
            <v>L</v>
          </cell>
          <cell r="AH10" t="str">
            <v>L</v>
          </cell>
          <cell r="AI10" t="str">
            <v>L</v>
          </cell>
          <cell r="AJ10">
            <v>30</v>
          </cell>
          <cell r="AK10">
            <v>10</v>
          </cell>
          <cell r="AL10">
            <v>0</v>
          </cell>
          <cell r="AM10">
            <v>17</v>
          </cell>
          <cell r="AN10">
            <v>3</v>
          </cell>
          <cell r="AO10">
            <v>20</v>
          </cell>
          <cell r="AP10">
            <v>8</v>
          </cell>
          <cell r="AQ10">
            <v>1</v>
          </cell>
          <cell r="AR10">
            <v>21</v>
          </cell>
        </row>
        <row r="11">
          <cell r="E11" t="str">
            <v>BD</v>
          </cell>
          <cell r="G11">
            <v>8</v>
          </cell>
        </row>
      </sheetData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CRED"/>
      <sheetName val="PEST CTRL"/>
      <sheetName val="MD SIR INVOICE"/>
      <sheetName val="Sheet1"/>
      <sheetName val="MD SIR INVOICE."/>
      <sheetName val="ATTANDANCE"/>
      <sheetName val="PAYSHEET "/>
      <sheetName val="CANTEEN DED"/>
      <sheetName val="INVOICE-HONOUR"/>
      <sheetName val="MD SIR  -INVOICE"/>
      <sheetName val="PAYSHEET"/>
      <sheetName val="Sheet2"/>
      <sheetName val="BANK ST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B5">
            <v>11737</v>
          </cell>
          <cell r="C5" t="str">
            <v>BANDARI PRAVEEN KUMAR</v>
          </cell>
          <cell r="D5" t="str">
            <v>BANDARI PRAVEEN KUMAR</v>
          </cell>
          <cell r="E5" t="str">
            <v>EXECUTIVE</v>
          </cell>
          <cell r="F5" t="str">
            <v>w/o</v>
          </cell>
          <cell r="G5" t="str">
            <v>P</v>
          </cell>
          <cell r="H5" t="str">
            <v>P</v>
          </cell>
          <cell r="I5" t="str">
            <v>P</v>
          </cell>
          <cell r="J5" t="str">
            <v>P</v>
          </cell>
          <cell r="K5" t="str">
            <v>P</v>
          </cell>
          <cell r="L5" t="str">
            <v>P</v>
          </cell>
          <cell r="M5" t="str">
            <v>w/o</v>
          </cell>
          <cell r="N5" t="str">
            <v>P</v>
          </cell>
          <cell r="O5" t="str">
            <v>P</v>
          </cell>
          <cell r="P5" t="str">
            <v>P</v>
          </cell>
          <cell r="Q5" t="str">
            <v>P</v>
          </cell>
          <cell r="R5" t="str">
            <v>P</v>
          </cell>
          <cell r="S5" t="str">
            <v>P</v>
          </cell>
          <cell r="T5" t="str">
            <v>w/o</v>
          </cell>
          <cell r="U5" t="str">
            <v>P</v>
          </cell>
          <cell r="V5" t="str">
            <v>P</v>
          </cell>
          <cell r="W5" t="str">
            <v>P</v>
          </cell>
          <cell r="X5" t="str">
            <v>P</v>
          </cell>
          <cell r="Y5" t="str">
            <v>P</v>
          </cell>
          <cell r="Z5" t="str">
            <v>P</v>
          </cell>
          <cell r="AA5" t="str">
            <v>w/o</v>
          </cell>
          <cell r="AB5" t="str">
            <v>P</v>
          </cell>
          <cell r="AC5" t="str">
            <v>P</v>
          </cell>
          <cell r="AD5" t="str">
            <v>P</v>
          </cell>
          <cell r="AE5" t="str">
            <v>A</v>
          </cell>
          <cell r="AF5" t="str">
            <v>P</v>
          </cell>
          <cell r="AG5" t="str">
            <v>w/o</v>
          </cell>
          <cell r="AH5" t="str">
            <v>P</v>
          </cell>
          <cell r="AI5" t="str">
            <v>P</v>
          </cell>
          <cell r="AJ5">
            <v>30</v>
          </cell>
          <cell r="AK5">
            <v>24</v>
          </cell>
          <cell r="AL5">
            <v>0</v>
          </cell>
          <cell r="AM5">
            <v>5</v>
          </cell>
          <cell r="AN5">
            <v>1</v>
          </cell>
          <cell r="AO5">
            <v>9</v>
          </cell>
          <cell r="AP5">
            <v>1</v>
          </cell>
          <cell r="AQ5">
            <v>30</v>
          </cell>
        </row>
        <row r="6">
          <cell r="F6">
            <v>9</v>
          </cell>
        </row>
        <row r="7">
          <cell r="B7">
            <v>12087</v>
          </cell>
          <cell r="C7" t="str">
            <v>HAREESH</v>
          </cell>
          <cell r="D7" t="str">
            <v>HAREESH</v>
          </cell>
          <cell r="E7" t="str">
            <v>HK SUPERVISOR</v>
          </cell>
          <cell r="F7" t="str">
            <v>P</v>
          </cell>
          <cell r="G7" t="str">
            <v>P</v>
          </cell>
          <cell r="H7" t="str">
            <v>P</v>
          </cell>
          <cell r="I7" t="str">
            <v>P</v>
          </cell>
          <cell r="J7" t="str">
            <v>P</v>
          </cell>
          <cell r="K7" t="str">
            <v>P</v>
          </cell>
          <cell r="L7" t="str">
            <v>P</v>
          </cell>
          <cell r="M7" t="str">
            <v>w/o</v>
          </cell>
          <cell r="N7" t="str">
            <v>P</v>
          </cell>
          <cell r="O7" t="str">
            <v>P</v>
          </cell>
          <cell r="P7" t="str">
            <v>P</v>
          </cell>
          <cell r="Q7" t="str">
            <v>P</v>
          </cell>
          <cell r="R7" t="str">
            <v>P</v>
          </cell>
          <cell r="S7" t="str">
            <v>w/o</v>
          </cell>
          <cell r="T7" t="str">
            <v>P</v>
          </cell>
          <cell r="U7" t="str">
            <v>P</v>
          </cell>
          <cell r="V7" t="str">
            <v>A</v>
          </cell>
          <cell r="W7" t="str">
            <v>A</v>
          </cell>
          <cell r="X7" t="str">
            <v>P</v>
          </cell>
          <cell r="Y7" t="str">
            <v>P</v>
          </cell>
          <cell r="Z7" t="str">
            <v>P</v>
          </cell>
          <cell r="AA7" t="str">
            <v>w/o</v>
          </cell>
          <cell r="AB7" t="str">
            <v>A</v>
          </cell>
          <cell r="AC7" t="str">
            <v>P</v>
          </cell>
          <cell r="AD7" t="str">
            <v>P</v>
          </cell>
          <cell r="AE7" t="str">
            <v>P</v>
          </cell>
          <cell r="AF7" t="str">
            <v>P</v>
          </cell>
          <cell r="AG7" t="str">
            <v>P</v>
          </cell>
          <cell r="AH7" t="str">
            <v>w/o</v>
          </cell>
          <cell r="AI7" t="str">
            <v>P</v>
          </cell>
          <cell r="AJ7">
            <v>30</v>
          </cell>
          <cell r="AK7">
            <v>23</v>
          </cell>
          <cell r="AL7">
            <v>0</v>
          </cell>
          <cell r="AM7">
            <v>4</v>
          </cell>
          <cell r="AN7">
            <v>3</v>
          </cell>
          <cell r="AO7">
            <v>16</v>
          </cell>
          <cell r="AP7">
            <v>1.7777777777777777</v>
          </cell>
          <cell r="AQ7">
            <v>28.777777777777779</v>
          </cell>
        </row>
        <row r="8">
          <cell r="K8">
            <v>4</v>
          </cell>
          <cell r="L8">
            <v>4</v>
          </cell>
          <cell r="X8">
            <v>4</v>
          </cell>
          <cell r="AG8">
            <v>4</v>
          </cell>
        </row>
        <row r="9">
          <cell r="B9">
            <v>12054</v>
          </cell>
          <cell r="C9" t="str">
            <v>SATHVIKA</v>
          </cell>
          <cell r="D9" t="str">
            <v>SATHVIKA</v>
          </cell>
          <cell r="E9" t="str">
            <v>HK SUPERVISOR</v>
          </cell>
          <cell r="F9" t="str">
            <v>w/o</v>
          </cell>
          <cell r="G9" t="str">
            <v>P</v>
          </cell>
          <cell r="H9" t="str">
            <v>A</v>
          </cell>
          <cell r="I9" t="str">
            <v>P</v>
          </cell>
          <cell r="J9" t="str">
            <v>P</v>
          </cell>
          <cell r="K9" t="str">
            <v>P</v>
          </cell>
          <cell r="L9" t="str">
            <v>P</v>
          </cell>
          <cell r="M9" t="str">
            <v>w/o</v>
          </cell>
          <cell r="N9" t="str">
            <v>P</v>
          </cell>
          <cell r="O9" t="str">
            <v>P</v>
          </cell>
          <cell r="P9" t="str">
            <v>P</v>
          </cell>
          <cell r="Q9" t="str">
            <v>P</v>
          </cell>
          <cell r="R9" t="str">
            <v>P</v>
          </cell>
          <cell r="S9" t="str">
            <v>P</v>
          </cell>
          <cell r="T9" t="str">
            <v>w/o</v>
          </cell>
          <cell r="U9" t="str">
            <v>P</v>
          </cell>
          <cell r="V9" t="str">
            <v>P</v>
          </cell>
          <cell r="W9" t="str">
            <v>P</v>
          </cell>
          <cell r="X9" t="str">
            <v>P</v>
          </cell>
          <cell r="Y9" t="str">
            <v>A</v>
          </cell>
          <cell r="Z9" t="str">
            <v>P</v>
          </cell>
          <cell r="AA9" t="str">
            <v>w/o</v>
          </cell>
          <cell r="AB9" t="str">
            <v>P</v>
          </cell>
          <cell r="AC9" t="str">
            <v>P</v>
          </cell>
          <cell r="AD9" t="str">
            <v>P</v>
          </cell>
          <cell r="AE9" t="str">
            <v>P</v>
          </cell>
          <cell r="AF9" t="str">
            <v>P</v>
          </cell>
          <cell r="AG9" t="str">
            <v>P</v>
          </cell>
          <cell r="AH9" t="str">
            <v>w/o</v>
          </cell>
          <cell r="AI9" t="str">
            <v>P</v>
          </cell>
          <cell r="AJ9">
            <v>30</v>
          </cell>
          <cell r="AK9">
            <v>23</v>
          </cell>
          <cell r="AL9">
            <v>0</v>
          </cell>
          <cell r="AM9">
            <v>5</v>
          </cell>
          <cell r="AN9">
            <v>2</v>
          </cell>
          <cell r="AO9">
            <v>46</v>
          </cell>
          <cell r="AP9">
            <v>5.1111111111111107</v>
          </cell>
          <cell r="AQ9">
            <v>33.111111111111114</v>
          </cell>
        </row>
        <row r="10">
          <cell r="F10">
            <v>9</v>
          </cell>
          <cell r="G10">
            <v>4</v>
          </cell>
          <cell r="S10">
            <v>4</v>
          </cell>
          <cell r="U10">
            <v>4</v>
          </cell>
          <cell r="V10">
            <v>4</v>
          </cell>
          <cell r="Z10">
            <v>4</v>
          </cell>
          <cell r="AA10">
            <v>9</v>
          </cell>
          <cell r="AB10">
            <v>4</v>
          </cell>
          <cell r="AE10">
            <v>4</v>
          </cell>
        </row>
        <row r="11">
          <cell r="B11">
            <v>11305</v>
          </cell>
          <cell r="C11" t="str">
            <v>BANDAIAHA</v>
          </cell>
          <cell r="D11" t="str">
            <v>SURANI BANDAIAH</v>
          </cell>
          <cell r="E11" t="str">
            <v>CORIEAR BOY</v>
          </cell>
          <cell r="F11" t="str">
            <v>w/o</v>
          </cell>
          <cell r="G11" t="str">
            <v>P</v>
          </cell>
          <cell r="H11" t="str">
            <v>P</v>
          </cell>
          <cell r="I11" t="str">
            <v>P</v>
          </cell>
          <cell r="J11" t="str">
            <v>P</v>
          </cell>
          <cell r="K11" t="str">
            <v>P</v>
          </cell>
          <cell r="L11" t="str">
            <v>A</v>
          </cell>
          <cell r="M11" t="str">
            <v>w/o</v>
          </cell>
          <cell r="N11" t="str">
            <v>P</v>
          </cell>
          <cell r="O11" t="str">
            <v>P</v>
          </cell>
          <cell r="P11" t="str">
            <v>P</v>
          </cell>
          <cell r="Q11" t="str">
            <v>P</v>
          </cell>
          <cell r="R11" t="str">
            <v>P</v>
          </cell>
          <cell r="S11" t="str">
            <v>P</v>
          </cell>
          <cell r="T11" t="str">
            <v>w/o</v>
          </cell>
          <cell r="U11" t="str">
            <v>P</v>
          </cell>
          <cell r="V11" t="str">
            <v>P</v>
          </cell>
          <cell r="W11" t="str">
            <v>P</v>
          </cell>
          <cell r="X11" t="str">
            <v>P</v>
          </cell>
          <cell r="Y11" t="str">
            <v>A</v>
          </cell>
          <cell r="Z11" t="str">
            <v>A</v>
          </cell>
          <cell r="AA11" t="str">
            <v>w/o</v>
          </cell>
          <cell r="AB11" t="str">
            <v>A</v>
          </cell>
          <cell r="AC11" t="str">
            <v>P</v>
          </cell>
          <cell r="AD11" t="str">
            <v>P</v>
          </cell>
          <cell r="AE11" t="str">
            <v>P</v>
          </cell>
          <cell r="AF11" t="str">
            <v>P</v>
          </cell>
          <cell r="AG11" t="str">
            <v>P</v>
          </cell>
          <cell r="AH11" t="str">
            <v>w/o</v>
          </cell>
          <cell r="AI11" t="str">
            <v>P</v>
          </cell>
          <cell r="AJ11">
            <v>30</v>
          </cell>
          <cell r="AK11">
            <v>21</v>
          </cell>
          <cell r="AL11">
            <v>0</v>
          </cell>
          <cell r="AM11">
            <v>5</v>
          </cell>
          <cell r="AN11">
            <v>4</v>
          </cell>
          <cell r="AO11">
            <v>0</v>
          </cell>
          <cell r="AP11">
            <v>0</v>
          </cell>
          <cell r="AQ11">
            <v>26</v>
          </cell>
        </row>
        <row r="13">
          <cell r="B13">
            <v>11298</v>
          </cell>
          <cell r="C13" t="str">
            <v>SRAVAN</v>
          </cell>
          <cell r="D13" t="str">
            <v>SHRAVAN</v>
          </cell>
          <cell r="E13" t="str">
            <v>IT BOY</v>
          </cell>
          <cell r="F13" t="str">
            <v>w/o</v>
          </cell>
          <cell r="G13" t="str">
            <v>P</v>
          </cell>
          <cell r="H13" t="str">
            <v>P</v>
          </cell>
          <cell r="I13" t="str">
            <v>P</v>
          </cell>
          <cell r="J13" t="str">
            <v>P</v>
          </cell>
          <cell r="K13" t="str">
            <v>A</v>
          </cell>
          <cell r="L13" t="str">
            <v>A</v>
          </cell>
          <cell r="M13" t="str">
            <v>w/o</v>
          </cell>
          <cell r="N13" t="str">
            <v>A</v>
          </cell>
          <cell r="O13" t="str">
            <v>P</v>
          </cell>
          <cell r="P13" t="str">
            <v>P</v>
          </cell>
          <cell r="Q13" t="str">
            <v>P</v>
          </cell>
          <cell r="R13" t="str">
            <v>P</v>
          </cell>
          <cell r="S13" t="str">
            <v>P</v>
          </cell>
          <cell r="T13" t="str">
            <v>w/o</v>
          </cell>
          <cell r="U13" t="str">
            <v>P</v>
          </cell>
          <cell r="V13" t="str">
            <v>P</v>
          </cell>
          <cell r="W13" t="str">
            <v>A</v>
          </cell>
          <cell r="X13" t="str">
            <v>P</v>
          </cell>
          <cell r="Y13" t="str">
            <v>A</v>
          </cell>
          <cell r="Z13" t="str">
            <v>A</v>
          </cell>
          <cell r="AA13" t="str">
            <v>w/o</v>
          </cell>
          <cell r="AB13" t="str">
            <v>P</v>
          </cell>
          <cell r="AC13" t="str">
            <v>P</v>
          </cell>
          <cell r="AD13" t="str">
            <v>P</v>
          </cell>
          <cell r="AE13" t="str">
            <v>P</v>
          </cell>
          <cell r="AF13" t="str">
            <v>P</v>
          </cell>
          <cell r="AG13" t="str">
            <v>P</v>
          </cell>
          <cell r="AH13" t="str">
            <v>w/o</v>
          </cell>
          <cell r="AI13" t="str">
            <v>P</v>
          </cell>
          <cell r="AJ13">
            <v>30</v>
          </cell>
          <cell r="AK13">
            <v>19</v>
          </cell>
          <cell r="AL13">
            <v>0</v>
          </cell>
          <cell r="AM13">
            <v>5</v>
          </cell>
          <cell r="AN13">
            <v>6</v>
          </cell>
          <cell r="AO13">
            <v>0</v>
          </cell>
          <cell r="AP13">
            <v>0</v>
          </cell>
          <cell r="AQ13">
            <v>24</v>
          </cell>
        </row>
        <row r="15">
          <cell r="B15">
            <v>11301</v>
          </cell>
          <cell r="C15" t="str">
            <v>RAJKUMAR</v>
          </cell>
          <cell r="D15" t="str">
            <v>RAJ KUMAR BURU</v>
          </cell>
          <cell r="E15" t="str">
            <v>OFFICE STAFF</v>
          </cell>
          <cell r="F15" t="str">
            <v>w/o</v>
          </cell>
          <cell r="G15" t="str">
            <v>P</v>
          </cell>
          <cell r="H15" t="str">
            <v>P</v>
          </cell>
          <cell r="I15" t="str">
            <v>P</v>
          </cell>
          <cell r="J15" t="str">
            <v>P</v>
          </cell>
          <cell r="K15" t="str">
            <v>P</v>
          </cell>
          <cell r="L15" t="str">
            <v>P</v>
          </cell>
          <cell r="M15" t="str">
            <v>w/o</v>
          </cell>
          <cell r="N15" t="str">
            <v>P</v>
          </cell>
          <cell r="O15" t="str">
            <v>P</v>
          </cell>
          <cell r="P15" t="str">
            <v>P</v>
          </cell>
          <cell r="Q15" t="str">
            <v>P</v>
          </cell>
          <cell r="R15" t="str">
            <v>P</v>
          </cell>
          <cell r="S15" t="str">
            <v>P</v>
          </cell>
          <cell r="T15" t="str">
            <v>w/o</v>
          </cell>
          <cell r="U15" t="str">
            <v>P</v>
          </cell>
          <cell r="V15" t="str">
            <v>P</v>
          </cell>
          <cell r="W15" t="str">
            <v>P</v>
          </cell>
          <cell r="X15" t="str">
            <v>P</v>
          </cell>
          <cell r="Y15" t="str">
            <v>P</v>
          </cell>
          <cell r="Z15" t="str">
            <v>P</v>
          </cell>
          <cell r="AA15" t="str">
            <v>w/o</v>
          </cell>
          <cell r="AB15" t="str">
            <v>P</v>
          </cell>
          <cell r="AC15" t="str">
            <v>P</v>
          </cell>
          <cell r="AD15" t="str">
            <v>P</v>
          </cell>
          <cell r="AE15" t="str">
            <v>P</v>
          </cell>
          <cell r="AF15" t="str">
            <v>P</v>
          </cell>
          <cell r="AG15" t="str">
            <v>P</v>
          </cell>
          <cell r="AH15" t="str">
            <v>w/o</v>
          </cell>
          <cell r="AI15" t="str">
            <v>P</v>
          </cell>
          <cell r="AJ15">
            <v>30</v>
          </cell>
          <cell r="AK15">
            <v>25</v>
          </cell>
          <cell r="AL15">
            <v>0</v>
          </cell>
          <cell r="AM15">
            <v>5</v>
          </cell>
          <cell r="AN15">
            <v>0</v>
          </cell>
          <cell r="AO15">
            <v>0</v>
          </cell>
          <cell r="AP15">
            <v>0</v>
          </cell>
          <cell r="AQ15">
            <v>30</v>
          </cell>
        </row>
        <row r="17">
          <cell r="B17">
            <v>11304</v>
          </cell>
          <cell r="C17" t="str">
            <v>RAHUL</v>
          </cell>
          <cell r="D17" t="str">
            <v>SHYAMALA RAHUL REDDY</v>
          </cell>
          <cell r="E17" t="str">
            <v>OFFICE STAFF</v>
          </cell>
          <cell r="F17" t="str">
            <v>w/o</v>
          </cell>
          <cell r="G17" t="str">
            <v>P</v>
          </cell>
          <cell r="H17" t="str">
            <v>P</v>
          </cell>
          <cell r="I17" t="str">
            <v>P</v>
          </cell>
          <cell r="J17" t="str">
            <v>P</v>
          </cell>
          <cell r="K17" t="str">
            <v>P</v>
          </cell>
          <cell r="L17" t="str">
            <v>P</v>
          </cell>
          <cell r="M17" t="str">
            <v>w/o</v>
          </cell>
          <cell r="N17" t="str">
            <v>P</v>
          </cell>
          <cell r="O17" t="str">
            <v>P</v>
          </cell>
          <cell r="P17" t="str">
            <v>P</v>
          </cell>
          <cell r="Q17" t="str">
            <v>P</v>
          </cell>
          <cell r="R17" t="str">
            <v>P</v>
          </cell>
          <cell r="S17" t="str">
            <v>P</v>
          </cell>
          <cell r="T17" t="str">
            <v>w/o</v>
          </cell>
          <cell r="U17" t="str">
            <v>P</v>
          </cell>
          <cell r="V17" t="str">
            <v>P</v>
          </cell>
          <cell r="W17" t="str">
            <v>P</v>
          </cell>
          <cell r="X17" t="str">
            <v>P</v>
          </cell>
          <cell r="Y17" t="str">
            <v>P</v>
          </cell>
          <cell r="Z17" t="str">
            <v>P</v>
          </cell>
          <cell r="AA17" t="str">
            <v>w/o</v>
          </cell>
          <cell r="AB17" t="str">
            <v>P</v>
          </cell>
          <cell r="AC17" t="str">
            <v>P</v>
          </cell>
          <cell r="AD17" t="str">
            <v>P</v>
          </cell>
          <cell r="AE17" t="str">
            <v>P</v>
          </cell>
          <cell r="AF17" t="str">
            <v>P</v>
          </cell>
          <cell r="AG17" t="str">
            <v>P</v>
          </cell>
          <cell r="AH17" t="str">
            <v>w/o</v>
          </cell>
          <cell r="AI17" t="str">
            <v>P</v>
          </cell>
          <cell r="AJ17">
            <v>30</v>
          </cell>
          <cell r="AK17">
            <v>25</v>
          </cell>
          <cell r="AL17">
            <v>0</v>
          </cell>
          <cell r="AM17">
            <v>5</v>
          </cell>
          <cell r="AN17">
            <v>0</v>
          </cell>
          <cell r="AO17">
            <v>0</v>
          </cell>
          <cell r="AP17">
            <v>0</v>
          </cell>
          <cell r="AQ17">
            <v>30</v>
          </cell>
        </row>
        <row r="19">
          <cell r="B19">
            <v>11932</v>
          </cell>
          <cell r="C19" t="str">
            <v>ARUNKUMAR</v>
          </cell>
          <cell r="D19" t="str">
            <v>ARUNKUMAR</v>
          </cell>
          <cell r="E19" t="str">
            <v>OFFICE STAFF</v>
          </cell>
          <cell r="F19" t="str">
            <v>w/o</v>
          </cell>
          <cell r="G19" t="str">
            <v>P</v>
          </cell>
          <cell r="H19" t="str">
            <v>P</v>
          </cell>
          <cell r="I19" t="str">
            <v>P</v>
          </cell>
          <cell r="J19" t="str">
            <v>P</v>
          </cell>
          <cell r="K19" t="str">
            <v>P</v>
          </cell>
          <cell r="L19" t="str">
            <v>P</v>
          </cell>
          <cell r="M19" t="str">
            <v>w/o</v>
          </cell>
          <cell r="N19" t="str">
            <v>P</v>
          </cell>
          <cell r="O19" t="str">
            <v>P</v>
          </cell>
          <cell r="P19" t="str">
            <v>P</v>
          </cell>
          <cell r="Q19" t="str">
            <v>P</v>
          </cell>
          <cell r="R19" t="str">
            <v>P</v>
          </cell>
          <cell r="S19" t="str">
            <v>P</v>
          </cell>
          <cell r="T19" t="str">
            <v>w/o</v>
          </cell>
          <cell r="U19" t="str">
            <v>P</v>
          </cell>
          <cell r="V19" t="str">
            <v>P</v>
          </cell>
          <cell r="W19" t="str">
            <v>P</v>
          </cell>
          <cell r="X19" t="str">
            <v>P</v>
          </cell>
          <cell r="Y19" t="str">
            <v>P</v>
          </cell>
          <cell r="Z19" t="str">
            <v>P</v>
          </cell>
          <cell r="AA19" t="str">
            <v>w/o</v>
          </cell>
          <cell r="AB19" t="str">
            <v>P</v>
          </cell>
          <cell r="AC19" t="str">
            <v>P</v>
          </cell>
          <cell r="AD19" t="str">
            <v>P</v>
          </cell>
          <cell r="AE19" t="str">
            <v>P</v>
          </cell>
          <cell r="AF19" t="str">
            <v>P</v>
          </cell>
          <cell r="AG19" t="str">
            <v>P</v>
          </cell>
          <cell r="AH19" t="str">
            <v>w/o</v>
          </cell>
          <cell r="AI19" t="str">
            <v>P</v>
          </cell>
          <cell r="AJ19">
            <v>30</v>
          </cell>
          <cell r="AK19">
            <v>25</v>
          </cell>
          <cell r="AL19">
            <v>0</v>
          </cell>
          <cell r="AM19">
            <v>5</v>
          </cell>
          <cell r="AN19">
            <v>0</v>
          </cell>
          <cell r="AO19">
            <v>0</v>
          </cell>
          <cell r="AP19">
            <v>0</v>
          </cell>
          <cell r="AQ19">
            <v>30</v>
          </cell>
        </row>
        <row r="21">
          <cell r="B21">
            <v>11409</v>
          </cell>
          <cell r="C21" t="str">
            <v>SANDEEP</v>
          </cell>
          <cell r="D21" t="str">
            <v>SANDEEP</v>
          </cell>
          <cell r="E21" t="str">
            <v>PANTRY BOY</v>
          </cell>
          <cell r="F21" t="str">
            <v>A</v>
          </cell>
          <cell r="G21" t="str">
            <v>A</v>
          </cell>
          <cell r="H21" t="str">
            <v>A</v>
          </cell>
          <cell r="I21" t="str">
            <v>A</v>
          </cell>
          <cell r="J21" t="str">
            <v>A</v>
          </cell>
          <cell r="K21" t="str">
            <v>A</v>
          </cell>
          <cell r="L21" t="str">
            <v>A</v>
          </cell>
          <cell r="M21" t="str">
            <v>A</v>
          </cell>
          <cell r="N21" t="str">
            <v>A</v>
          </cell>
          <cell r="O21" t="str">
            <v>A</v>
          </cell>
          <cell r="P21" t="str">
            <v>A</v>
          </cell>
          <cell r="Q21" t="str">
            <v>A</v>
          </cell>
          <cell r="R21" t="str">
            <v>A</v>
          </cell>
          <cell r="S21" t="str">
            <v>A</v>
          </cell>
          <cell r="T21" t="str">
            <v>A</v>
          </cell>
          <cell r="U21" t="str">
            <v>P</v>
          </cell>
          <cell r="V21" t="str">
            <v>P</v>
          </cell>
          <cell r="W21" t="str">
            <v>P</v>
          </cell>
          <cell r="X21" t="str">
            <v>P</v>
          </cell>
          <cell r="Y21" t="str">
            <v>P</v>
          </cell>
          <cell r="Z21" t="str">
            <v>P</v>
          </cell>
          <cell r="AA21" t="str">
            <v>w/o</v>
          </cell>
          <cell r="AB21" t="str">
            <v>P</v>
          </cell>
          <cell r="AC21" t="str">
            <v>P</v>
          </cell>
          <cell r="AD21" t="str">
            <v>P</v>
          </cell>
          <cell r="AE21" t="str">
            <v>P</v>
          </cell>
          <cell r="AF21" t="str">
            <v>P</v>
          </cell>
          <cell r="AG21" t="str">
            <v>P</v>
          </cell>
          <cell r="AH21" t="str">
            <v>w/o</v>
          </cell>
          <cell r="AI21" t="str">
            <v>P</v>
          </cell>
          <cell r="AJ21">
            <v>30</v>
          </cell>
          <cell r="AK21">
            <v>13</v>
          </cell>
          <cell r="AL21">
            <v>0</v>
          </cell>
          <cell r="AM21">
            <v>2</v>
          </cell>
          <cell r="AN21">
            <v>15</v>
          </cell>
          <cell r="AO21">
            <v>8</v>
          </cell>
          <cell r="AP21">
            <v>0.88888888888888884</v>
          </cell>
          <cell r="AQ21">
            <v>15.888888888888889</v>
          </cell>
        </row>
        <row r="22">
          <cell r="Z22">
            <v>4</v>
          </cell>
          <cell r="AG22">
            <v>4</v>
          </cell>
        </row>
        <row r="23">
          <cell r="B23">
            <v>11942</v>
          </cell>
          <cell r="C23" t="str">
            <v xml:space="preserve"> BALARAJU</v>
          </cell>
          <cell r="D23" t="str">
            <v>BALARAJU</v>
          </cell>
          <cell r="E23" t="str">
            <v>OFFICE STAFF</v>
          </cell>
          <cell r="F23" t="str">
            <v>w/o</v>
          </cell>
          <cell r="G23" t="str">
            <v>P</v>
          </cell>
          <cell r="H23" t="str">
            <v>P</v>
          </cell>
          <cell r="I23" t="str">
            <v>P</v>
          </cell>
          <cell r="J23" t="str">
            <v>P</v>
          </cell>
          <cell r="K23" t="str">
            <v>A</v>
          </cell>
          <cell r="L23" t="str">
            <v>w/o</v>
          </cell>
          <cell r="M23" t="str">
            <v>A</v>
          </cell>
          <cell r="N23" t="str">
            <v>P</v>
          </cell>
          <cell r="O23" t="str">
            <v>P</v>
          </cell>
          <cell r="P23" t="str">
            <v>P</v>
          </cell>
          <cell r="Q23" t="str">
            <v>P</v>
          </cell>
          <cell r="R23" t="str">
            <v>P</v>
          </cell>
          <cell r="S23" t="str">
            <v>P</v>
          </cell>
          <cell r="T23" t="str">
            <v>w/o</v>
          </cell>
          <cell r="U23" t="str">
            <v>P</v>
          </cell>
          <cell r="V23" t="str">
            <v>P</v>
          </cell>
          <cell r="W23" t="str">
            <v>P</v>
          </cell>
          <cell r="X23" t="str">
            <v>P</v>
          </cell>
          <cell r="Y23" t="str">
            <v>P</v>
          </cell>
          <cell r="Z23" t="str">
            <v>P</v>
          </cell>
          <cell r="AA23" t="str">
            <v>w/o</v>
          </cell>
          <cell r="AB23" t="str">
            <v>P</v>
          </cell>
          <cell r="AC23" t="str">
            <v>P</v>
          </cell>
          <cell r="AD23" t="str">
            <v>P</v>
          </cell>
          <cell r="AE23" t="str">
            <v>P</v>
          </cell>
          <cell r="AF23" t="str">
            <v>P</v>
          </cell>
          <cell r="AG23" t="str">
            <v>P</v>
          </cell>
          <cell r="AH23" t="str">
            <v>w/o</v>
          </cell>
          <cell r="AI23" t="str">
            <v>P</v>
          </cell>
          <cell r="AJ23">
            <v>30</v>
          </cell>
          <cell r="AK23">
            <v>23</v>
          </cell>
          <cell r="AL23">
            <v>0</v>
          </cell>
          <cell r="AM23">
            <v>5</v>
          </cell>
          <cell r="AN23">
            <v>2</v>
          </cell>
          <cell r="AO23">
            <v>33</v>
          </cell>
          <cell r="AP23">
            <v>3.6666666666666665</v>
          </cell>
          <cell r="AQ23">
            <v>31.666666666666668</v>
          </cell>
        </row>
        <row r="24">
          <cell r="F24">
            <v>9</v>
          </cell>
          <cell r="G24">
            <v>4</v>
          </cell>
          <cell r="N24">
            <v>4</v>
          </cell>
          <cell r="O24">
            <v>4</v>
          </cell>
          <cell r="R24">
            <v>4</v>
          </cell>
          <cell r="S24">
            <v>4</v>
          </cell>
          <cell r="AE24">
            <v>4</v>
          </cell>
        </row>
        <row r="25">
          <cell r="B25">
            <v>12072</v>
          </cell>
          <cell r="C25" t="str">
            <v>SOFIQ</v>
          </cell>
          <cell r="D25" t="str">
            <v>SAFIQ</v>
          </cell>
          <cell r="E25" t="str">
            <v>OFFICE STAFF</v>
          </cell>
          <cell r="F25" t="str">
            <v>w/o</v>
          </cell>
          <cell r="G25" t="str">
            <v>P</v>
          </cell>
          <cell r="H25" t="str">
            <v>P</v>
          </cell>
          <cell r="I25" t="str">
            <v>P</v>
          </cell>
          <cell r="J25" t="str">
            <v>P</v>
          </cell>
          <cell r="K25" t="str">
            <v>P</v>
          </cell>
          <cell r="L25" t="str">
            <v>P</v>
          </cell>
          <cell r="M25" t="str">
            <v>w/o</v>
          </cell>
          <cell r="N25" t="str">
            <v>P</v>
          </cell>
          <cell r="O25" t="str">
            <v>P</v>
          </cell>
          <cell r="P25" t="str">
            <v>A</v>
          </cell>
          <cell r="Q25" t="str">
            <v>A</v>
          </cell>
          <cell r="R25" t="str">
            <v>P</v>
          </cell>
          <cell r="S25" t="str">
            <v>P</v>
          </cell>
          <cell r="T25" t="str">
            <v>w/o</v>
          </cell>
          <cell r="U25" t="str">
            <v>P</v>
          </cell>
          <cell r="V25" t="str">
            <v>P</v>
          </cell>
          <cell r="W25" t="str">
            <v>P</v>
          </cell>
          <cell r="X25" t="str">
            <v>P</v>
          </cell>
          <cell r="Y25" t="str">
            <v>P</v>
          </cell>
          <cell r="Z25" t="str">
            <v>P</v>
          </cell>
          <cell r="AA25" t="str">
            <v>w/o</v>
          </cell>
          <cell r="AB25" t="str">
            <v>P</v>
          </cell>
          <cell r="AC25" t="str">
            <v>P</v>
          </cell>
          <cell r="AD25" t="str">
            <v>P</v>
          </cell>
          <cell r="AE25" t="str">
            <v>P</v>
          </cell>
          <cell r="AF25" t="str">
            <v>P</v>
          </cell>
          <cell r="AG25" t="str">
            <v>A</v>
          </cell>
          <cell r="AH25" t="str">
            <v>w/o</v>
          </cell>
          <cell r="AI25" t="str">
            <v>P</v>
          </cell>
          <cell r="AJ25">
            <v>30</v>
          </cell>
          <cell r="AK25">
            <v>22</v>
          </cell>
          <cell r="AL25">
            <v>0</v>
          </cell>
          <cell r="AM25">
            <v>5</v>
          </cell>
          <cell r="AN25">
            <v>3</v>
          </cell>
          <cell r="AO25">
            <v>17</v>
          </cell>
          <cell r="AP25">
            <v>1.8888888888888888</v>
          </cell>
          <cell r="AQ25">
            <v>28.888888888888889</v>
          </cell>
        </row>
        <row r="26">
          <cell r="F26">
            <v>9</v>
          </cell>
          <cell r="G26">
            <v>4</v>
          </cell>
          <cell r="AD26">
            <v>4</v>
          </cell>
        </row>
        <row r="27">
          <cell r="B27" t="str">
            <v>NEW</v>
          </cell>
          <cell r="C27" t="str">
            <v>REJAUL KARIM  LASKAR</v>
          </cell>
          <cell r="D27" t="str">
            <v>REJAUL KARIM  LASKAR</v>
          </cell>
          <cell r="E27" t="str">
            <v>OFFICE STAFF</v>
          </cell>
          <cell r="F27" t="str">
            <v>A</v>
          </cell>
          <cell r="G27" t="str">
            <v>A</v>
          </cell>
          <cell r="H27" t="str">
            <v>A</v>
          </cell>
          <cell r="I27" t="str">
            <v>A</v>
          </cell>
          <cell r="J27" t="str">
            <v>A</v>
          </cell>
          <cell r="K27" t="str">
            <v>A</v>
          </cell>
          <cell r="L27" t="str">
            <v>A</v>
          </cell>
          <cell r="M27" t="str">
            <v>A</v>
          </cell>
          <cell r="N27" t="str">
            <v>A</v>
          </cell>
          <cell r="O27" t="str">
            <v>P</v>
          </cell>
          <cell r="P27" t="str">
            <v>P</v>
          </cell>
          <cell r="Q27" t="str">
            <v>P</v>
          </cell>
          <cell r="R27" t="str">
            <v>P</v>
          </cell>
          <cell r="S27" t="str">
            <v>P</v>
          </cell>
          <cell r="T27" t="str">
            <v>w/o</v>
          </cell>
          <cell r="U27" t="str">
            <v>P</v>
          </cell>
          <cell r="V27" t="str">
            <v>P</v>
          </cell>
          <cell r="W27" t="str">
            <v>P</v>
          </cell>
          <cell r="X27" t="str">
            <v>P</v>
          </cell>
          <cell r="Y27" t="str">
            <v>P</v>
          </cell>
          <cell r="Z27" t="str">
            <v>P</v>
          </cell>
          <cell r="AA27" t="str">
            <v>w/o</v>
          </cell>
          <cell r="AB27" t="str">
            <v>P</v>
          </cell>
          <cell r="AC27" t="str">
            <v>P</v>
          </cell>
          <cell r="AD27" t="str">
            <v>P</v>
          </cell>
          <cell r="AE27" t="str">
            <v>A</v>
          </cell>
          <cell r="AF27" t="str">
            <v>P</v>
          </cell>
          <cell r="AG27" t="str">
            <v>P</v>
          </cell>
          <cell r="AH27" t="str">
            <v>w/o</v>
          </cell>
          <cell r="AI27" t="str">
            <v>P</v>
          </cell>
          <cell r="AJ27">
            <v>30</v>
          </cell>
          <cell r="AK27">
            <v>17</v>
          </cell>
          <cell r="AL27">
            <v>0</v>
          </cell>
          <cell r="AM27">
            <v>3</v>
          </cell>
          <cell r="AN27">
            <v>10</v>
          </cell>
          <cell r="AO27">
            <v>0</v>
          </cell>
          <cell r="AP27">
            <v>0</v>
          </cell>
          <cell r="AQ27">
            <v>20</v>
          </cell>
        </row>
        <row r="29">
          <cell r="B29">
            <v>11300</v>
          </cell>
          <cell r="C29" t="str">
            <v>ANURADHA</v>
          </cell>
          <cell r="D29" t="str">
            <v>ANURADHA MANCHALA</v>
          </cell>
          <cell r="E29" t="str">
            <v>CANTEEN MAID</v>
          </cell>
          <cell r="F29" t="str">
            <v>w/o</v>
          </cell>
          <cell r="G29" t="str">
            <v>P</v>
          </cell>
          <cell r="H29" t="str">
            <v>P</v>
          </cell>
          <cell r="I29" t="str">
            <v>P</v>
          </cell>
          <cell r="J29" t="str">
            <v>P</v>
          </cell>
          <cell r="K29" t="str">
            <v>P</v>
          </cell>
          <cell r="L29" t="str">
            <v>P</v>
          </cell>
          <cell r="M29" t="str">
            <v>w/o</v>
          </cell>
          <cell r="N29" t="str">
            <v>P</v>
          </cell>
          <cell r="O29" t="str">
            <v>P</v>
          </cell>
          <cell r="P29" t="str">
            <v>P</v>
          </cell>
          <cell r="Q29" t="str">
            <v>P</v>
          </cell>
          <cell r="R29" t="str">
            <v>P</v>
          </cell>
          <cell r="S29" t="str">
            <v>P</v>
          </cell>
          <cell r="T29" t="str">
            <v>w/o</v>
          </cell>
          <cell r="U29" t="str">
            <v>P</v>
          </cell>
          <cell r="V29" t="str">
            <v>P</v>
          </cell>
          <cell r="W29" t="str">
            <v>P</v>
          </cell>
          <cell r="X29" t="str">
            <v>P</v>
          </cell>
          <cell r="Y29" t="str">
            <v>A</v>
          </cell>
          <cell r="Z29" t="str">
            <v>P</v>
          </cell>
          <cell r="AA29" t="str">
            <v>w/o</v>
          </cell>
          <cell r="AB29" t="str">
            <v>P</v>
          </cell>
          <cell r="AC29" t="str">
            <v>P</v>
          </cell>
          <cell r="AD29" t="str">
            <v>P</v>
          </cell>
          <cell r="AE29" t="str">
            <v>P</v>
          </cell>
          <cell r="AF29" t="str">
            <v>P</v>
          </cell>
          <cell r="AG29" t="str">
            <v>P</v>
          </cell>
          <cell r="AH29" t="str">
            <v>w/o</v>
          </cell>
          <cell r="AI29" t="str">
            <v>P</v>
          </cell>
          <cell r="AJ29">
            <v>30</v>
          </cell>
          <cell r="AK29">
            <v>24</v>
          </cell>
          <cell r="AL29">
            <v>0</v>
          </cell>
          <cell r="AM29">
            <v>5</v>
          </cell>
          <cell r="AN29">
            <v>1</v>
          </cell>
          <cell r="AO29">
            <v>18</v>
          </cell>
          <cell r="AP29">
            <v>2</v>
          </cell>
          <cell r="AQ29">
            <v>31</v>
          </cell>
        </row>
        <row r="30">
          <cell r="F30">
            <v>9</v>
          </cell>
          <cell r="M30">
            <v>9</v>
          </cell>
        </row>
        <row r="31">
          <cell r="B31">
            <v>11299</v>
          </cell>
          <cell r="C31" t="str">
            <v xml:space="preserve">JYOTHI </v>
          </cell>
          <cell r="D31" t="str">
            <v>VUGGELLI JYOTHI</v>
          </cell>
          <cell r="E31" t="str">
            <v>CANTEEN MAID</v>
          </cell>
          <cell r="F31" t="str">
            <v>w/o</v>
          </cell>
          <cell r="G31" t="str">
            <v>P</v>
          </cell>
          <cell r="H31" t="str">
            <v>P</v>
          </cell>
          <cell r="I31" t="str">
            <v>P</v>
          </cell>
          <cell r="J31" t="str">
            <v>P</v>
          </cell>
          <cell r="K31" t="str">
            <v>P</v>
          </cell>
          <cell r="L31" t="str">
            <v>P</v>
          </cell>
          <cell r="M31" t="str">
            <v>w/o</v>
          </cell>
          <cell r="N31" t="str">
            <v>P</v>
          </cell>
          <cell r="O31" t="str">
            <v>P</v>
          </cell>
          <cell r="P31" t="str">
            <v>P</v>
          </cell>
          <cell r="Q31" t="str">
            <v>A</v>
          </cell>
          <cell r="R31" t="str">
            <v>A</v>
          </cell>
          <cell r="S31" t="str">
            <v>P</v>
          </cell>
          <cell r="T31" t="str">
            <v>w/o</v>
          </cell>
          <cell r="U31" t="str">
            <v>P</v>
          </cell>
          <cell r="V31" t="str">
            <v>P</v>
          </cell>
          <cell r="W31" t="str">
            <v>P</v>
          </cell>
          <cell r="X31" t="str">
            <v>P</v>
          </cell>
          <cell r="Y31" t="str">
            <v>P</v>
          </cell>
          <cell r="Z31" t="str">
            <v>P</v>
          </cell>
          <cell r="AA31" t="str">
            <v>w/o</v>
          </cell>
          <cell r="AB31" t="str">
            <v>P</v>
          </cell>
          <cell r="AC31" t="str">
            <v>P</v>
          </cell>
          <cell r="AD31" t="str">
            <v>P</v>
          </cell>
          <cell r="AE31" t="str">
            <v>P</v>
          </cell>
          <cell r="AF31" t="str">
            <v>P</v>
          </cell>
          <cell r="AG31" t="str">
            <v>P</v>
          </cell>
          <cell r="AH31" t="str">
            <v>w/o</v>
          </cell>
          <cell r="AI31" t="str">
            <v>P</v>
          </cell>
          <cell r="AJ31">
            <v>30</v>
          </cell>
          <cell r="AK31">
            <v>23</v>
          </cell>
          <cell r="AL31">
            <v>0</v>
          </cell>
          <cell r="AM31">
            <v>5</v>
          </cell>
          <cell r="AN31">
            <v>2</v>
          </cell>
          <cell r="AO31">
            <v>9</v>
          </cell>
          <cell r="AP31">
            <v>1</v>
          </cell>
          <cell r="AQ31">
            <v>29</v>
          </cell>
        </row>
        <row r="32">
          <cell r="F32">
            <v>9</v>
          </cell>
        </row>
        <row r="33">
          <cell r="B33">
            <v>11297</v>
          </cell>
          <cell r="C33" t="str">
            <v>VIJAYA</v>
          </cell>
          <cell r="D33" t="str">
            <v>VIJAYA BODA</v>
          </cell>
          <cell r="E33" t="str">
            <v>CANTEEN MAID</v>
          </cell>
          <cell r="F33" t="str">
            <v>w/o</v>
          </cell>
          <cell r="G33" t="str">
            <v>P</v>
          </cell>
          <cell r="H33" t="str">
            <v>P</v>
          </cell>
          <cell r="I33" t="str">
            <v>P</v>
          </cell>
          <cell r="J33" t="str">
            <v>P</v>
          </cell>
          <cell r="K33" t="str">
            <v>P</v>
          </cell>
          <cell r="L33" t="str">
            <v>P</v>
          </cell>
          <cell r="M33" t="str">
            <v>w/o</v>
          </cell>
          <cell r="N33" t="str">
            <v>P</v>
          </cell>
          <cell r="O33" t="str">
            <v>P</v>
          </cell>
          <cell r="P33" t="str">
            <v>P</v>
          </cell>
          <cell r="Q33" t="str">
            <v>P</v>
          </cell>
          <cell r="R33" t="str">
            <v>P</v>
          </cell>
          <cell r="S33" t="str">
            <v>P</v>
          </cell>
          <cell r="T33" t="str">
            <v>w/o</v>
          </cell>
          <cell r="U33" t="str">
            <v>P</v>
          </cell>
          <cell r="V33" t="str">
            <v>P</v>
          </cell>
          <cell r="W33" t="str">
            <v>P</v>
          </cell>
          <cell r="X33" t="str">
            <v>P</v>
          </cell>
          <cell r="Y33" t="str">
            <v>P</v>
          </cell>
          <cell r="Z33" t="str">
            <v>P</v>
          </cell>
          <cell r="AA33" t="str">
            <v>w/o</v>
          </cell>
          <cell r="AB33" t="str">
            <v>P</v>
          </cell>
          <cell r="AC33" t="str">
            <v>P</v>
          </cell>
          <cell r="AD33" t="str">
            <v>P</v>
          </cell>
          <cell r="AE33" t="str">
            <v>P</v>
          </cell>
          <cell r="AF33" t="str">
            <v>P</v>
          </cell>
          <cell r="AG33" t="str">
            <v>P</v>
          </cell>
          <cell r="AH33" t="str">
            <v>w/o</v>
          </cell>
          <cell r="AI33" t="str">
            <v>P</v>
          </cell>
          <cell r="AJ33">
            <v>30</v>
          </cell>
          <cell r="AK33">
            <v>25</v>
          </cell>
          <cell r="AL33">
            <v>0</v>
          </cell>
          <cell r="AM33">
            <v>5</v>
          </cell>
          <cell r="AN33">
            <v>0</v>
          </cell>
          <cell r="AO33">
            <v>9</v>
          </cell>
          <cell r="AP33">
            <v>1</v>
          </cell>
          <cell r="AQ33">
            <v>31</v>
          </cell>
        </row>
        <row r="34">
          <cell r="F34">
            <v>9</v>
          </cell>
        </row>
        <row r="35">
          <cell r="B35">
            <v>11296</v>
          </cell>
          <cell r="C35" t="str">
            <v>DHAMAYANTHI</v>
          </cell>
          <cell r="D35" t="str">
            <v>NAKKA DAMAYANTHI</v>
          </cell>
          <cell r="E35" t="str">
            <v>CANTEEN MAID</v>
          </cell>
          <cell r="F35" t="str">
            <v>w/o</v>
          </cell>
          <cell r="G35" t="str">
            <v>P</v>
          </cell>
          <cell r="H35" t="str">
            <v>P</v>
          </cell>
          <cell r="I35" t="str">
            <v>P</v>
          </cell>
          <cell r="J35" t="str">
            <v>P</v>
          </cell>
          <cell r="K35" t="str">
            <v>P</v>
          </cell>
          <cell r="L35" t="str">
            <v>P</v>
          </cell>
          <cell r="M35" t="str">
            <v>w/o</v>
          </cell>
          <cell r="N35" t="str">
            <v>P</v>
          </cell>
          <cell r="O35" t="str">
            <v>P</v>
          </cell>
          <cell r="P35" t="str">
            <v>P</v>
          </cell>
          <cell r="Q35" t="str">
            <v>P</v>
          </cell>
          <cell r="R35" t="str">
            <v>P</v>
          </cell>
          <cell r="S35" t="str">
            <v>P</v>
          </cell>
          <cell r="T35" t="str">
            <v>w/o</v>
          </cell>
          <cell r="U35" t="str">
            <v>P</v>
          </cell>
          <cell r="V35" t="str">
            <v>P</v>
          </cell>
          <cell r="W35" t="str">
            <v>P</v>
          </cell>
          <cell r="X35" t="str">
            <v>P</v>
          </cell>
          <cell r="Y35" t="str">
            <v>P</v>
          </cell>
          <cell r="Z35" t="str">
            <v>P</v>
          </cell>
          <cell r="AA35" t="str">
            <v>w/o</v>
          </cell>
          <cell r="AB35" t="str">
            <v>P</v>
          </cell>
          <cell r="AC35" t="str">
            <v>P</v>
          </cell>
          <cell r="AD35" t="str">
            <v>P</v>
          </cell>
          <cell r="AE35" t="str">
            <v>P</v>
          </cell>
          <cell r="AF35" t="str">
            <v>P</v>
          </cell>
          <cell r="AG35" t="str">
            <v>P</v>
          </cell>
          <cell r="AH35" t="str">
            <v>w/o</v>
          </cell>
          <cell r="AI35" t="str">
            <v>P</v>
          </cell>
          <cell r="AJ35">
            <v>30</v>
          </cell>
          <cell r="AK35">
            <v>25</v>
          </cell>
          <cell r="AL35">
            <v>0</v>
          </cell>
          <cell r="AM35">
            <v>5</v>
          </cell>
          <cell r="AN35">
            <v>0</v>
          </cell>
          <cell r="AO35">
            <v>9</v>
          </cell>
          <cell r="AP35">
            <v>1</v>
          </cell>
          <cell r="AQ35">
            <v>31</v>
          </cell>
        </row>
        <row r="36">
          <cell r="F36">
            <v>9</v>
          </cell>
        </row>
        <row r="37">
          <cell r="B37" t="str">
            <v>REP</v>
          </cell>
          <cell r="C37" t="str">
            <v>JYOTHIKHON</v>
          </cell>
          <cell r="D37" t="str">
            <v>REP</v>
          </cell>
          <cell r="E37" t="str">
            <v>HK BOY</v>
          </cell>
          <cell r="F37" t="str">
            <v>A</v>
          </cell>
          <cell r="G37" t="str">
            <v>P</v>
          </cell>
          <cell r="H37" t="str">
            <v>A</v>
          </cell>
          <cell r="I37" t="str">
            <v>P</v>
          </cell>
          <cell r="J37" t="str">
            <v>P</v>
          </cell>
          <cell r="K37" t="str">
            <v>P</v>
          </cell>
          <cell r="L37" t="str">
            <v>P</v>
          </cell>
          <cell r="M37" t="str">
            <v>A</v>
          </cell>
          <cell r="N37" t="str">
            <v>P</v>
          </cell>
          <cell r="O37" t="str">
            <v>P</v>
          </cell>
          <cell r="P37" t="str">
            <v>P</v>
          </cell>
          <cell r="Q37" t="str">
            <v>P</v>
          </cell>
          <cell r="R37" t="str">
            <v>P</v>
          </cell>
          <cell r="S37" t="str">
            <v>P</v>
          </cell>
          <cell r="T37" t="str">
            <v>P</v>
          </cell>
          <cell r="U37" t="str">
            <v>A</v>
          </cell>
          <cell r="V37" t="str">
            <v>A</v>
          </cell>
          <cell r="W37" t="str">
            <v>A</v>
          </cell>
          <cell r="X37" t="str">
            <v>A</v>
          </cell>
          <cell r="Y37" t="str">
            <v>A</v>
          </cell>
          <cell r="Z37" t="str">
            <v>A</v>
          </cell>
          <cell r="AA37" t="str">
            <v>A</v>
          </cell>
          <cell r="AB37" t="str">
            <v>A</v>
          </cell>
          <cell r="AC37" t="str">
            <v>A</v>
          </cell>
          <cell r="AD37" t="str">
            <v>A</v>
          </cell>
          <cell r="AE37" t="str">
            <v>A</v>
          </cell>
          <cell r="AF37" t="str">
            <v>A</v>
          </cell>
          <cell r="AG37" t="str">
            <v>A</v>
          </cell>
          <cell r="AH37" t="str">
            <v>A</v>
          </cell>
          <cell r="AI37" t="str">
            <v>A</v>
          </cell>
          <cell r="AJ37">
            <v>30</v>
          </cell>
          <cell r="AK37">
            <v>12</v>
          </cell>
          <cell r="AL37">
            <v>0</v>
          </cell>
          <cell r="AM37">
            <v>0</v>
          </cell>
          <cell r="AN37">
            <v>18</v>
          </cell>
          <cell r="AO37">
            <v>4</v>
          </cell>
          <cell r="AP37">
            <v>0.44444444444444442</v>
          </cell>
          <cell r="AQ37">
            <v>12.444444444444445</v>
          </cell>
        </row>
        <row r="38">
          <cell r="L38">
            <v>4</v>
          </cell>
        </row>
        <row r="39">
          <cell r="B39" t="str">
            <v>REP</v>
          </cell>
          <cell r="C39" t="str">
            <v>BISHAL</v>
          </cell>
          <cell r="D39" t="str">
            <v>REP</v>
          </cell>
          <cell r="E39" t="str">
            <v>HK BOY</v>
          </cell>
          <cell r="F39" t="str">
            <v>A</v>
          </cell>
          <cell r="G39" t="str">
            <v>P</v>
          </cell>
          <cell r="H39" t="str">
            <v>A</v>
          </cell>
          <cell r="I39" t="str">
            <v>P</v>
          </cell>
          <cell r="J39" t="str">
            <v>P</v>
          </cell>
          <cell r="K39" t="str">
            <v>P</v>
          </cell>
          <cell r="L39" t="str">
            <v>P</v>
          </cell>
          <cell r="M39" t="str">
            <v>A</v>
          </cell>
          <cell r="N39" t="str">
            <v>P</v>
          </cell>
          <cell r="O39" t="str">
            <v>P</v>
          </cell>
          <cell r="P39" t="str">
            <v>A</v>
          </cell>
          <cell r="Q39" t="str">
            <v>P</v>
          </cell>
          <cell r="R39" t="str">
            <v>P</v>
          </cell>
          <cell r="S39" t="str">
            <v>P</v>
          </cell>
          <cell r="T39" t="str">
            <v>P</v>
          </cell>
          <cell r="U39" t="str">
            <v>A</v>
          </cell>
          <cell r="V39" t="str">
            <v>A</v>
          </cell>
          <cell r="W39" t="str">
            <v>A</v>
          </cell>
          <cell r="X39" t="str">
            <v>A</v>
          </cell>
          <cell r="Y39" t="str">
            <v>A</v>
          </cell>
          <cell r="Z39" t="str">
            <v>A</v>
          </cell>
          <cell r="AA39" t="str">
            <v>A</v>
          </cell>
          <cell r="AB39" t="str">
            <v>A</v>
          </cell>
          <cell r="AC39" t="str">
            <v>A</v>
          </cell>
          <cell r="AD39" t="str">
            <v>A</v>
          </cell>
          <cell r="AE39" t="str">
            <v>A</v>
          </cell>
          <cell r="AF39" t="str">
            <v>A</v>
          </cell>
          <cell r="AG39" t="str">
            <v>A</v>
          </cell>
          <cell r="AH39" t="str">
            <v>A</v>
          </cell>
          <cell r="AI39" t="str">
            <v>A</v>
          </cell>
          <cell r="AJ39">
            <v>30</v>
          </cell>
          <cell r="AK39">
            <v>11</v>
          </cell>
          <cell r="AL39">
            <v>0</v>
          </cell>
          <cell r="AM39">
            <v>0</v>
          </cell>
          <cell r="AN39">
            <v>19</v>
          </cell>
          <cell r="AO39">
            <v>0</v>
          </cell>
          <cell r="AP39">
            <v>0</v>
          </cell>
          <cell r="AQ39">
            <v>11</v>
          </cell>
        </row>
        <row r="41">
          <cell r="B41">
            <v>11984</v>
          </cell>
          <cell r="C41" t="str">
            <v>DILWAR</v>
          </cell>
          <cell r="D41" t="str">
            <v>DILWAR</v>
          </cell>
          <cell r="E41" t="str">
            <v>HK BOY</v>
          </cell>
          <cell r="F41" t="str">
            <v>P</v>
          </cell>
          <cell r="G41" t="str">
            <v>P</v>
          </cell>
          <cell r="H41" t="str">
            <v>P</v>
          </cell>
          <cell r="I41" t="str">
            <v>P</v>
          </cell>
          <cell r="J41" t="str">
            <v>A</v>
          </cell>
          <cell r="K41" t="str">
            <v>P</v>
          </cell>
          <cell r="L41" t="str">
            <v>w/o</v>
          </cell>
          <cell r="M41" t="str">
            <v>P</v>
          </cell>
          <cell r="N41" t="str">
            <v>P</v>
          </cell>
          <cell r="O41" t="str">
            <v>P</v>
          </cell>
          <cell r="P41" t="str">
            <v>P</v>
          </cell>
          <cell r="Q41" t="str">
            <v>P</v>
          </cell>
          <cell r="R41" t="str">
            <v>P</v>
          </cell>
          <cell r="S41" t="str">
            <v>w/o</v>
          </cell>
          <cell r="T41" t="str">
            <v>P</v>
          </cell>
          <cell r="U41" t="str">
            <v>P</v>
          </cell>
          <cell r="V41" t="str">
            <v>P</v>
          </cell>
          <cell r="W41" t="str">
            <v>P</v>
          </cell>
          <cell r="X41" t="str">
            <v>P</v>
          </cell>
          <cell r="Y41" t="str">
            <v>P</v>
          </cell>
          <cell r="Z41" t="str">
            <v>P</v>
          </cell>
          <cell r="AA41" t="str">
            <v>w/o</v>
          </cell>
          <cell r="AB41" t="str">
            <v>P</v>
          </cell>
          <cell r="AC41" t="str">
            <v>P</v>
          </cell>
          <cell r="AD41" t="str">
            <v>P</v>
          </cell>
          <cell r="AE41" t="str">
            <v>P</v>
          </cell>
          <cell r="AF41" t="str">
            <v>P</v>
          </cell>
          <cell r="AG41" t="str">
            <v>w/o</v>
          </cell>
          <cell r="AH41" t="str">
            <v>P</v>
          </cell>
          <cell r="AI41" t="str">
            <v>P</v>
          </cell>
          <cell r="AJ41">
            <v>30</v>
          </cell>
          <cell r="AK41">
            <v>25</v>
          </cell>
          <cell r="AL41">
            <v>0</v>
          </cell>
          <cell r="AM41">
            <v>4</v>
          </cell>
          <cell r="AN41">
            <v>1</v>
          </cell>
          <cell r="AO41">
            <v>13</v>
          </cell>
          <cell r="AP41">
            <v>1.4444444444444444</v>
          </cell>
          <cell r="AQ41">
            <v>30.444444444444443</v>
          </cell>
        </row>
        <row r="42">
          <cell r="K42">
            <v>9</v>
          </cell>
          <cell r="N42">
            <v>4</v>
          </cell>
        </row>
        <row r="43">
          <cell r="B43">
            <v>12134</v>
          </cell>
          <cell r="C43" t="str">
            <v>REHAMAN SOFIQ</v>
          </cell>
          <cell r="D43" t="str">
            <v>REHAMAN SOFIQ</v>
          </cell>
          <cell r="E43" t="str">
            <v>HK BOY</v>
          </cell>
          <cell r="F43" t="str">
            <v>P</v>
          </cell>
          <cell r="G43" t="str">
            <v>P</v>
          </cell>
          <cell r="H43" t="str">
            <v>P</v>
          </cell>
          <cell r="I43" t="str">
            <v>P</v>
          </cell>
          <cell r="J43" t="str">
            <v>P</v>
          </cell>
          <cell r="K43" t="str">
            <v>P</v>
          </cell>
          <cell r="L43" t="str">
            <v>w/o</v>
          </cell>
          <cell r="M43" t="str">
            <v>P</v>
          </cell>
          <cell r="N43" t="str">
            <v>P</v>
          </cell>
          <cell r="O43" t="str">
            <v>P</v>
          </cell>
          <cell r="P43" t="str">
            <v>P</v>
          </cell>
          <cell r="Q43" t="str">
            <v>A</v>
          </cell>
          <cell r="R43" t="str">
            <v>P</v>
          </cell>
          <cell r="S43" t="str">
            <v>w/o</v>
          </cell>
          <cell r="T43" t="str">
            <v>P</v>
          </cell>
          <cell r="U43" t="str">
            <v>P</v>
          </cell>
          <cell r="V43" t="str">
            <v>P</v>
          </cell>
          <cell r="W43" t="str">
            <v>P</v>
          </cell>
          <cell r="X43" t="str">
            <v>P</v>
          </cell>
          <cell r="Y43" t="str">
            <v>A</v>
          </cell>
          <cell r="Z43" t="str">
            <v>w/o</v>
          </cell>
          <cell r="AA43" t="str">
            <v>P</v>
          </cell>
          <cell r="AB43" t="str">
            <v>P</v>
          </cell>
          <cell r="AC43" t="str">
            <v>P</v>
          </cell>
          <cell r="AD43" t="str">
            <v>P</v>
          </cell>
          <cell r="AE43" t="str">
            <v>P</v>
          </cell>
          <cell r="AF43" t="str">
            <v>P</v>
          </cell>
          <cell r="AG43" t="str">
            <v>w/o</v>
          </cell>
          <cell r="AH43" t="str">
            <v>P</v>
          </cell>
          <cell r="AI43" t="str">
            <v>P</v>
          </cell>
          <cell r="AJ43">
            <v>30</v>
          </cell>
          <cell r="AK43">
            <v>24</v>
          </cell>
          <cell r="AL43">
            <v>0</v>
          </cell>
          <cell r="AM43">
            <v>4</v>
          </cell>
          <cell r="AN43">
            <v>2</v>
          </cell>
          <cell r="AO43">
            <v>0</v>
          </cell>
          <cell r="AP43">
            <v>0</v>
          </cell>
          <cell r="AQ43">
            <v>28</v>
          </cell>
        </row>
        <row r="45">
          <cell r="B45">
            <v>12138</v>
          </cell>
          <cell r="C45" t="str">
            <v>HUSAIN</v>
          </cell>
          <cell r="D45" t="str">
            <v>HUSAIN</v>
          </cell>
          <cell r="E45" t="str">
            <v>HK BOY</v>
          </cell>
          <cell r="F45" t="str">
            <v>P</v>
          </cell>
          <cell r="G45" t="str">
            <v>P</v>
          </cell>
          <cell r="H45" t="str">
            <v>A</v>
          </cell>
          <cell r="I45" t="str">
            <v>P</v>
          </cell>
          <cell r="J45" t="str">
            <v>P</v>
          </cell>
          <cell r="K45" t="str">
            <v>P</v>
          </cell>
          <cell r="L45" t="str">
            <v>w/o</v>
          </cell>
          <cell r="M45" t="str">
            <v>P</v>
          </cell>
          <cell r="N45" t="str">
            <v>P</v>
          </cell>
          <cell r="O45" t="str">
            <v>P</v>
          </cell>
          <cell r="P45" t="str">
            <v>A</v>
          </cell>
          <cell r="Q45" t="str">
            <v>P</v>
          </cell>
          <cell r="R45" t="str">
            <v>P</v>
          </cell>
          <cell r="S45" t="str">
            <v>w/o</v>
          </cell>
          <cell r="T45" t="str">
            <v>P</v>
          </cell>
          <cell r="U45" t="str">
            <v>P</v>
          </cell>
          <cell r="V45" t="str">
            <v>A</v>
          </cell>
          <cell r="W45" t="str">
            <v>P</v>
          </cell>
          <cell r="X45" t="str">
            <v>P</v>
          </cell>
          <cell r="Y45" t="str">
            <v>P</v>
          </cell>
          <cell r="Z45" t="str">
            <v>w/o</v>
          </cell>
          <cell r="AA45" t="str">
            <v>P</v>
          </cell>
          <cell r="AB45" t="str">
            <v>P</v>
          </cell>
          <cell r="AC45" t="str">
            <v>P</v>
          </cell>
          <cell r="AD45" t="str">
            <v>P</v>
          </cell>
          <cell r="AE45" t="str">
            <v>P</v>
          </cell>
          <cell r="AF45" t="str">
            <v>P</v>
          </cell>
          <cell r="AG45" t="str">
            <v>w/o</v>
          </cell>
          <cell r="AH45" t="str">
            <v>P</v>
          </cell>
          <cell r="AI45" t="str">
            <v>P</v>
          </cell>
          <cell r="AJ45">
            <v>30</v>
          </cell>
          <cell r="AK45">
            <v>23</v>
          </cell>
          <cell r="AL45">
            <v>0</v>
          </cell>
          <cell r="AM45">
            <v>4</v>
          </cell>
          <cell r="AN45">
            <v>3</v>
          </cell>
          <cell r="AO45">
            <v>0</v>
          </cell>
          <cell r="AP45">
            <v>0</v>
          </cell>
          <cell r="AQ45">
            <v>27</v>
          </cell>
        </row>
        <row r="47">
          <cell r="B47">
            <v>11753</v>
          </cell>
          <cell r="C47" t="str">
            <v>ENDIRA</v>
          </cell>
          <cell r="D47" t="str">
            <v>ENDIRA</v>
          </cell>
          <cell r="E47" t="str">
            <v>HK MAID</v>
          </cell>
          <cell r="F47" t="str">
            <v>w/o</v>
          </cell>
          <cell r="G47" t="str">
            <v>P</v>
          </cell>
          <cell r="H47" t="str">
            <v>P</v>
          </cell>
          <cell r="I47" t="str">
            <v>P</v>
          </cell>
          <cell r="J47" t="str">
            <v>P</v>
          </cell>
          <cell r="L47" t="str">
            <v>w/o</v>
          </cell>
          <cell r="M47" t="str">
            <v>P</v>
          </cell>
          <cell r="N47" t="str">
            <v>P</v>
          </cell>
          <cell r="O47" t="str">
            <v>P</v>
          </cell>
          <cell r="P47" t="str">
            <v>P</v>
          </cell>
          <cell r="Q47" t="str">
            <v>P</v>
          </cell>
          <cell r="R47" t="str">
            <v>P</v>
          </cell>
          <cell r="S47" t="str">
            <v>w/o</v>
          </cell>
          <cell r="T47" t="str">
            <v>P</v>
          </cell>
          <cell r="U47" t="str">
            <v>P</v>
          </cell>
          <cell r="V47" t="str">
            <v>P</v>
          </cell>
          <cell r="W47" t="str">
            <v>P</v>
          </cell>
          <cell r="X47" t="str">
            <v>P</v>
          </cell>
          <cell r="Y47" t="str">
            <v>P</v>
          </cell>
          <cell r="Z47" t="str">
            <v>P</v>
          </cell>
          <cell r="AA47" t="str">
            <v>w/o</v>
          </cell>
          <cell r="AB47" t="str">
            <v>A</v>
          </cell>
          <cell r="AC47" t="str">
            <v>P</v>
          </cell>
          <cell r="AD47" t="str">
            <v>P</v>
          </cell>
          <cell r="AE47" t="str">
            <v>P</v>
          </cell>
          <cell r="AF47" t="str">
            <v>P</v>
          </cell>
          <cell r="AG47" t="str">
            <v>P</v>
          </cell>
          <cell r="AH47" t="str">
            <v>w/o</v>
          </cell>
          <cell r="AI47" t="str">
            <v>P</v>
          </cell>
          <cell r="AJ47">
            <v>30</v>
          </cell>
          <cell r="AK47">
            <v>23</v>
          </cell>
          <cell r="AL47">
            <v>0</v>
          </cell>
          <cell r="AM47">
            <v>5</v>
          </cell>
          <cell r="AN47">
            <v>1</v>
          </cell>
          <cell r="AO47">
            <v>30</v>
          </cell>
          <cell r="AP47">
            <v>3.3333333333333335</v>
          </cell>
          <cell r="AQ47">
            <v>31.333333333333332</v>
          </cell>
        </row>
        <row r="48">
          <cell r="F48">
            <v>9</v>
          </cell>
          <cell r="G48">
            <v>4</v>
          </cell>
          <cell r="I48">
            <v>4</v>
          </cell>
          <cell r="K48" t="str">
            <v>P</v>
          </cell>
          <cell r="L48">
            <v>9</v>
          </cell>
          <cell r="P48">
            <v>4</v>
          </cell>
        </row>
        <row r="49">
          <cell r="B49">
            <v>11760</v>
          </cell>
          <cell r="C49" t="str">
            <v>V.LAXMI</v>
          </cell>
          <cell r="D49" t="str">
            <v>V.LAXMI</v>
          </cell>
          <cell r="E49" t="str">
            <v>HK BOY</v>
          </cell>
          <cell r="F49" t="str">
            <v>A</v>
          </cell>
          <cell r="G49" t="str">
            <v>A</v>
          </cell>
          <cell r="H49" t="str">
            <v>A</v>
          </cell>
          <cell r="I49" t="str">
            <v>P</v>
          </cell>
          <cell r="J49" t="str">
            <v>P</v>
          </cell>
          <cell r="K49" t="str">
            <v>P</v>
          </cell>
          <cell r="L49" t="str">
            <v>P</v>
          </cell>
          <cell r="M49" t="str">
            <v>P</v>
          </cell>
          <cell r="N49" t="str">
            <v>A</v>
          </cell>
          <cell r="O49" t="str">
            <v>A</v>
          </cell>
          <cell r="P49" t="str">
            <v>P</v>
          </cell>
          <cell r="Q49" t="str">
            <v>P</v>
          </cell>
          <cell r="R49" t="str">
            <v>P</v>
          </cell>
          <cell r="S49" t="str">
            <v>P</v>
          </cell>
          <cell r="T49" t="str">
            <v>A</v>
          </cell>
          <cell r="U49" t="str">
            <v>A</v>
          </cell>
          <cell r="V49" t="str">
            <v>A</v>
          </cell>
          <cell r="W49" t="str">
            <v>A</v>
          </cell>
          <cell r="X49" t="str">
            <v>A</v>
          </cell>
          <cell r="Y49" t="str">
            <v>A</v>
          </cell>
          <cell r="Z49" t="str">
            <v>A</v>
          </cell>
          <cell r="AA49" t="str">
            <v>A</v>
          </cell>
          <cell r="AB49" t="str">
            <v>A</v>
          </cell>
          <cell r="AC49" t="str">
            <v>A</v>
          </cell>
          <cell r="AD49" t="str">
            <v>A</v>
          </cell>
          <cell r="AE49" t="str">
            <v>A</v>
          </cell>
          <cell r="AF49" t="str">
            <v>A</v>
          </cell>
          <cell r="AG49" t="str">
            <v>A</v>
          </cell>
          <cell r="AH49" t="str">
            <v>A</v>
          </cell>
          <cell r="AI49" t="str">
            <v>A</v>
          </cell>
          <cell r="AJ49">
            <v>30</v>
          </cell>
          <cell r="AK49">
            <v>9</v>
          </cell>
          <cell r="AL49">
            <v>0</v>
          </cell>
          <cell r="AM49">
            <v>0</v>
          </cell>
          <cell r="AN49">
            <v>21</v>
          </cell>
          <cell r="AO49">
            <v>0</v>
          </cell>
          <cell r="AP49">
            <v>0</v>
          </cell>
          <cell r="AQ49">
            <v>9</v>
          </cell>
        </row>
        <row r="51">
          <cell r="B51">
            <v>11980</v>
          </cell>
          <cell r="C51" t="str">
            <v>K.MOUNIKA</v>
          </cell>
          <cell r="D51" t="str">
            <v>KATTAGANI MOUNIKA</v>
          </cell>
          <cell r="E51" t="str">
            <v>HK MAID</v>
          </cell>
          <cell r="F51" t="str">
            <v>w/o</v>
          </cell>
          <cell r="G51" t="str">
            <v>A</v>
          </cell>
          <cell r="H51" t="str">
            <v>A</v>
          </cell>
          <cell r="I51" t="str">
            <v>A</v>
          </cell>
          <cell r="J51" t="str">
            <v>P</v>
          </cell>
          <cell r="K51" t="str">
            <v>P</v>
          </cell>
          <cell r="L51" t="str">
            <v>A</v>
          </cell>
          <cell r="M51" t="str">
            <v>A</v>
          </cell>
          <cell r="N51" t="str">
            <v>A</v>
          </cell>
          <cell r="O51" t="str">
            <v>P</v>
          </cell>
          <cell r="P51" t="str">
            <v>P</v>
          </cell>
          <cell r="Q51" t="str">
            <v>P</v>
          </cell>
          <cell r="R51" t="str">
            <v>P</v>
          </cell>
          <cell r="S51" t="str">
            <v>w/o</v>
          </cell>
          <cell r="T51" t="str">
            <v>P</v>
          </cell>
          <cell r="U51" t="str">
            <v>P</v>
          </cell>
          <cell r="V51" t="str">
            <v>P</v>
          </cell>
          <cell r="W51" t="str">
            <v>P</v>
          </cell>
          <cell r="X51" t="str">
            <v>P</v>
          </cell>
          <cell r="Y51" t="str">
            <v>P</v>
          </cell>
          <cell r="Z51" t="str">
            <v>A</v>
          </cell>
          <cell r="AA51" t="str">
            <v>A</v>
          </cell>
          <cell r="AB51" t="str">
            <v>A</v>
          </cell>
          <cell r="AC51" t="str">
            <v>P</v>
          </cell>
          <cell r="AD51" t="str">
            <v>P</v>
          </cell>
          <cell r="AE51" t="str">
            <v>P</v>
          </cell>
          <cell r="AF51" t="str">
            <v>P</v>
          </cell>
          <cell r="AG51" t="str">
            <v>P</v>
          </cell>
          <cell r="AH51" t="str">
            <v>w/o</v>
          </cell>
          <cell r="AI51" t="str">
            <v>A</v>
          </cell>
          <cell r="AJ51">
            <v>30</v>
          </cell>
          <cell r="AK51">
            <v>17</v>
          </cell>
          <cell r="AL51">
            <v>0</v>
          </cell>
          <cell r="AM51">
            <v>3</v>
          </cell>
          <cell r="AN51">
            <v>10</v>
          </cell>
          <cell r="AO51">
            <v>9</v>
          </cell>
          <cell r="AP51">
            <v>1</v>
          </cell>
          <cell r="AQ51">
            <v>21</v>
          </cell>
        </row>
        <row r="52">
          <cell r="S52">
            <v>9</v>
          </cell>
        </row>
        <row r="53">
          <cell r="B53">
            <v>11173</v>
          </cell>
          <cell r="C53" t="str">
            <v>LALITHA</v>
          </cell>
          <cell r="D53" t="str">
            <v>RAMAVATH PEDDA LALITHA</v>
          </cell>
          <cell r="E53" t="str">
            <v>HK MAID</v>
          </cell>
          <cell r="F53" t="str">
            <v>w/o</v>
          </cell>
          <cell r="G53" t="str">
            <v>P</v>
          </cell>
          <cell r="H53" t="str">
            <v>P</v>
          </cell>
          <cell r="I53" t="str">
            <v>A</v>
          </cell>
          <cell r="J53" t="str">
            <v>P</v>
          </cell>
          <cell r="K53" t="str">
            <v>A</v>
          </cell>
          <cell r="L53" t="str">
            <v>P</v>
          </cell>
          <cell r="M53" t="str">
            <v>P</v>
          </cell>
          <cell r="N53" t="str">
            <v>P</v>
          </cell>
          <cell r="O53" t="str">
            <v>P</v>
          </cell>
          <cell r="P53" t="str">
            <v>P</v>
          </cell>
          <cell r="Q53" t="str">
            <v>P</v>
          </cell>
          <cell r="R53" t="str">
            <v>A</v>
          </cell>
          <cell r="S53" t="str">
            <v>A</v>
          </cell>
          <cell r="T53" t="str">
            <v>A</v>
          </cell>
          <cell r="U53" t="str">
            <v>P</v>
          </cell>
          <cell r="V53" t="str">
            <v>P</v>
          </cell>
          <cell r="W53" t="str">
            <v>P</v>
          </cell>
          <cell r="X53" t="str">
            <v>P</v>
          </cell>
          <cell r="Y53" t="str">
            <v>P</v>
          </cell>
          <cell r="Z53" t="str">
            <v>A</v>
          </cell>
          <cell r="AA53" t="str">
            <v>A</v>
          </cell>
          <cell r="AB53" t="str">
            <v>A</v>
          </cell>
          <cell r="AC53" t="str">
            <v>P</v>
          </cell>
          <cell r="AD53" t="str">
            <v>P</v>
          </cell>
          <cell r="AE53" t="str">
            <v>P</v>
          </cell>
          <cell r="AF53" t="str">
            <v>P</v>
          </cell>
          <cell r="AG53" t="str">
            <v>P</v>
          </cell>
          <cell r="AH53" t="str">
            <v>w/o</v>
          </cell>
          <cell r="AI53" t="str">
            <v>P</v>
          </cell>
          <cell r="AJ53">
            <v>30</v>
          </cell>
          <cell r="AK53">
            <v>20</v>
          </cell>
          <cell r="AL53">
            <v>0</v>
          </cell>
          <cell r="AM53">
            <v>2</v>
          </cell>
          <cell r="AN53">
            <v>8</v>
          </cell>
          <cell r="AO53">
            <v>18</v>
          </cell>
          <cell r="AP53">
            <v>2</v>
          </cell>
          <cell r="AQ53">
            <v>24</v>
          </cell>
        </row>
        <row r="54">
          <cell r="F54">
            <v>9</v>
          </cell>
          <cell r="L54">
            <v>9</v>
          </cell>
        </row>
        <row r="55">
          <cell r="B55">
            <v>11416</v>
          </cell>
          <cell r="C55" t="str">
            <v>SHABHAN BEGUUM</v>
          </cell>
          <cell r="D55" t="str">
            <v>SHABANA BEGUM</v>
          </cell>
          <cell r="E55" t="str">
            <v>HK MAID</v>
          </cell>
          <cell r="F55" t="str">
            <v>w/o</v>
          </cell>
          <cell r="G55" t="str">
            <v>P</v>
          </cell>
          <cell r="H55" t="str">
            <v>P</v>
          </cell>
          <cell r="I55" t="str">
            <v>P</v>
          </cell>
          <cell r="J55" t="str">
            <v>P</v>
          </cell>
          <cell r="K55" t="str">
            <v>P</v>
          </cell>
          <cell r="L55" t="str">
            <v>P</v>
          </cell>
          <cell r="M55" t="str">
            <v>w/o</v>
          </cell>
          <cell r="N55" t="str">
            <v>P</v>
          </cell>
          <cell r="O55" t="str">
            <v>P</v>
          </cell>
          <cell r="P55" t="str">
            <v>P</v>
          </cell>
          <cell r="Q55" t="str">
            <v>P</v>
          </cell>
          <cell r="R55" t="str">
            <v>P</v>
          </cell>
          <cell r="S55" t="str">
            <v>P</v>
          </cell>
          <cell r="T55" t="str">
            <v>w/o</v>
          </cell>
          <cell r="U55" t="str">
            <v>A</v>
          </cell>
          <cell r="V55" t="str">
            <v>P</v>
          </cell>
          <cell r="W55" t="str">
            <v>A</v>
          </cell>
          <cell r="X55" t="str">
            <v>A</v>
          </cell>
          <cell r="Y55" t="str">
            <v>A</v>
          </cell>
          <cell r="Z55" t="str">
            <v>P</v>
          </cell>
          <cell r="AA55" t="str">
            <v>A</v>
          </cell>
          <cell r="AB55" t="str">
            <v>A</v>
          </cell>
          <cell r="AC55" t="str">
            <v>A</v>
          </cell>
          <cell r="AD55" t="str">
            <v>P</v>
          </cell>
          <cell r="AE55" t="str">
            <v>P</v>
          </cell>
          <cell r="AF55" t="str">
            <v>P</v>
          </cell>
          <cell r="AG55" t="str">
            <v>w/o</v>
          </cell>
          <cell r="AH55" t="str">
            <v>P</v>
          </cell>
          <cell r="AI55" t="str">
            <v>P</v>
          </cell>
          <cell r="AJ55">
            <v>30</v>
          </cell>
          <cell r="AK55">
            <v>19</v>
          </cell>
          <cell r="AL55">
            <v>0</v>
          </cell>
          <cell r="AM55">
            <v>4</v>
          </cell>
          <cell r="AN55">
            <v>7</v>
          </cell>
          <cell r="AO55">
            <v>0</v>
          </cell>
          <cell r="AP55">
            <v>0</v>
          </cell>
          <cell r="AQ55">
            <v>23</v>
          </cell>
        </row>
        <row r="57">
          <cell r="B57">
            <v>11778</v>
          </cell>
          <cell r="C57" t="str">
            <v>ASHWITHA</v>
          </cell>
          <cell r="D57" t="str">
            <v>ASHWITHA</v>
          </cell>
          <cell r="E57" t="str">
            <v>HK MAID</v>
          </cell>
          <cell r="F57" t="str">
            <v>w/o</v>
          </cell>
          <cell r="G57" t="str">
            <v>P</v>
          </cell>
          <cell r="H57" t="str">
            <v>P</v>
          </cell>
          <cell r="I57" t="str">
            <v>P</v>
          </cell>
          <cell r="J57" t="str">
            <v>P</v>
          </cell>
          <cell r="K57" t="str">
            <v>P</v>
          </cell>
          <cell r="L57" t="str">
            <v>P</v>
          </cell>
          <cell r="M57" t="str">
            <v>P</v>
          </cell>
          <cell r="N57" t="str">
            <v>A</v>
          </cell>
          <cell r="O57" t="str">
            <v>A</v>
          </cell>
          <cell r="P57" t="str">
            <v>A</v>
          </cell>
          <cell r="Q57" t="str">
            <v>A</v>
          </cell>
          <cell r="R57" t="str">
            <v>A</v>
          </cell>
          <cell r="S57" t="str">
            <v>A</v>
          </cell>
          <cell r="T57" t="str">
            <v>A</v>
          </cell>
          <cell r="U57" t="str">
            <v>A</v>
          </cell>
          <cell r="V57" t="str">
            <v>A</v>
          </cell>
          <cell r="W57" t="str">
            <v>A</v>
          </cell>
          <cell r="X57" t="str">
            <v>A</v>
          </cell>
          <cell r="Y57" t="str">
            <v>A</v>
          </cell>
          <cell r="Z57" t="str">
            <v>A</v>
          </cell>
          <cell r="AA57" t="str">
            <v>A</v>
          </cell>
          <cell r="AB57" t="str">
            <v>A</v>
          </cell>
          <cell r="AC57" t="str">
            <v>A</v>
          </cell>
          <cell r="AD57" t="str">
            <v>A</v>
          </cell>
          <cell r="AE57" t="str">
            <v>A</v>
          </cell>
          <cell r="AF57" t="str">
            <v>A</v>
          </cell>
          <cell r="AG57" t="str">
            <v>A</v>
          </cell>
          <cell r="AH57" t="str">
            <v>A</v>
          </cell>
          <cell r="AI57" t="str">
            <v>A</v>
          </cell>
          <cell r="AJ57">
            <v>30</v>
          </cell>
          <cell r="AK57">
            <v>7</v>
          </cell>
          <cell r="AL57">
            <v>0</v>
          </cell>
          <cell r="AM57">
            <v>1</v>
          </cell>
          <cell r="AN57">
            <v>22</v>
          </cell>
          <cell r="AO57">
            <v>0</v>
          </cell>
          <cell r="AP57">
            <v>0</v>
          </cell>
          <cell r="AQ57">
            <v>8</v>
          </cell>
        </row>
        <row r="59">
          <cell r="B59">
            <v>11471</v>
          </cell>
          <cell r="C59" t="str">
            <v>PARVATHI</v>
          </cell>
          <cell r="D59" t="str">
            <v>B.PARVATHI</v>
          </cell>
          <cell r="E59" t="str">
            <v>HK MAID</v>
          </cell>
          <cell r="F59" t="str">
            <v>P</v>
          </cell>
          <cell r="G59" t="str">
            <v>A</v>
          </cell>
          <cell r="H59" t="str">
            <v>A</v>
          </cell>
          <cell r="I59" t="str">
            <v>A</v>
          </cell>
          <cell r="J59" t="str">
            <v>A</v>
          </cell>
          <cell r="K59" t="str">
            <v>A</v>
          </cell>
          <cell r="L59" t="str">
            <v>P</v>
          </cell>
          <cell r="M59" t="str">
            <v>P</v>
          </cell>
          <cell r="N59" t="str">
            <v>A</v>
          </cell>
          <cell r="O59" t="str">
            <v>P</v>
          </cell>
          <cell r="P59" t="str">
            <v>P</v>
          </cell>
          <cell r="Q59" t="str">
            <v>P</v>
          </cell>
          <cell r="R59" t="str">
            <v>P</v>
          </cell>
          <cell r="S59" t="str">
            <v>P</v>
          </cell>
          <cell r="T59" t="str">
            <v>P</v>
          </cell>
          <cell r="U59" t="str">
            <v>A</v>
          </cell>
          <cell r="V59" t="str">
            <v>A</v>
          </cell>
          <cell r="W59" t="str">
            <v>A</v>
          </cell>
          <cell r="X59" t="str">
            <v>A</v>
          </cell>
          <cell r="Y59" t="str">
            <v>P</v>
          </cell>
          <cell r="Z59" t="str">
            <v>P</v>
          </cell>
          <cell r="AA59" t="str">
            <v>A</v>
          </cell>
          <cell r="AB59" t="str">
            <v>A</v>
          </cell>
          <cell r="AC59" t="str">
            <v>A</v>
          </cell>
          <cell r="AD59" t="str">
            <v>A</v>
          </cell>
          <cell r="AE59" t="str">
            <v>A</v>
          </cell>
          <cell r="AF59" t="str">
            <v>A</v>
          </cell>
          <cell r="AG59" t="str">
            <v>A</v>
          </cell>
          <cell r="AH59" t="str">
            <v>A</v>
          </cell>
          <cell r="AI59" t="str">
            <v>A</v>
          </cell>
          <cell r="AJ59">
            <v>30</v>
          </cell>
          <cell r="AK59">
            <v>11</v>
          </cell>
          <cell r="AL59">
            <v>0</v>
          </cell>
          <cell r="AM59">
            <v>0</v>
          </cell>
          <cell r="AN59">
            <v>19</v>
          </cell>
          <cell r="AO59">
            <v>0</v>
          </cell>
          <cell r="AP59">
            <v>0</v>
          </cell>
          <cell r="AQ59">
            <v>11</v>
          </cell>
        </row>
        <row r="61">
          <cell r="B61">
            <v>12016</v>
          </cell>
          <cell r="C61" t="str">
            <v>ARUNA</v>
          </cell>
          <cell r="D61" t="str">
            <v>ARUNA</v>
          </cell>
          <cell r="E61" t="str">
            <v>HK MAID</v>
          </cell>
          <cell r="F61" t="str">
            <v>P</v>
          </cell>
          <cell r="G61" t="str">
            <v>A</v>
          </cell>
          <cell r="H61" t="str">
            <v>A</v>
          </cell>
          <cell r="I61" t="str">
            <v>A</v>
          </cell>
          <cell r="J61" t="str">
            <v>A</v>
          </cell>
          <cell r="K61" t="str">
            <v>P</v>
          </cell>
          <cell r="L61" t="str">
            <v>A</v>
          </cell>
          <cell r="M61" t="str">
            <v>A</v>
          </cell>
          <cell r="N61" t="str">
            <v>A</v>
          </cell>
          <cell r="O61" t="str">
            <v>A</v>
          </cell>
          <cell r="P61" t="str">
            <v>A</v>
          </cell>
          <cell r="Q61" t="str">
            <v>P</v>
          </cell>
          <cell r="R61" t="str">
            <v>P</v>
          </cell>
          <cell r="S61" t="str">
            <v>P</v>
          </cell>
          <cell r="T61" t="str">
            <v>A</v>
          </cell>
          <cell r="U61" t="str">
            <v>P</v>
          </cell>
          <cell r="V61" t="str">
            <v>P</v>
          </cell>
          <cell r="W61" t="str">
            <v>A</v>
          </cell>
          <cell r="X61" t="str">
            <v>A</v>
          </cell>
          <cell r="Y61" t="str">
            <v>A</v>
          </cell>
          <cell r="Z61" t="str">
            <v>A</v>
          </cell>
          <cell r="AA61" t="str">
            <v>A</v>
          </cell>
          <cell r="AB61" t="str">
            <v>A</v>
          </cell>
          <cell r="AC61" t="str">
            <v>A</v>
          </cell>
          <cell r="AD61" t="str">
            <v>A</v>
          </cell>
          <cell r="AE61" t="str">
            <v>A</v>
          </cell>
          <cell r="AF61" t="str">
            <v>A</v>
          </cell>
          <cell r="AG61" t="str">
            <v>A</v>
          </cell>
          <cell r="AH61" t="str">
            <v>A</v>
          </cell>
          <cell r="AI61" t="str">
            <v>A</v>
          </cell>
          <cell r="AJ61">
            <v>30</v>
          </cell>
          <cell r="AK61">
            <v>7</v>
          </cell>
          <cell r="AL61">
            <v>0</v>
          </cell>
          <cell r="AM61">
            <v>0</v>
          </cell>
          <cell r="AN61">
            <v>23</v>
          </cell>
          <cell r="AO61">
            <v>0</v>
          </cell>
          <cell r="AP61">
            <v>0</v>
          </cell>
          <cell r="AQ61">
            <v>7</v>
          </cell>
        </row>
        <row r="63">
          <cell r="B63">
            <v>12064</v>
          </cell>
          <cell r="C63" t="str">
            <v>ADHILAXMI</v>
          </cell>
          <cell r="D63" t="str">
            <v>ADHILAXMI</v>
          </cell>
          <cell r="E63" t="str">
            <v>HK MAID</v>
          </cell>
          <cell r="F63" t="str">
            <v>w/o</v>
          </cell>
          <cell r="G63" t="str">
            <v>P</v>
          </cell>
          <cell r="H63" t="str">
            <v>P</v>
          </cell>
          <cell r="I63" t="str">
            <v>P</v>
          </cell>
          <cell r="J63" t="str">
            <v>P</v>
          </cell>
          <cell r="K63" t="str">
            <v>A</v>
          </cell>
          <cell r="L63" t="str">
            <v>P</v>
          </cell>
          <cell r="M63" t="str">
            <v>w/o</v>
          </cell>
          <cell r="N63" t="str">
            <v>P</v>
          </cell>
          <cell r="O63" t="str">
            <v>P</v>
          </cell>
          <cell r="P63" t="str">
            <v>P</v>
          </cell>
          <cell r="Q63" t="str">
            <v>P</v>
          </cell>
          <cell r="R63" t="str">
            <v>P</v>
          </cell>
          <cell r="S63" t="str">
            <v>w/o</v>
          </cell>
          <cell r="T63" t="str">
            <v>P</v>
          </cell>
          <cell r="U63" t="str">
            <v>P</v>
          </cell>
          <cell r="V63" t="str">
            <v>P</v>
          </cell>
          <cell r="W63" t="str">
            <v>P</v>
          </cell>
          <cell r="X63" t="str">
            <v>P</v>
          </cell>
          <cell r="Y63" t="str">
            <v>P</v>
          </cell>
          <cell r="Z63" t="str">
            <v>P</v>
          </cell>
          <cell r="AA63" t="str">
            <v>A</v>
          </cell>
          <cell r="AB63" t="str">
            <v>A</v>
          </cell>
          <cell r="AC63" t="str">
            <v>A</v>
          </cell>
          <cell r="AD63" t="str">
            <v>A</v>
          </cell>
          <cell r="AE63" t="str">
            <v>A</v>
          </cell>
          <cell r="AF63" t="str">
            <v>A</v>
          </cell>
          <cell r="AG63" t="str">
            <v>A</v>
          </cell>
          <cell r="AH63" t="str">
            <v>A</v>
          </cell>
          <cell r="AI63" t="str">
            <v>A</v>
          </cell>
          <cell r="AJ63">
            <v>30</v>
          </cell>
          <cell r="AK63">
            <v>17</v>
          </cell>
          <cell r="AL63">
            <v>0</v>
          </cell>
          <cell r="AM63">
            <v>3</v>
          </cell>
          <cell r="AN63">
            <v>10</v>
          </cell>
          <cell r="AO63">
            <v>20</v>
          </cell>
          <cell r="AP63">
            <v>2.2222222222222223</v>
          </cell>
          <cell r="AQ63">
            <v>22.222222222222221</v>
          </cell>
        </row>
        <row r="64">
          <cell r="I64">
            <v>4</v>
          </cell>
          <cell r="J64">
            <v>4</v>
          </cell>
          <cell r="P64">
            <v>4</v>
          </cell>
          <cell r="W64">
            <v>4</v>
          </cell>
          <cell r="X64">
            <v>4</v>
          </cell>
        </row>
        <row r="65">
          <cell r="B65">
            <v>12078</v>
          </cell>
          <cell r="C65" t="str">
            <v>SHABHANAKATAN</v>
          </cell>
          <cell r="D65" t="str">
            <v>SHABANA KHATOON</v>
          </cell>
          <cell r="E65" t="str">
            <v>HK MAID</v>
          </cell>
          <cell r="F65" t="str">
            <v>w/o</v>
          </cell>
          <cell r="G65" t="str">
            <v>P</v>
          </cell>
          <cell r="H65" t="str">
            <v>A</v>
          </cell>
          <cell r="I65" t="str">
            <v>A</v>
          </cell>
          <cell r="J65" t="str">
            <v>A</v>
          </cell>
          <cell r="K65" t="str">
            <v>A</v>
          </cell>
          <cell r="L65" t="str">
            <v>A</v>
          </cell>
          <cell r="M65" t="str">
            <v>P</v>
          </cell>
          <cell r="N65" t="str">
            <v>P</v>
          </cell>
          <cell r="O65" t="str">
            <v>P</v>
          </cell>
          <cell r="P65" t="str">
            <v>P</v>
          </cell>
          <cell r="Q65" t="str">
            <v>P</v>
          </cell>
          <cell r="R65" t="str">
            <v>P</v>
          </cell>
          <cell r="S65" t="str">
            <v>w/o</v>
          </cell>
          <cell r="T65" t="str">
            <v>P</v>
          </cell>
          <cell r="U65" t="str">
            <v>P</v>
          </cell>
          <cell r="V65" t="str">
            <v>A</v>
          </cell>
          <cell r="W65" t="str">
            <v>P</v>
          </cell>
          <cell r="X65" t="str">
            <v>P</v>
          </cell>
          <cell r="Y65" t="str">
            <v>P</v>
          </cell>
          <cell r="Z65" t="str">
            <v>w/o</v>
          </cell>
          <cell r="AA65" t="str">
            <v>P</v>
          </cell>
          <cell r="AB65" t="str">
            <v>P</v>
          </cell>
          <cell r="AC65" t="str">
            <v>A</v>
          </cell>
          <cell r="AD65" t="str">
            <v>P</v>
          </cell>
          <cell r="AE65" t="str">
            <v>P</v>
          </cell>
          <cell r="AF65" t="str">
            <v>P</v>
          </cell>
          <cell r="AG65" t="str">
            <v>w/o</v>
          </cell>
          <cell r="AH65" t="str">
            <v>P</v>
          </cell>
          <cell r="AI65" t="str">
            <v>P</v>
          </cell>
          <cell r="AJ65">
            <v>30</v>
          </cell>
          <cell r="AK65">
            <v>19</v>
          </cell>
          <cell r="AL65">
            <v>0</v>
          </cell>
          <cell r="AM65">
            <v>4</v>
          </cell>
          <cell r="AN65">
            <v>7</v>
          </cell>
          <cell r="AO65">
            <v>27</v>
          </cell>
          <cell r="AP65">
            <v>3</v>
          </cell>
          <cell r="AQ65">
            <v>26</v>
          </cell>
        </row>
        <row r="66">
          <cell r="F66">
            <v>9</v>
          </cell>
          <cell r="S66">
            <v>9</v>
          </cell>
          <cell r="AG66">
            <v>9</v>
          </cell>
        </row>
        <row r="67">
          <cell r="B67">
            <v>12046</v>
          </cell>
          <cell r="C67" t="str">
            <v>ASHADEVI</v>
          </cell>
          <cell r="D67" t="str">
            <v>ASHADEVI</v>
          </cell>
          <cell r="E67" t="str">
            <v>HK MAID</v>
          </cell>
          <cell r="F67" t="str">
            <v>P</v>
          </cell>
          <cell r="G67" t="str">
            <v>P</v>
          </cell>
          <cell r="H67" t="str">
            <v>P</v>
          </cell>
          <cell r="I67" t="str">
            <v>P</v>
          </cell>
          <cell r="J67" t="str">
            <v>P</v>
          </cell>
          <cell r="K67" t="str">
            <v>P</v>
          </cell>
          <cell r="L67" t="str">
            <v>w/o</v>
          </cell>
          <cell r="M67" t="str">
            <v>P</v>
          </cell>
          <cell r="N67" t="str">
            <v>P</v>
          </cell>
          <cell r="O67" t="str">
            <v>P</v>
          </cell>
          <cell r="P67" t="str">
            <v>P</v>
          </cell>
          <cell r="Q67" t="str">
            <v>P</v>
          </cell>
          <cell r="R67" t="str">
            <v>P</v>
          </cell>
          <cell r="S67" t="str">
            <v>w/o</v>
          </cell>
          <cell r="T67" t="str">
            <v>P</v>
          </cell>
          <cell r="U67" t="str">
            <v>P</v>
          </cell>
          <cell r="V67" t="str">
            <v>A</v>
          </cell>
          <cell r="W67" t="str">
            <v>P</v>
          </cell>
          <cell r="X67" t="str">
            <v>P</v>
          </cell>
          <cell r="Y67" t="str">
            <v>P</v>
          </cell>
          <cell r="Z67" t="str">
            <v>w/o</v>
          </cell>
          <cell r="AA67" t="str">
            <v>P</v>
          </cell>
          <cell r="AB67" t="str">
            <v>P</v>
          </cell>
          <cell r="AC67" t="str">
            <v>P</v>
          </cell>
          <cell r="AD67" t="str">
            <v>P</v>
          </cell>
          <cell r="AE67" t="str">
            <v>P</v>
          </cell>
          <cell r="AF67" t="str">
            <v>P</v>
          </cell>
          <cell r="AG67" t="str">
            <v>P</v>
          </cell>
          <cell r="AH67" t="str">
            <v>w/o</v>
          </cell>
          <cell r="AI67" t="str">
            <v>P</v>
          </cell>
          <cell r="AJ67">
            <v>30</v>
          </cell>
          <cell r="AK67">
            <v>25</v>
          </cell>
          <cell r="AL67">
            <v>0</v>
          </cell>
          <cell r="AM67">
            <v>4</v>
          </cell>
          <cell r="AN67">
            <v>1</v>
          </cell>
          <cell r="AO67">
            <v>9</v>
          </cell>
          <cell r="AP67">
            <v>1</v>
          </cell>
          <cell r="AQ67">
            <v>30</v>
          </cell>
        </row>
        <row r="68">
          <cell r="S68">
            <v>9</v>
          </cell>
        </row>
        <row r="69">
          <cell r="B69">
            <v>12075</v>
          </cell>
          <cell r="C69" t="str">
            <v xml:space="preserve">ROSHAN KHATUN </v>
          </cell>
          <cell r="D69" t="str">
            <v>ROSHAN</v>
          </cell>
          <cell r="E69" t="str">
            <v>HK MAID</v>
          </cell>
          <cell r="F69" t="str">
            <v>w/o</v>
          </cell>
          <cell r="G69" t="str">
            <v>P</v>
          </cell>
          <cell r="H69" t="str">
            <v>P</v>
          </cell>
          <cell r="I69" t="str">
            <v>P</v>
          </cell>
          <cell r="J69" t="str">
            <v>P</v>
          </cell>
          <cell r="K69" t="str">
            <v>P</v>
          </cell>
          <cell r="L69" t="str">
            <v>A</v>
          </cell>
          <cell r="M69" t="str">
            <v>P</v>
          </cell>
          <cell r="N69" t="str">
            <v>P</v>
          </cell>
          <cell r="O69" t="str">
            <v>P</v>
          </cell>
          <cell r="P69" t="str">
            <v>P</v>
          </cell>
          <cell r="Q69" t="str">
            <v>P</v>
          </cell>
          <cell r="R69" t="str">
            <v>P</v>
          </cell>
          <cell r="S69" t="str">
            <v>w/o</v>
          </cell>
          <cell r="T69" t="str">
            <v>P</v>
          </cell>
          <cell r="U69" t="str">
            <v>P</v>
          </cell>
          <cell r="V69" t="str">
            <v>P</v>
          </cell>
          <cell r="W69" t="str">
            <v>P</v>
          </cell>
          <cell r="X69" t="str">
            <v>P</v>
          </cell>
          <cell r="Y69" t="str">
            <v>P</v>
          </cell>
          <cell r="Z69" t="str">
            <v>w/o</v>
          </cell>
          <cell r="AA69" t="str">
            <v>P</v>
          </cell>
          <cell r="AB69" t="str">
            <v>P</v>
          </cell>
          <cell r="AC69" t="str">
            <v>P</v>
          </cell>
          <cell r="AD69" t="str">
            <v>P</v>
          </cell>
          <cell r="AE69" t="str">
            <v>P</v>
          </cell>
          <cell r="AF69" t="str">
            <v>P</v>
          </cell>
          <cell r="AG69" t="str">
            <v>w/o</v>
          </cell>
          <cell r="AH69" t="str">
            <v>P</v>
          </cell>
          <cell r="AI69" t="str">
            <v>P</v>
          </cell>
          <cell r="AJ69">
            <v>30</v>
          </cell>
          <cell r="AK69">
            <v>25</v>
          </cell>
          <cell r="AL69">
            <v>0</v>
          </cell>
          <cell r="AM69">
            <v>4</v>
          </cell>
          <cell r="AN69">
            <v>1</v>
          </cell>
          <cell r="AO69">
            <v>27</v>
          </cell>
          <cell r="AP69">
            <v>3</v>
          </cell>
          <cell r="AQ69">
            <v>32</v>
          </cell>
        </row>
        <row r="70">
          <cell r="F70">
            <v>9</v>
          </cell>
          <cell r="S70">
            <v>9</v>
          </cell>
          <cell r="AG70">
            <v>9</v>
          </cell>
        </row>
        <row r="71">
          <cell r="B71">
            <v>12069</v>
          </cell>
          <cell r="C71" t="str">
            <v>JANAKI</v>
          </cell>
          <cell r="D71" t="str">
            <v>JANAKI</v>
          </cell>
          <cell r="E71" t="str">
            <v>HK MAID</v>
          </cell>
          <cell r="F71" t="str">
            <v>w/o</v>
          </cell>
          <cell r="G71" t="str">
            <v>P</v>
          </cell>
          <cell r="H71" t="str">
            <v>P</v>
          </cell>
          <cell r="I71" t="str">
            <v>P</v>
          </cell>
          <cell r="J71" t="str">
            <v>A</v>
          </cell>
          <cell r="K71" t="str">
            <v>P</v>
          </cell>
          <cell r="L71" t="str">
            <v>P</v>
          </cell>
          <cell r="M71" t="str">
            <v>w/o</v>
          </cell>
          <cell r="N71" t="str">
            <v>P</v>
          </cell>
          <cell r="O71" t="str">
            <v>P</v>
          </cell>
          <cell r="P71" t="str">
            <v>P</v>
          </cell>
          <cell r="Q71" t="str">
            <v>P</v>
          </cell>
          <cell r="R71" t="str">
            <v>P</v>
          </cell>
          <cell r="S71" t="str">
            <v>w/o</v>
          </cell>
          <cell r="T71" t="str">
            <v>P</v>
          </cell>
          <cell r="U71" t="str">
            <v>P</v>
          </cell>
          <cell r="V71" t="str">
            <v>P</v>
          </cell>
          <cell r="W71" t="str">
            <v>P</v>
          </cell>
          <cell r="X71" t="str">
            <v>P</v>
          </cell>
          <cell r="Y71" t="str">
            <v>P</v>
          </cell>
          <cell r="Z71" t="str">
            <v>P</v>
          </cell>
          <cell r="AA71" t="str">
            <v>w/o</v>
          </cell>
          <cell r="AB71" t="str">
            <v>P</v>
          </cell>
          <cell r="AC71" t="str">
            <v>P</v>
          </cell>
          <cell r="AD71" t="str">
            <v>P</v>
          </cell>
          <cell r="AE71" t="str">
            <v>P</v>
          </cell>
          <cell r="AF71" t="str">
            <v>P</v>
          </cell>
          <cell r="AG71" t="str">
            <v>w/o</v>
          </cell>
          <cell r="AH71" t="str">
            <v>P</v>
          </cell>
          <cell r="AI71" t="str">
            <v>P</v>
          </cell>
          <cell r="AJ71">
            <v>30</v>
          </cell>
          <cell r="AK71">
            <v>24</v>
          </cell>
          <cell r="AL71">
            <v>0</v>
          </cell>
          <cell r="AM71">
            <v>5</v>
          </cell>
          <cell r="AN71">
            <v>1</v>
          </cell>
          <cell r="AO71">
            <v>18</v>
          </cell>
          <cell r="AP71">
            <v>2</v>
          </cell>
          <cell r="AQ71">
            <v>31</v>
          </cell>
        </row>
        <row r="72">
          <cell r="F72">
            <v>9</v>
          </cell>
          <cell r="S72">
            <v>9</v>
          </cell>
        </row>
        <row r="73">
          <cell r="B73">
            <v>11627</v>
          </cell>
          <cell r="C73" t="str">
            <v>C.MOUNIKA</v>
          </cell>
          <cell r="D73" t="str">
            <v>CH. MOUNIKA</v>
          </cell>
          <cell r="E73" t="str">
            <v>HK MAID</v>
          </cell>
          <cell r="F73" t="str">
            <v>P</v>
          </cell>
          <cell r="G73" t="str">
            <v>P</v>
          </cell>
          <cell r="H73" t="str">
            <v>P</v>
          </cell>
          <cell r="I73" t="str">
            <v>P</v>
          </cell>
          <cell r="J73" t="str">
            <v>P</v>
          </cell>
          <cell r="K73" t="str">
            <v>P</v>
          </cell>
          <cell r="L73" t="str">
            <v>P</v>
          </cell>
          <cell r="M73" t="str">
            <v>w/o</v>
          </cell>
          <cell r="N73" t="str">
            <v>P</v>
          </cell>
          <cell r="O73" t="str">
            <v>P</v>
          </cell>
          <cell r="P73" t="str">
            <v>P</v>
          </cell>
          <cell r="Q73" t="str">
            <v>P</v>
          </cell>
          <cell r="R73" t="str">
            <v>A</v>
          </cell>
          <cell r="S73" t="str">
            <v>P</v>
          </cell>
          <cell r="T73" t="str">
            <v>w/o</v>
          </cell>
          <cell r="U73" t="str">
            <v>P</v>
          </cell>
          <cell r="V73" t="str">
            <v>P</v>
          </cell>
          <cell r="W73" t="str">
            <v>P</v>
          </cell>
          <cell r="X73" t="str">
            <v>P</v>
          </cell>
          <cell r="Y73" t="str">
            <v>P</v>
          </cell>
          <cell r="Z73" t="str">
            <v>A</v>
          </cell>
          <cell r="AA73" t="str">
            <v>w/o</v>
          </cell>
          <cell r="AB73" t="str">
            <v>A</v>
          </cell>
          <cell r="AC73" t="str">
            <v>P</v>
          </cell>
          <cell r="AD73" t="str">
            <v>P</v>
          </cell>
          <cell r="AE73" t="str">
            <v>P</v>
          </cell>
          <cell r="AF73" t="str">
            <v>P</v>
          </cell>
          <cell r="AG73" t="str">
            <v>w/o</v>
          </cell>
          <cell r="AH73" t="str">
            <v>P</v>
          </cell>
          <cell r="AI73" t="str">
            <v>P</v>
          </cell>
          <cell r="AJ73">
            <v>30</v>
          </cell>
          <cell r="AK73">
            <v>23</v>
          </cell>
          <cell r="AL73">
            <v>0</v>
          </cell>
          <cell r="AM73">
            <v>4</v>
          </cell>
          <cell r="AN73">
            <v>3</v>
          </cell>
          <cell r="AO73">
            <v>9</v>
          </cell>
          <cell r="AP73">
            <v>1</v>
          </cell>
          <cell r="AQ73">
            <v>28</v>
          </cell>
        </row>
        <row r="74">
          <cell r="M74">
            <v>9</v>
          </cell>
        </row>
        <row r="75">
          <cell r="B75">
            <v>11258</v>
          </cell>
          <cell r="C75" t="str">
            <v>RENUKA</v>
          </cell>
          <cell r="D75" t="str">
            <v>K RENUKA</v>
          </cell>
          <cell r="E75" t="str">
            <v>HK MAID</v>
          </cell>
          <cell r="F75" t="str">
            <v>w/o</v>
          </cell>
          <cell r="G75" t="str">
            <v>P</v>
          </cell>
          <cell r="H75" t="str">
            <v>P</v>
          </cell>
          <cell r="I75" t="str">
            <v>A</v>
          </cell>
          <cell r="J75" t="str">
            <v>P</v>
          </cell>
          <cell r="K75" t="str">
            <v>P</v>
          </cell>
          <cell r="L75" t="str">
            <v>w/o</v>
          </cell>
          <cell r="M75" t="str">
            <v>P</v>
          </cell>
          <cell r="N75" t="str">
            <v>P</v>
          </cell>
          <cell r="O75" t="str">
            <v>P</v>
          </cell>
          <cell r="P75" t="str">
            <v>P</v>
          </cell>
          <cell r="Q75" t="str">
            <v>P</v>
          </cell>
          <cell r="R75" t="str">
            <v>P</v>
          </cell>
          <cell r="S75" t="str">
            <v>P</v>
          </cell>
          <cell r="T75" t="str">
            <v>w/o</v>
          </cell>
          <cell r="U75" t="str">
            <v>P</v>
          </cell>
          <cell r="V75" t="str">
            <v>P</v>
          </cell>
          <cell r="W75" t="str">
            <v>A</v>
          </cell>
          <cell r="X75" t="str">
            <v>A</v>
          </cell>
          <cell r="Y75" t="str">
            <v>A</v>
          </cell>
          <cell r="Z75" t="str">
            <v>A</v>
          </cell>
          <cell r="AA75" t="str">
            <v>A</v>
          </cell>
          <cell r="AB75" t="str">
            <v>P</v>
          </cell>
          <cell r="AC75" t="str">
            <v>P</v>
          </cell>
          <cell r="AD75" t="str">
            <v>P</v>
          </cell>
          <cell r="AE75" t="str">
            <v>P</v>
          </cell>
          <cell r="AF75" t="str">
            <v>P</v>
          </cell>
          <cell r="AG75" t="str">
            <v>P</v>
          </cell>
          <cell r="AH75" t="str">
            <v>w/o</v>
          </cell>
          <cell r="AI75" t="str">
            <v>P</v>
          </cell>
          <cell r="AJ75">
            <v>30</v>
          </cell>
          <cell r="AK75">
            <v>20</v>
          </cell>
          <cell r="AL75">
            <v>0</v>
          </cell>
          <cell r="AM75">
            <v>4</v>
          </cell>
          <cell r="AN75">
            <v>6</v>
          </cell>
          <cell r="AO75">
            <v>9</v>
          </cell>
          <cell r="AP75">
            <v>1</v>
          </cell>
          <cell r="AQ75">
            <v>25</v>
          </cell>
        </row>
        <row r="76">
          <cell r="F76">
            <v>9</v>
          </cell>
        </row>
        <row r="77">
          <cell r="B77">
            <v>11752</v>
          </cell>
          <cell r="C77" t="str">
            <v>JASHODA</v>
          </cell>
          <cell r="D77" t="str">
            <v>JASHODA</v>
          </cell>
          <cell r="E77" t="str">
            <v>HK MAID</v>
          </cell>
          <cell r="F77" t="str">
            <v>w/o</v>
          </cell>
          <cell r="G77" t="str">
            <v>P</v>
          </cell>
          <cell r="H77" t="str">
            <v>P</v>
          </cell>
          <cell r="I77" t="str">
            <v>P</v>
          </cell>
          <cell r="J77" t="str">
            <v>A</v>
          </cell>
          <cell r="K77" t="str">
            <v>P</v>
          </cell>
          <cell r="L77" t="str">
            <v>P</v>
          </cell>
          <cell r="M77" t="str">
            <v>P</v>
          </cell>
          <cell r="N77" t="str">
            <v>P</v>
          </cell>
          <cell r="O77" t="str">
            <v>P</v>
          </cell>
          <cell r="P77" t="str">
            <v>P</v>
          </cell>
          <cell r="Q77" t="str">
            <v>P</v>
          </cell>
          <cell r="R77" t="str">
            <v>P</v>
          </cell>
          <cell r="S77" t="str">
            <v>P</v>
          </cell>
          <cell r="T77" t="str">
            <v>A</v>
          </cell>
          <cell r="U77" t="str">
            <v>P</v>
          </cell>
          <cell r="V77" t="str">
            <v>P</v>
          </cell>
          <cell r="W77" t="str">
            <v>A</v>
          </cell>
          <cell r="X77" t="str">
            <v>A</v>
          </cell>
          <cell r="Y77" t="str">
            <v>A</v>
          </cell>
          <cell r="Z77" t="str">
            <v>A</v>
          </cell>
          <cell r="AA77" t="str">
            <v>A</v>
          </cell>
          <cell r="AB77" t="str">
            <v>A</v>
          </cell>
          <cell r="AC77" t="str">
            <v>A</v>
          </cell>
          <cell r="AD77" t="str">
            <v>A</v>
          </cell>
          <cell r="AE77" t="str">
            <v>A</v>
          </cell>
          <cell r="AF77" t="str">
            <v>A</v>
          </cell>
          <cell r="AG77" t="str">
            <v>A</v>
          </cell>
          <cell r="AH77" t="str">
            <v>A</v>
          </cell>
          <cell r="AI77" t="str">
            <v>A</v>
          </cell>
          <cell r="AJ77">
            <v>30</v>
          </cell>
          <cell r="AK77">
            <v>14</v>
          </cell>
          <cell r="AL77">
            <v>0</v>
          </cell>
          <cell r="AM77">
            <v>1</v>
          </cell>
          <cell r="AN77">
            <v>15</v>
          </cell>
          <cell r="AO77">
            <v>0</v>
          </cell>
          <cell r="AP77">
            <v>0</v>
          </cell>
          <cell r="AQ77">
            <v>15</v>
          </cell>
        </row>
        <row r="79">
          <cell r="B79">
            <v>11967</v>
          </cell>
          <cell r="C79" t="str">
            <v>RANJU</v>
          </cell>
          <cell r="D79" t="str">
            <v>RANJU</v>
          </cell>
          <cell r="E79" t="str">
            <v>HK MAID</v>
          </cell>
          <cell r="F79" t="str">
            <v>w/o</v>
          </cell>
          <cell r="G79" t="str">
            <v>A</v>
          </cell>
          <cell r="H79" t="str">
            <v>P</v>
          </cell>
          <cell r="I79" t="str">
            <v>P</v>
          </cell>
          <cell r="J79" t="str">
            <v>A</v>
          </cell>
          <cell r="K79" t="str">
            <v>P</v>
          </cell>
          <cell r="L79" t="str">
            <v>P</v>
          </cell>
          <cell r="M79" t="str">
            <v>w/o</v>
          </cell>
          <cell r="N79" t="str">
            <v>P</v>
          </cell>
          <cell r="O79" t="str">
            <v>P</v>
          </cell>
          <cell r="P79" t="str">
            <v>P</v>
          </cell>
          <cell r="Q79" t="str">
            <v>P</v>
          </cell>
          <cell r="R79" t="str">
            <v>P</v>
          </cell>
          <cell r="S79" t="str">
            <v>P</v>
          </cell>
          <cell r="T79" t="str">
            <v>w/o</v>
          </cell>
          <cell r="U79" t="str">
            <v>P</v>
          </cell>
          <cell r="V79" t="str">
            <v>P</v>
          </cell>
          <cell r="W79" t="str">
            <v>A</v>
          </cell>
          <cell r="X79" t="str">
            <v>P</v>
          </cell>
          <cell r="Y79" t="str">
            <v>P</v>
          </cell>
          <cell r="Z79" t="str">
            <v>P</v>
          </cell>
          <cell r="AA79" t="str">
            <v>w/o</v>
          </cell>
          <cell r="AB79" t="str">
            <v>P</v>
          </cell>
          <cell r="AC79" t="str">
            <v>P</v>
          </cell>
          <cell r="AD79" t="str">
            <v>P</v>
          </cell>
          <cell r="AE79" t="str">
            <v>P</v>
          </cell>
          <cell r="AF79" t="str">
            <v>A</v>
          </cell>
          <cell r="AG79" t="str">
            <v>P</v>
          </cell>
          <cell r="AH79" t="str">
            <v>w/o</v>
          </cell>
          <cell r="AI79" t="str">
            <v>P</v>
          </cell>
          <cell r="AJ79">
            <v>30</v>
          </cell>
          <cell r="AK79">
            <v>21</v>
          </cell>
          <cell r="AL79">
            <v>0</v>
          </cell>
          <cell r="AM79">
            <v>5</v>
          </cell>
          <cell r="AN79">
            <v>4</v>
          </cell>
          <cell r="AO79">
            <v>0</v>
          </cell>
          <cell r="AP79">
            <v>0</v>
          </cell>
          <cell r="AQ79">
            <v>26</v>
          </cell>
        </row>
        <row r="81">
          <cell r="B81">
            <v>11921</v>
          </cell>
          <cell r="C81" t="str">
            <v>ANUSHA</v>
          </cell>
          <cell r="D81" t="str">
            <v>R. ANUSHA</v>
          </cell>
          <cell r="E81" t="str">
            <v>HK MAID</v>
          </cell>
          <cell r="F81" t="str">
            <v>w/o</v>
          </cell>
          <cell r="G81" t="str">
            <v>A</v>
          </cell>
          <cell r="H81" t="str">
            <v>A</v>
          </cell>
          <cell r="I81" t="str">
            <v>P</v>
          </cell>
          <cell r="J81" t="str">
            <v>P</v>
          </cell>
          <cell r="K81" t="str">
            <v>A</v>
          </cell>
          <cell r="L81" t="str">
            <v>P</v>
          </cell>
          <cell r="M81" t="str">
            <v>w/o</v>
          </cell>
          <cell r="N81" t="str">
            <v>P</v>
          </cell>
          <cell r="O81" t="str">
            <v>P</v>
          </cell>
          <cell r="P81" t="str">
            <v>A</v>
          </cell>
          <cell r="Q81" t="str">
            <v>P</v>
          </cell>
          <cell r="R81" t="str">
            <v>P</v>
          </cell>
          <cell r="S81" t="str">
            <v>P</v>
          </cell>
          <cell r="T81" t="str">
            <v>w/o</v>
          </cell>
          <cell r="U81" t="str">
            <v>P</v>
          </cell>
          <cell r="V81" t="str">
            <v>P</v>
          </cell>
          <cell r="W81" t="str">
            <v>P</v>
          </cell>
          <cell r="X81" t="str">
            <v>A</v>
          </cell>
          <cell r="Y81" t="str">
            <v>P</v>
          </cell>
          <cell r="Z81" t="str">
            <v>w/o</v>
          </cell>
          <cell r="AA81" t="str">
            <v>P</v>
          </cell>
          <cell r="AB81" t="str">
            <v>P</v>
          </cell>
          <cell r="AC81" t="str">
            <v>P</v>
          </cell>
          <cell r="AD81" t="str">
            <v>P</v>
          </cell>
          <cell r="AE81" t="str">
            <v>P</v>
          </cell>
          <cell r="AF81" t="str">
            <v>P</v>
          </cell>
          <cell r="AG81" t="str">
            <v>w/o</v>
          </cell>
          <cell r="AH81" t="str">
            <v>P</v>
          </cell>
          <cell r="AI81" t="str">
            <v>P</v>
          </cell>
          <cell r="AJ81">
            <v>30</v>
          </cell>
          <cell r="AK81">
            <v>20</v>
          </cell>
          <cell r="AL81">
            <v>0</v>
          </cell>
          <cell r="AM81">
            <v>5</v>
          </cell>
          <cell r="AN81">
            <v>5</v>
          </cell>
          <cell r="AO81">
            <v>18</v>
          </cell>
          <cell r="AP81">
            <v>2</v>
          </cell>
          <cell r="AQ81">
            <v>27</v>
          </cell>
        </row>
        <row r="82">
          <cell r="M82">
            <v>9</v>
          </cell>
          <cell r="Z82">
            <v>9</v>
          </cell>
        </row>
        <row r="83">
          <cell r="B83">
            <v>11991</v>
          </cell>
          <cell r="C83" t="str">
            <v>RAMADEVI</v>
          </cell>
          <cell r="D83" t="str">
            <v>RAMADEVI</v>
          </cell>
          <cell r="E83" t="str">
            <v>HK MAID</v>
          </cell>
          <cell r="F83" t="str">
            <v>A</v>
          </cell>
          <cell r="G83" t="str">
            <v>A</v>
          </cell>
          <cell r="H83" t="str">
            <v>A</v>
          </cell>
          <cell r="I83" t="str">
            <v>A</v>
          </cell>
          <cell r="J83" t="str">
            <v>A</v>
          </cell>
          <cell r="K83" t="str">
            <v>A</v>
          </cell>
          <cell r="L83" t="str">
            <v>A</v>
          </cell>
          <cell r="M83" t="str">
            <v>A</v>
          </cell>
          <cell r="N83" t="str">
            <v>P</v>
          </cell>
          <cell r="O83" t="str">
            <v>P</v>
          </cell>
          <cell r="P83" t="str">
            <v>P</v>
          </cell>
          <cell r="Q83" t="str">
            <v>P</v>
          </cell>
          <cell r="R83" t="str">
            <v>P</v>
          </cell>
          <cell r="S83" t="str">
            <v>w/o</v>
          </cell>
          <cell r="T83" t="str">
            <v>P</v>
          </cell>
          <cell r="U83" t="str">
            <v>P</v>
          </cell>
          <cell r="V83" t="str">
            <v>P</v>
          </cell>
          <cell r="W83" t="str">
            <v>P</v>
          </cell>
          <cell r="X83" t="str">
            <v>P</v>
          </cell>
          <cell r="Y83" t="str">
            <v>A</v>
          </cell>
          <cell r="Z83" t="str">
            <v>w/o</v>
          </cell>
          <cell r="AA83" t="str">
            <v>P</v>
          </cell>
          <cell r="AB83" t="str">
            <v>P</v>
          </cell>
          <cell r="AC83" t="str">
            <v>P</v>
          </cell>
          <cell r="AD83" t="str">
            <v>P</v>
          </cell>
          <cell r="AE83" t="str">
            <v>P</v>
          </cell>
          <cell r="AF83" t="str">
            <v>P</v>
          </cell>
          <cell r="AG83" t="str">
            <v>w/o</v>
          </cell>
          <cell r="AH83" t="str">
            <v>P</v>
          </cell>
          <cell r="AI83" t="str">
            <v>P</v>
          </cell>
          <cell r="AJ83">
            <v>30</v>
          </cell>
          <cell r="AK83">
            <v>18</v>
          </cell>
          <cell r="AL83">
            <v>0</v>
          </cell>
          <cell r="AM83">
            <v>3</v>
          </cell>
          <cell r="AN83">
            <v>9</v>
          </cell>
          <cell r="AO83">
            <v>0</v>
          </cell>
          <cell r="AP83">
            <v>0</v>
          </cell>
          <cell r="AQ83">
            <v>21</v>
          </cell>
        </row>
        <row r="85">
          <cell r="B85">
            <v>12136</v>
          </cell>
          <cell r="C85" t="str">
            <v>BRAMAIAH</v>
          </cell>
          <cell r="D85" t="str">
            <v>BRAMAIAH</v>
          </cell>
          <cell r="E85" t="str">
            <v>HK MAID</v>
          </cell>
          <cell r="F85" t="str">
            <v>A</v>
          </cell>
          <cell r="G85" t="str">
            <v>A</v>
          </cell>
          <cell r="H85" t="str">
            <v>A</v>
          </cell>
          <cell r="I85" t="str">
            <v>A</v>
          </cell>
          <cell r="J85" t="str">
            <v>A</v>
          </cell>
          <cell r="K85" t="str">
            <v>A</v>
          </cell>
          <cell r="L85" t="str">
            <v>A</v>
          </cell>
          <cell r="M85" t="str">
            <v>A</v>
          </cell>
          <cell r="N85" t="str">
            <v>A</v>
          </cell>
          <cell r="O85" t="str">
            <v>P</v>
          </cell>
          <cell r="P85" t="str">
            <v>P</v>
          </cell>
          <cell r="Q85" t="str">
            <v>P</v>
          </cell>
          <cell r="R85" t="str">
            <v>P</v>
          </cell>
          <cell r="S85" t="str">
            <v>P</v>
          </cell>
          <cell r="T85" t="str">
            <v>w/o</v>
          </cell>
          <cell r="U85" t="str">
            <v>P</v>
          </cell>
          <cell r="V85" t="str">
            <v>P</v>
          </cell>
          <cell r="W85" t="str">
            <v>P</v>
          </cell>
          <cell r="X85" t="str">
            <v>P</v>
          </cell>
          <cell r="Y85" t="str">
            <v>P</v>
          </cell>
          <cell r="Z85" t="str">
            <v>P</v>
          </cell>
          <cell r="AA85" t="str">
            <v>w/o</v>
          </cell>
          <cell r="AB85" t="str">
            <v>P</v>
          </cell>
          <cell r="AC85" t="str">
            <v>P</v>
          </cell>
          <cell r="AD85" t="str">
            <v>P</v>
          </cell>
          <cell r="AE85" t="str">
            <v>P</v>
          </cell>
          <cell r="AF85" t="str">
            <v>P</v>
          </cell>
          <cell r="AG85" t="str">
            <v>A</v>
          </cell>
          <cell r="AH85" t="str">
            <v>w/o</v>
          </cell>
          <cell r="AI85" t="str">
            <v>P</v>
          </cell>
          <cell r="AJ85">
            <v>30</v>
          </cell>
          <cell r="AK85">
            <v>17</v>
          </cell>
          <cell r="AL85">
            <v>0</v>
          </cell>
          <cell r="AM85">
            <v>3</v>
          </cell>
          <cell r="AN85">
            <v>10</v>
          </cell>
          <cell r="AO85">
            <v>8</v>
          </cell>
          <cell r="AP85">
            <v>0.88888888888888884</v>
          </cell>
          <cell r="AQ85">
            <v>20.888888888888889</v>
          </cell>
        </row>
        <row r="86">
          <cell r="Q86">
            <v>4</v>
          </cell>
          <cell r="W86">
            <v>4</v>
          </cell>
        </row>
        <row r="87">
          <cell r="B87" t="str">
            <v>REP</v>
          </cell>
          <cell r="C87" t="str">
            <v>SAVANKUMARI</v>
          </cell>
          <cell r="D87" t="str">
            <v>REP</v>
          </cell>
          <cell r="E87" t="str">
            <v>HK MAID</v>
          </cell>
          <cell r="F87" t="str">
            <v>A</v>
          </cell>
          <cell r="G87" t="str">
            <v>A</v>
          </cell>
          <cell r="H87" t="str">
            <v>A</v>
          </cell>
          <cell r="I87" t="str">
            <v>A</v>
          </cell>
          <cell r="J87" t="str">
            <v>A</v>
          </cell>
          <cell r="K87" t="str">
            <v>A</v>
          </cell>
          <cell r="L87" t="str">
            <v>A</v>
          </cell>
          <cell r="M87" t="str">
            <v>A</v>
          </cell>
          <cell r="N87" t="str">
            <v>A</v>
          </cell>
          <cell r="O87" t="str">
            <v>A</v>
          </cell>
          <cell r="P87" t="str">
            <v>A</v>
          </cell>
          <cell r="Q87" t="str">
            <v>A</v>
          </cell>
          <cell r="R87" t="str">
            <v>A</v>
          </cell>
          <cell r="S87" t="str">
            <v>A</v>
          </cell>
          <cell r="T87" t="str">
            <v>A</v>
          </cell>
          <cell r="U87" t="str">
            <v>A</v>
          </cell>
          <cell r="V87" t="str">
            <v>A</v>
          </cell>
          <cell r="W87" t="str">
            <v>A</v>
          </cell>
          <cell r="X87" t="str">
            <v>A</v>
          </cell>
          <cell r="Y87" t="str">
            <v>P</v>
          </cell>
          <cell r="Z87" t="str">
            <v>P</v>
          </cell>
          <cell r="AA87" t="str">
            <v>P</v>
          </cell>
          <cell r="AB87" t="str">
            <v>P</v>
          </cell>
          <cell r="AC87" t="str">
            <v>A</v>
          </cell>
          <cell r="AD87" t="str">
            <v>A</v>
          </cell>
          <cell r="AE87" t="str">
            <v>A</v>
          </cell>
          <cell r="AF87" t="str">
            <v>A</v>
          </cell>
          <cell r="AG87" t="str">
            <v>A</v>
          </cell>
          <cell r="AH87" t="str">
            <v>A</v>
          </cell>
          <cell r="AI87" t="str">
            <v>A</v>
          </cell>
          <cell r="AJ87">
            <v>30</v>
          </cell>
          <cell r="AK87">
            <v>4</v>
          </cell>
          <cell r="AL87">
            <v>0</v>
          </cell>
          <cell r="AM87">
            <v>0</v>
          </cell>
          <cell r="AN87">
            <v>26</v>
          </cell>
          <cell r="AO87">
            <v>0</v>
          </cell>
          <cell r="AP87">
            <v>0</v>
          </cell>
          <cell r="AQ87">
            <v>4</v>
          </cell>
        </row>
        <row r="89">
          <cell r="B89" t="str">
            <v>REP</v>
          </cell>
          <cell r="C89" t="str">
            <v>DIVYAKUMARI</v>
          </cell>
          <cell r="D89" t="str">
            <v>REP</v>
          </cell>
          <cell r="E89" t="str">
            <v>HK MAID</v>
          </cell>
          <cell r="F89" t="str">
            <v>A</v>
          </cell>
          <cell r="G89" t="str">
            <v>A</v>
          </cell>
          <cell r="H89" t="str">
            <v>A</v>
          </cell>
          <cell r="I89" t="str">
            <v>A</v>
          </cell>
          <cell r="J89" t="str">
            <v>A</v>
          </cell>
          <cell r="K89" t="str">
            <v>A</v>
          </cell>
          <cell r="L89" t="str">
            <v>A</v>
          </cell>
          <cell r="M89" t="str">
            <v>A</v>
          </cell>
          <cell r="N89" t="str">
            <v>A</v>
          </cell>
          <cell r="O89" t="str">
            <v>A</v>
          </cell>
          <cell r="P89" t="str">
            <v>A</v>
          </cell>
          <cell r="Q89" t="str">
            <v>A</v>
          </cell>
          <cell r="R89" t="str">
            <v>A</v>
          </cell>
          <cell r="S89" t="str">
            <v>A</v>
          </cell>
          <cell r="T89" t="str">
            <v>A</v>
          </cell>
          <cell r="U89" t="str">
            <v>A</v>
          </cell>
          <cell r="V89" t="str">
            <v>A</v>
          </cell>
          <cell r="W89" t="str">
            <v>A</v>
          </cell>
          <cell r="X89" t="str">
            <v>A</v>
          </cell>
          <cell r="Y89" t="str">
            <v>P</v>
          </cell>
          <cell r="Z89" t="str">
            <v>P</v>
          </cell>
          <cell r="AA89" t="str">
            <v>P</v>
          </cell>
          <cell r="AB89" t="str">
            <v>P</v>
          </cell>
          <cell r="AC89" t="str">
            <v>A</v>
          </cell>
          <cell r="AD89" t="str">
            <v>A</v>
          </cell>
          <cell r="AE89" t="str">
            <v>A</v>
          </cell>
          <cell r="AF89" t="str">
            <v>A</v>
          </cell>
          <cell r="AG89" t="str">
            <v>A</v>
          </cell>
          <cell r="AH89" t="str">
            <v>A</v>
          </cell>
          <cell r="AI89" t="str">
            <v>A</v>
          </cell>
          <cell r="AJ89">
            <v>30</v>
          </cell>
          <cell r="AK89">
            <v>4</v>
          </cell>
          <cell r="AL89">
            <v>0</v>
          </cell>
          <cell r="AM89">
            <v>0</v>
          </cell>
          <cell r="AN89">
            <v>26</v>
          </cell>
          <cell r="AO89">
            <v>0</v>
          </cell>
          <cell r="AP89">
            <v>0</v>
          </cell>
          <cell r="AQ89">
            <v>4</v>
          </cell>
        </row>
        <row r="91">
          <cell r="B91" t="str">
            <v>REP</v>
          </cell>
          <cell r="C91" t="str">
            <v>SAROJINIBHAI</v>
          </cell>
          <cell r="D91" t="str">
            <v>REP</v>
          </cell>
          <cell r="E91" t="str">
            <v>HK MAID</v>
          </cell>
          <cell r="F91" t="str">
            <v>A</v>
          </cell>
          <cell r="G91" t="str">
            <v>A</v>
          </cell>
          <cell r="H91" t="str">
            <v>A</v>
          </cell>
          <cell r="I91" t="str">
            <v>A</v>
          </cell>
          <cell r="J91" t="str">
            <v>A</v>
          </cell>
          <cell r="K91" t="str">
            <v>A</v>
          </cell>
          <cell r="L91" t="str">
            <v>A</v>
          </cell>
          <cell r="M91" t="str">
            <v>A</v>
          </cell>
          <cell r="N91" t="str">
            <v>A</v>
          </cell>
          <cell r="O91" t="str">
            <v>A</v>
          </cell>
          <cell r="P91" t="str">
            <v>A</v>
          </cell>
          <cell r="Q91" t="str">
            <v>A</v>
          </cell>
          <cell r="R91" t="str">
            <v>A</v>
          </cell>
          <cell r="S91" t="str">
            <v>A</v>
          </cell>
          <cell r="T91" t="str">
            <v>A</v>
          </cell>
          <cell r="U91" t="str">
            <v>A</v>
          </cell>
          <cell r="V91" t="str">
            <v>A</v>
          </cell>
          <cell r="W91" t="str">
            <v>A</v>
          </cell>
          <cell r="X91" t="str">
            <v>A</v>
          </cell>
          <cell r="Y91" t="str">
            <v>P</v>
          </cell>
          <cell r="Z91" t="str">
            <v>P</v>
          </cell>
          <cell r="AA91" t="str">
            <v>P</v>
          </cell>
          <cell r="AB91" t="str">
            <v>P</v>
          </cell>
          <cell r="AC91" t="str">
            <v>A</v>
          </cell>
          <cell r="AD91" t="str">
            <v>A</v>
          </cell>
          <cell r="AE91" t="str">
            <v>A</v>
          </cell>
          <cell r="AF91" t="str">
            <v>A</v>
          </cell>
          <cell r="AG91" t="str">
            <v>A</v>
          </cell>
          <cell r="AH91" t="str">
            <v>A</v>
          </cell>
          <cell r="AI91" t="str">
            <v>A</v>
          </cell>
          <cell r="AJ91">
            <v>30</v>
          </cell>
          <cell r="AK91">
            <v>4</v>
          </cell>
          <cell r="AL91">
            <v>0</v>
          </cell>
          <cell r="AM91">
            <v>0</v>
          </cell>
          <cell r="AN91">
            <v>26</v>
          </cell>
          <cell r="AO91">
            <v>0</v>
          </cell>
          <cell r="AP91">
            <v>0</v>
          </cell>
          <cell r="AQ91">
            <v>4</v>
          </cell>
        </row>
        <row r="93">
          <cell r="B93" t="str">
            <v>REP</v>
          </cell>
          <cell r="C93" t="str">
            <v>LALITHABHAI</v>
          </cell>
          <cell r="D93" t="str">
            <v>REP</v>
          </cell>
          <cell r="E93" t="str">
            <v>HK MAID</v>
          </cell>
          <cell r="F93" t="str">
            <v>A</v>
          </cell>
          <cell r="G93" t="str">
            <v>A</v>
          </cell>
          <cell r="H93" t="str">
            <v>A</v>
          </cell>
          <cell r="I93" t="str">
            <v>A</v>
          </cell>
          <cell r="J93" t="str">
            <v>A</v>
          </cell>
          <cell r="K93" t="str">
            <v>A</v>
          </cell>
          <cell r="L93" t="str">
            <v>A</v>
          </cell>
          <cell r="M93" t="str">
            <v>A</v>
          </cell>
          <cell r="N93" t="str">
            <v>A</v>
          </cell>
          <cell r="O93" t="str">
            <v>A</v>
          </cell>
          <cell r="P93" t="str">
            <v>A</v>
          </cell>
          <cell r="Q93" t="str">
            <v>A</v>
          </cell>
          <cell r="R93" t="str">
            <v>A</v>
          </cell>
          <cell r="S93" t="str">
            <v>A</v>
          </cell>
          <cell r="T93" t="str">
            <v>A</v>
          </cell>
          <cell r="U93" t="str">
            <v>A</v>
          </cell>
          <cell r="V93" t="str">
            <v>A</v>
          </cell>
          <cell r="W93" t="str">
            <v>A</v>
          </cell>
          <cell r="X93" t="str">
            <v>A</v>
          </cell>
          <cell r="Y93" t="str">
            <v>P</v>
          </cell>
          <cell r="Z93" t="str">
            <v>P</v>
          </cell>
          <cell r="AA93" t="str">
            <v>P</v>
          </cell>
          <cell r="AB93" t="str">
            <v>P</v>
          </cell>
          <cell r="AC93" t="str">
            <v>A</v>
          </cell>
          <cell r="AD93" t="str">
            <v>A</v>
          </cell>
          <cell r="AE93" t="str">
            <v>A</v>
          </cell>
          <cell r="AF93" t="str">
            <v>A</v>
          </cell>
          <cell r="AG93" t="str">
            <v>A</v>
          </cell>
          <cell r="AH93" t="str">
            <v>A</v>
          </cell>
          <cell r="AI93" t="str">
            <v>A</v>
          </cell>
          <cell r="AJ93">
            <v>30</v>
          </cell>
          <cell r="AK93">
            <v>4</v>
          </cell>
          <cell r="AL93">
            <v>0</v>
          </cell>
          <cell r="AM93">
            <v>0</v>
          </cell>
          <cell r="AN93">
            <v>26</v>
          </cell>
          <cell r="AO93">
            <v>0</v>
          </cell>
          <cell r="AP93">
            <v>0</v>
          </cell>
          <cell r="AQ93">
            <v>4</v>
          </cell>
        </row>
        <row r="95">
          <cell r="B95">
            <v>11766</v>
          </cell>
          <cell r="C95" t="str">
            <v>FARAHANABEGUM</v>
          </cell>
          <cell r="D95" t="str">
            <v>FARAHANABEGUM</v>
          </cell>
          <cell r="E95" t="str">
            <v>HK MAID</v>
          </cell>
          <cell r="F95" t="str">
            <v>A</v>
          </cell>
          <cell r="G95" t="str">
            <v>A</v>
          </cell>
          <cell r="H95" t="str">
            <v>A</v>
          </cell>
          <cell r="I95" t="str">
            <v>A</v>
          </cell>
          <cell r="J95" t="str">
            <v>A</v>
          </cell>
          <cell r="K95" t="str">
            <v>A</v>
          </cell>
          <cell r="L95" t="str">
            <v>A</v>
          </cell>
          <cell r="M95" t="str">
            <v>A</v>
          </cell>
          <cell r="N95" t="str">
            <v>A</v>
          </cell>
          <cell r="O95" t="str">
            <v>A</v>
          </cell>
          <cell r="P95" t="str">
            <v>A</v>
          </cell>
          <cell r="Q95" t="str">
            <v>A</v>
          </cell>
          <cell r="R95" t="str">
            <v>A</v>
          </cell>
          <cell r="S95" t="str">
            <v>A</v>
          </cell>
          <cell r="T95" t="str">
            <v>A</v>
          </cell>
          <cell r="U95" t="str">
            <v>A</v>
          </cell>
          <cell r="V95" t="str">
            <v>A</v>
          </cell>
          <cell r="W95" t="str">
            <v>A</v>
          </cell>
          <cell r="X95" t="str">
            <v>A</v>
          </cell>
          <cell r="Y95" t="str">
            <v>A</v>
          </cell>
          <cell r="Z95" t="str">
            <v>A</v>
          </cell>
          <cell r="AA95" t="str">
            <v>A</v>
          </cell>
          <cell r="AB95" t="str">
            <v>A</v>
          </cell>
          <cell r="AC95" t="str">
            <v>P</v>
          </cell>
          <cell r="AD95" t="str">
            <v>P</v>
          </cell>
          <cell r="AE95" t="str">
            <v>P</v>
          </cell>
          <cell r="AF95" t="str">
            <v>A</v>
          </cell>
          <cell r="AG95" t="str">
            <v>P</v>
          </cell>
          <cell r="AH95" t="str">
            <v>P</v>
          </cell>
          <cell r="AI95" t="str">
            <v>P</v>
          </cell>
          <cell r="AJ95">
            <v>30</v>
          </cell>
          <cell r="AK95">
            <v>6</v>
          </cell>
          <cell r="AL95">
            <v>0</v>
          </cell>
          <cell r="AM95">
            <v>0</v>
          </cell>
          <cell r="AN95">
            <v>24</v>
          </cell>
          <cell r="AO95">
            <v>0</v>
          </cell>
          <cell r="AP95">
            <v>0</v>
          </cell>
          <cell r="AQ95">
            <v>6</v>
          </cell>
        </row>
        <row r="97">
          <cell r="B97">
            <v>12139</v>
          </cell>
          <cell r="C97" t="str">
            <v>RAJITHA</v>
          </cell>
          <cell r="D97" t="str">
            <v>RAJITHA</v>
          </cell>
          <cell r="E97" t="str">
            <v>HK MAID</v>
          </cell>
          <cell r="F97" t="str">
            <v>A</v>
          </cell>
          <cell r="G97" t="str">
            <v>A</v>
          </cell>
          <cell r="H97" t="str">
            <v>A</v>
          </cell>
          <cell r="I97" t="str">
            <v>A</v>
          </cell>
          <cell r="J97" t="str">
            <v>A</v>
          </cell>
          <cell r="L97" t="str">
            <v>A</v>
          </cell>
          <cell r="M97" t="str">
            <v>A</v>
          </cell>
          <cell r="N97" t="str">
            <v>A</v>
          </cell>
          <cell r="O97" t="str">
            <v>A</v>
          </cell>
          <cell r="P97" t="str">
            <v>A</v>
          </cell>
          <cell r="Q97" t="str">
            <v>A</v>
          </cell>
          <cell r="R97" t="str">
            <v>A</v>
          </cell>
          <cell r="S97" t="str">
            <v>A</v>
          </cell>
          <cell r="T97" t="str">
            <v>A</v>
          </cell>
          <cell r="U97" t="str">
            <v>A</v>
          </cell>
          <cell r="V97" t="str">
            <v>A</v>
          </cell>
          <cell r="W97" t="str">
            <v>A</v>
          </cell>
          <cell r="X97" t="str">
            <v>A</v>
          </cell>
          <cell r="Y97" t="str">
            <v>A</v>
          </cell>
          <cell r="Z97" t="str">
            <v>A</v>
          </cell>
          <cell r="AA97" t="str">
            <v>A</v>
          </cell>
          <cell r="AB97" t="str">
            <v>A</v>
          </cell>
          <cell r="AC97" t="str">
            <v>P</v>
          </cell>
          <cell r="AD97" t="str">
            <v>P</v>
          </cell>
          <cell r="AE97" t="str">
            <v>P</v>
          </cell>
          <cell r="AF97" t="str">
            <v>P</v>
          </cell>
          <cell r="AG97" t="str">
            <v>P</v>
          </cell>
          <cell r="AH97" t="str">
            <v>P</v>
          </cell>
          <cell r="AI97" t="str">
            <v>P</v>
          </cell>
          <cell r="AJ97">
            <v>30</v>
          </cell>
          <cell r="AK97">
            <v>7</v>
          </cell>
          <cell r="AL97">
            <v>0</v>
          </cell>
          <cell r="AM97">
            <v>0</v>
          </cell>
          <cell r="AN97">
            <v>22</v>
          </cell>
          <cell r="AO97">
            <v>4</v>
          </cell>
          <cell r="AP97">
            <v>0.44444444444444442</v>
          </cell>
          <cell r="AQ97">
            <v>7.4444444444444446</v>
          </cell>
        </row>
        <row r="98">
          <cell r="K98" t="str">
            <v>A</v>
          </cell>
          <cell r="AG98">
            <v>4</v>
          </cell>
        </row>
        <row r="99">
          <cell r="B99">
            <v>12047</v>
          </cell>
          <cell r="C99" t="str">
            <v>VASANTH</v>
          </cell>
          <cell r="D99" t="str">
            <v>VASANTH</v>
          </cell>
          <cell r="E99" t="str">
            <v>HK BOY</v>
          </cell>
          <cell r="F99" t="str">
            <v>P</v>
          </cell>
          <cell r="G99" t="str">
            <v>P</v>
          </cell>
          <cell r="H99" t="str">
            <v>P</v>
          </cell>
          <cell r="I99" t="str">
            <v>A</v>
          </cell>
          <cell r="J99" t="str">
            <v>A</v>
          </cell>
          <cell r="K99" t="str">
            <v>P</v>
          </cell>
          <cell r="L99" t="str">
            <v>A</v>
          </cell>
          <cell r="M99" t="str">
            <v>A</v>
          </cell>
          <cell r="N99" t="str">
            <v>P</v>
          </cell>
          <cell r="O99" t="str">
            <v>P</v>
          </cell>
          <cell r="P99" t="str">
            <v>P</v>
          </cell>
          <cell r="Q99" t="str">
            <v>P</v>
          </cell>
          <cell r="R99" t="str">
            <v>P</v>
          </cell>
          <cell r="S99" t="str">
            <v>A</v>
          </cell>
          <cell r="T99" t="str">
            <v>A</v>
          </cell>
          <cell r="U99" t="str">
            <v>A</v>
          </cell>
          <cell r="V99" t="str">
            <v>A</v>
          </cell>
          <cell r="W99" t="str">
            <v>A</v>
          </cell>
          <cell r="X99" t="str">
            <v>A</v>
          </cell>
          <cell r="Y99" t="str">
            <v>A</v>
          </cell>
          <cell r="Z99" t="str">
            <v>A</v>
          </cell>
          <cell r="AA99" t="str">
            <v>A</v>
          </cell>
          <cell r="AB99" t="str">
            <v>A</v>
          </cell>
          <cell r="AC99" t="str">
            <v>A</v>
          </cell>
          <cell r="AD99" t="str">
            <v>A</v>
          </cell>
          <cell r="AE99" t="str">
            <v>A</v>
          </cell>
          <cell r="AF99" t="str">
            <v>A</v>
          </cell>
          <cell r="AG99" t="str">
            <v>A</v>
          </cell>
          <cell r="AH99" t="str">
            <v>A</v>
          </cell>
          <cell r="AI99" t="str">
            <v>A</v>
          </cell>
          <cell r="AJ99">
            <v>30</v>
          </cell>
          <cell r="AK99">
            <v>9</v>
          </cell>
          <cell r="AL99">
            <v>0</v>
          </cell>
          <cell r="AM99">
            <v>0</v>
          </cell>
          <cell r="AN99">
            <v>21</v>
          </cell>
          <cell r="AO99">
            <v>0</v>
          </cell>
          <cell r="AP99">
            <v>0</v>
          </cell>
          <cell r="AQ99">
            <v>9</v>
          </cell>
        </row>
        <row r="101">
          <cell r="B101">
            <v>11936</v>
          </cell>
          <cell r="C101" t="str">
            <v xml:space="preserve">NAGARAJU </v>
          </cell>
          <cell r="D101" t="str">
            <v>NAGARJU</v>
          </cell>
          <cell r="E101" t="str">
            <v>HK SUPERVISOR</v>
          </cell>
          <cell r="F101" t="str">
            <v>P</v>
          </cell>
          <cell r="G101" t="str">
            <v>A</v>
          </cell>
          <cell r="H101" t="str">
            <v>P</v>
          </cell>
          <cell r="I101" t="str">
            <v>P</v>
          </cell>
          <cell r="J101" t="str">
            <v>P</v>
          </cell>
          <cell r="K101" t="str">
            <v>P</v>
          </cell>
          <cell r="L101" t="str">
            <v>A</v>
          </cell>
          <cell r="M101" t="str">
            <v>P</v>
          </cell>
          <cell r="N101" t="str">
            <v>P</v>
          </cell>
          <cell r="O101" t="str">
            <v>P</v>
          </cell>
          <cell r="P101" t="str">
            <v>A</v>
          </cell>
          <cell r="Q101" t="str">
            <v>A</v>
          </cell>
          <cell r="R101" t="str">
            <v>A</v>
          </cell>
          <cell r="S101" t="str">
            <v>A</v>
          </cell>
          <cell r="T101" t="str">
            <v>A</v>
          </cell>
          <cell r="U101" t="str">
            <v>A</v>
          </cell>
          <cell r="V101" t="str">
            <v>A</v>
          </cell>
          <cell r="W101" t="str">
            <v>A</v>
          </cell>
          <cell r="X101" t="str">
            <v>A</v>
          </cell>
          <cell r="Y101" t="str">
            <v>A</v>
          </cell>
          <cell r="Z101" t="str">
            <v>A</v>
          </cell>
          <cell r="AA101" t="str">
            <v>A</v>
          </cell>
          <cell r="AB101" t="str">
            <v>A</v>
          </cell>
          <cell r="AC101" t="str">
            <v>A</v>
          </cell>
          <cell r="AD101" t="str">
            <v>A</v>
          </cell>
          <cell r="AE101" t="str">
            <v>A</v>
          </cell>
          <cell r="AF101" t="str">
            <v>A</v>
          </cell>
          <cell r="AG101" t="str">
            <v>A</v>
          </cell>
          <cell r="AH101" t="str">
            <v>A</v>
          </cell>
          <cell r="AI101" t="str">
            <v>A</v>
          </cell>
          <cell r="AJ101">
            <v>30</v>
          </cell>
          <cell r="AK101">
            <v>8</v>
          </cell>
          <cell r="AL101">
            <v>0</v>
          </cell>
          <cell r="AM101">
            <v>0</v>
          </cell>
          <cell r="AN101">
            <v>22</v>
          </cell>
          <cell r="AO101">
            <v>0</v>
          </cell>
          <cell r="AP101">
            <v>0</v>
          </cell>
          <cell r="AQ101">
            <v>8</v>
          </cell>
        </row>
        <row r="103">
          <cell r="B103">
            <v>11667</v>
          </cell>
          <cell r="C103" t="str">
            <v>SEETHANCHU</v>
          </cell>
          <cell r="D103" t="str">
            <v>SITANSU SAHOO</v>
          </cell>
          <cell r="E103" t="str">
            <v>MST</v>
          </cell>
          <cell r="F103" t="str">
            <v>w/o</v>
          </cell>
          <cell r="G103" t="str">
            <v>P</v>
          </cell>
          <cell r="H103" t="str">
            <v>P</v>
          </cell>
          <cell r="I103" t="str">
            <v>P</v>
          </cell>
          <cell r="J103" t="str">
            <v>P</v>
          </cell>
          <cell r="K103" t="str">
            <v>P</v>
          </cell>
          <cell r="L103" t="str">
            <v>P</v>
          </cell>
          <cell r="M103" t="str">
            <v>w/o</v>
          </cell>
          <cell r="N103" t="str">
            <v>P</v>
          </cell>
          <cell r="O103" t="str">
            <v>P</v>
          </cell>
          <cell r="P103" t="str">
            <v>P</v>
          </cell>
          <cell r="Q103" t="str">
            <v>P</v>
          </cell>
          <cell r="R103" t="str">
            <v>P</v>
          </cell>
          <cell r="S103" t="str">
            <v>P</v>
          </cell>
          <cell r="T103" t="str">
            <v>w/o</v>
          </cell>
          <cell r="U103" t="str">
            <v>P</v>
          </cell>
          <cell r="V103" t="str">
            <v>P</v>
          </cell>
          <cell r="W103" t="str">
            <v>P</v>
          </cell>
          <cell r="X103" t="str">
            <v>P</v>
          </cell>
          <cell r="Y103" t="str">
            <v>P</v>
          </cell>
          <cell r="Z103" t="str">
            <v>P</v>
          </cell>
          <cell r="AA103" t="str">
            <v>w/o</v>
          </cell>
          <cell r="AB103" t="str">
            <v>P</v>
          </cell>
          <cell r="AC103" t="str">
            <v>P</v>
          </cell>
          <cell r="AD103" t="str">
            <v>P</v>
          </cell>
          <cell r="AE103" t="str">
            <v>P</v>
          </cell>
          <cell r="AF103" t="str">
            <v>P</v>
          </cell>
          <cell r="AG103" t="str">
            <v>P</v>
          </cell>
          <cell r="AH103" t="str">
            <v>w/o</v>
          </cell>
          <cell r="AI103" t="str">
            <v>P</v>
          </cell>
          <cell r="AJ103">
            <v>30</v>
          </cell>
          <cell r="AK103">
            <v>25</v>
          </cell>
          <cell r="AL103">
            <v>0</v>
          </cell>
          <cell r="AM103">
            <v>5</v>
          </cell>
          <cell r="AN103">
            <v>0</v>
          </cell>
          <cell r="AO103">
            <v>0</v>
          </cell>
          <cell r="AP103">
            <v>0</v>
          </cell>
          <cell r="AQ103">
            <v>30</v>
          </cell>
        </row>
        <row r="105">
          <cell r="B105">
            <v>11707</v>
          </cell>
          <cell r="C105" t="str">
            <v>D. AJAY</v>
          </cell>
          <cell r="D105" t="str">
            <v>D.AJAY</v>
          </cell>
          <cell r="E105" t="str">
            <v>MST</v>
          </cell>
          <cell r="F105" t="str">
            <v>P</v>
          </cell>
          <cell r="G105" t="str">
            <v>P</v>
          </cell>
          <cell r="H105" t="str">
            <v>P</v>
          </cell>
          <cell r="I105" t="str">
            <v>P</v>
          </cell>
          <cell r="J105" t="str">
            <v>P</v>
          </cell>
          <cell r="K105" t="str">
            <v>A</v>
          </cell>
          <cell r="L105" t="str">
            <v>w/o</v>
          </cell>
          <cell r="M105" t="str">
            <v>P</v>
          </cell>
          <cell r="N105" t="str">
            <v>P</v>
          </cell>
          <cell r="O105" t="str">
            <v>P</v>
          </cell>
          <cell r="P105" t="str">
            <v>P</v>
          </cell>
          <cell r="Q105" t="str">
            <v>P</v>
          </cell>
          <cell r="R105" t="str">
            <v>P</v>
          </cell>
          <cell r="S105" t="str">
            <v>w/o</v>
          </cell>
          <cell r="T105" t="str">
            <v>P</v>
          </cell>
          <cell r="U105" t="str">
            <v>P</v>
          </cell>
          <cell r="V105" t="str">
            <v>P</v>
          </cell>
          <cell r="W105" t="str">
            <v>P</v>
          </cell>
          <cell r="X105" t="str">
            <v>P</v>
          </cell>
          <cell r="Y105" t="str">
            <v>P</v>
          </cell>
          <cell r="Z105" t="str">
            <v>w/o</v>
          </cell>
          <cell r="AA105" t="str">
            <v>P</v>
          </cell>
          <cell r="AB105" t="str">
            <v>P</v>
          </cell>
          <cell r="AC105" t="str">
            <v>P</v>
          </cell>
          <cell r="AD105" t="str">
            <v>P</v>
          </cell>
          <cell r="AE105" t="str">
            <v>P</v>
          </cell>
          <cell r="AF105" t="str">
            <v>P</v>
          </cell>
          <cell r="AG105" t="str">
            <v>w/o</v>
          </cell>
          <cell r="AH105" t="str">
            <v>P</v>
          </cell>
          <cell r="AI105" t="str">
            <v>P</v>
          </cell>
          <cell r="AJ105">
            <v>30</v>
          </cell>
          <cell r="AK105">
            <v>25</v>
          </cell>
          <cell r="AL105">
            <v>0</v>
          </cell>
          <cell r="AM105">
            <v>4</v>
          </cell>
          <cell r="AN105">
            <v>1</v>
          </cell>
          <cell r="AO105">
            <v>18</v>
          </cell>
          <cell r="AP105">
            <v>2</v>
          </cell>
          <cell r="AQ105">
            <v>31</v>
          </cell>
        </row>
        <row r="106">
          <cell r="L106">
            <v>9</v>
          </cell>
          <cell r="M106">
            <v>9</v>
          </cell>
        </row>
        <row r="107">
          <cell r="B107">
            <v>10845</v>
          </cell>
          <cell r="C107" t="str">
            <v>ROHITH</v>
          </cell>
          <cell r="D107" t="str">
            <v>ROHITH MALIK</v>
          </cell>
          <cell r="E107" t="str">
            <v>PLUMBER</v>
          </cell>
          <cell r="F107" t="str">
            <v>A</v>
          </cell>
          <cell r="G107" t="str">
            <v>A</v>
          </cell>
          <cell r="H107" t="str">
            <v>A</v>
          </cell>
          <cell r="I107" t="str">
            <v>A</v>
          </cell>
          <cell r="J107" t="str">
            <v>A</v>
          </cell>
          <cell r="K107" t="str">
            <v>A</v>
          </cell>
          <cell r="L107" t="str">
            <v>A</v>
          </cell>
          <cell r="M107" t="str">
            <v>A</v>
          </cell>
          <cell r="N107" t="str">
            <v>A</v>
          </cell>
          <cell r="O107" t="str">
            <v>P</v>
          </cell>
          <cell r="P107" t="str">
            <v>P</v>
          </cell>
          <cell r="Q107" t="str">
            <v>P</v>
          </cell>
          <cell r="R107" t="str">
            <v>P</v>
          </cell>
          <cell r="S107" t="str">
            <v>P</v>
          </cell>
          <cell r="T107" t="str">
            <v>P</v>
          </cell>
          <cell r="U107" t="str">
            <v>w/o</v>
          </cell>
          <cell r="V107" t="str">
            <v>P</v>
          </cell>
          <cell r="W107" t="str">
            <v>P</v>
          </cell>
          <cell r="X107" t="str">
            <v>A</v>
          </cell>
          <cell r="Y107" t="str">
            <v>A</v>
          </cell>
          <cell r="Z107" t="str">
            <v>A</v>
          </cell>
          <cell r="AA107" t="str">
            <v>A</v>
          </cell>
          <cell r="AB107" t="str">
            <v>A</v>
          </cell>
          <cell r="AC107" t="str">
            <v>P</v>
          </cell>
          <cell r="AD107" t="str">
            <v>P</v>
          </cell>
          <cell r="AE107" t="str">
            <v>P</v>
          </cell>
          <cell r="AF107" t="str">
            <v>P</v>
          </cell>
          <cell r="AG107" t="str">
            <v>P</v>
          </cell>
          <cell r="AH107" t="str">
            <v>P</v>
          </cell>
          <cell r="AI107" t="str">
            <v>P</v>
          </cell>
          <cell r="AJ107">
            <v>30</v>
          </cell>
          <cell r="AK107">
            <v>15</v>
          </cell>
          <cell r="AL107">
            <v>0</v>
          </cell>
          <cell r="AM107">
            <v>1</v>
          </cell>
          <cell r="AN107">
            <v>14</v>
          </cell>
          <cell r="AO107">
            <v>0</v>
          </cell>
          <cell r="AP107">
            <v>0</v>
          </cell>
          <cell r="AQ107">
            <v>16</v>
          </cell>
        </row>
        <row r="109">
          <cell r="B109">
            <v>11992</v>
          </cell>
          <cell r="C109" t="str">
            <v>PRADEEP</v>
          </cell>
          <cell r="D109" t="str">
            <v>PRADEEP</v>
          </cell>
          <cell r="E109" t="str">
            <v>MST</v>
          </cell>
          <cell r="F109" t="str">
            <v>P</v>
          </cell>
          <cell r="G109" t="str">
            <v>P</v>
          </cell>
          <cell r="H109" t="str">
            <v>P</v>
          </cell>
          <cell r="I109" t="str">
            <v>P</v>
          </cell>
          <cell r="J109" t="str">
            <v>P</v>
          </cell>
          <cell r="K109" t="str">
            <v>w/o</v>
          </cell>
          <cell r="L109" t="str">
            <v>P</v>
          </cell>
          <cell r="M109" t="str">
            <v>P</v>
          </cell>
          <cell r="N109" t="str">
            <v>P</v>
          </cell>
          <cell r="O109" t="str">
            <v>P</v>
          </cell>
          <cell r="P109" t="str">
            <v>P</v>
          </cell>
          <cell r="Q109" t="str">
            <v>P</v>
          </cell>
          <cell r="R109" t="str">
            <v>w/o</v>
          </cell>
          <cell r="S109" t="str">
            <v>P</v>
          </cell>
          <cell r="T109" t="str">
            <v>P</v>
          </cell>
          <cell r="U109" t="str">
            <v>P</v>
          </cell>
          <cell r="V109" t="str">
            <v>P</v>
          </cell>
          <cell r="W109" t="str">
            <v>P</v>
          </cell>
          <cell r="X109" t="str">
            <v>P</v>
          </cell>
          <cell r="Y109" t="str">
            <v>w/o</v>
          </cell>
          <cell r="Z109" t="str">
            <v>P</v>
          </cell>
          <cell r="AA109" t="str">
            <v>P</v>
          </cell>
          <cell r="AB109" t="str">
            <v>P</v>
          </cell>
          <cell r="AC109" t="str">
            <v>P</v>
          </cell>
          <cell r="AD109" t="str">
            <v>P</v>
          </cell>
          <cell r="AE109" t="str">
            <v>P</v>
          </cell>
          <cell r="AF109" t="str">
            <v>w/o</v>
          </cell>
          <cell r="AG109" t="str">
            <v>P</v>
          </cell>
          <cell r="AH109" t="str">
            <v>P</v>
          </cell>
          <cell r="AI109" t="str">
            <v>P</v>
          </cell>
          <cell r="AJ109">
            <v>30</v>
          </cell>
          <cell r="AK109">
            <v>26</v>
          </cell>
          <cell r="AL109">
            <v>0</v>
          </cell>
          <cell r="AM109">
            <v>4</v>
          </cell>
          <cell r="AN109">
            <v>0</v>
          </cell>
          <cell r="AO109">
            <v>0</v>
          </cell>
          <cell r="AP109">
            <v>0</v>
          </cell>
          <cell r="AQ109">
            <v>30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"/>
      <sheetName val="BANK STMT"/>
    </sheetNames>
    <sheetDataSet>
      <sheetData sheetId="0" refreshError="1"/>
      <sheetData sheetId="1">
        <row r="7">
          <cell r="B7">
            <v>10613</v>
          </cell>
          <cell r="C7" t="str">
            <v>Monjurul Hoque Laskar</v>
          </cell>
          <cell r="D7" t="str">
            <v>Parking Supervisor</v>
          </cell>
          <cell r="E7" t="str">
            <v>P</v>
          </cell>
          <cell r="F7" t="str">
            <v>P</v>
          </cell>
          <cell r="G7" t="str">
            <v>P</v>
          </cell>
          <cell r="H7" t="str">
            <v>P</v>
          </cell>
          <cell r="I7" t="str">
            <v>W/O</v>
          </cell>
          <cell r="J7" t="str">
            <v>P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P</v>
          </cell>
          <cell r="P7" t="str">
            <v>W/O</v>
          </cell>
          <cell r="Q7" t="str">
            <v>P</v>
          </cell>
          <cell r="R7" t="str">
            <v>P</v>
          </cell>
          <cell r="S7" t="str">
            <v>P</v>
          </cell>
          <cell r="T7" t="str">
            <v>P</v>
          </cell>
          <cell r="U7" t="str">
            <v>P</v>
          </cell>
          <cell r="V7" t="str">
            <v>P</v>
          </cell>
          <cell r="W7" t="str">
            <v>W/O</v>
          </cell>
          <cell r="X7" t="str">
            <v>P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P</v>
          </cell>
          <cell r="AC7" t="str">
            <v>P</v>
          </cell>
          <cell r="AD7" t="str">
            <v>W/O</v>
          </cell>
          <cell r="AE7" t="str">
            <v>P</v>
          </cell>
          <cell r="AF7" t="str">
            <v>P</v>
          </cell>
          <cell r="AG7" t="str">
            <v>P</v>
          </cell>
          <cell r="AH7" t="str">
            <v>P</v>
          </cell>
          <cell r="AI7" t="str">
            <v>P</v>
          </cell>
          <cell r="AJ7">
            <v>31</v>
          </cell>
          <cell r="AK7">
            <v>27</v>
          </cell>
          <cell r="AL7">
            <v>4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31</v>
          </cell>
        </row>
        <row r="9">
          <cell r="B9">
            <v>10619</v>
          </cell>
          <cell r="C9" t="str">
            <v>Chandar Sekhar Pradhan</v>
          </cell>
          <cell r="D9" t="str">
            <v>Parking Assistant</v>
          </cell>
          <cell r="E9" t="str">
            <v>P</v>
          </cell>
          <cell r="F9" t="str">
            <v>P</v>
          </cell>
          <cell r="G9" t="str">
            <v>P</v>
          </cell>
          <cell r="H9" t="str">
            <v>P</v>
          </cell>
          <cell r="I9" t="str">
            <v>W/O</v>
          </cell>
          <cell r="J9" t="str">
            <v>P</v>
          </cell>
          <cell r="K9" t="str">
            <v>P</v>
          </cell>
          <cell r="L9" t="str">
            <v>P</v>
          </cell>
          <cell r="M9" t="str">
            <v>P</v>
          </cell>
          <cell r="N9" t="str">
            <v>P</v>
          </cell>
          <cell r="O9" t="str">
            <v>P</v>
          </cell>
          <cell r="P9" t="str">
            <v>W/O</v>
          </cell>
          <cell r="Q9" t="str">
            <v>P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P</v>
          </cell>
          <cell r="V9" t="str">
            <v>W/O</v>
          </cell>
          <cell r="W9" t="str">
            <v>P</v>
          </cell>
          <cell r="X9" t="str">
            <v>P</v>
          </cell>
          <cell r="Y9" t="str">
            <v>P</v>
          </cell>
          <cell r="Z9" t="str">
            <v>P</v>
          </cell>
          <cell r="AA9" t="str">
            <v>P</v>
          </cell>
          <cell r="AB9" t="str">
            <v>P</v>
          </cell>
          <cell r="AC9" t="str">
            <v>P</v>
          </cell>
          <cell r="AD9" t="str">
            <v>W/O</v>
          </cell>
          <cell r="AE9" t="str">
            <v>P</v>
          </cell>
          <cell r="AF9" t="str">
            <v>P</v>
          </cell>
          <cell r="AG9" t="str">
            <v>P</v>
          </cell>
          <cell r="AH9" t="str">
            <v>P</v>
          </cell>
          <cell r="AI9" t="str">
            <v>P</v>
          </cell>
          <cell r="AJ9">
            <v>31</v>
          </cell>
          <cell r="AK9">
            <v>27</v>
          </cell>
          <cell r="AL9">
            <v>4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31</v>
          </cell>
        </row>
        <row r="11">
          <cell r="B11">
            <v>10617</v>
          </cell>
          <cell r="C11" t="str">
            <v>Subrat Kumar Das</v>
          </cell>
          <cell r="D11" t="str">
            <v>Parking Assistant</v>
          </cell>
          <cell r="E11" t="str">
            <v>P</v>
          </cell>
          <cell r="F11" t="str">
            <v>P</v>
          </cell>
          <cell r="G11" t="str">
            <v>P</v>
          </cell>
          <cell r="H11" t="str">
            <v>P</v>
          </cell>
          <cell r="I11" t="str">
            <v>W/O</v>
          </cell>
          <cell r="J11" t="str">
            <v>P</v>
          </cell>
          <cell r="K11" t="str">
            <v>P</v>
          </cell>
          <cell r="L11" t="str">
            <v>P</v>
          </cell>
          <cell r="M11" t="str">
            <v>P</v>
          </cell>
          <cell r="N11" t="str">
            <v>P</v>
          </cell>
          <cell r="O11" t="str">
            <v>W/O</v>
          </cell>
          <cell r="P11" t="str">
            <v>P</v>
          </cell>
          <cell r="Q11" t="str">
            <v>P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P</v>
          </cell>
          <cell r="V11" t="str">
            <v>W/O</v>
          </cell>
          <cell r="W11" t="str">
            <v>P</v>
          </cell>
          <cell r="X11" t="str">
            <v>P</v>
          </cell>
          <cell r="Y11" t="str">
            <v>P</v>
          </cell>
          <cell r="Z11" t="str">
            <v>P</v>
          </cell>
          <cell r="AA11" t="str">
            <v>P</v>
          </cell>
          <cell r="AB11" t="str">
            <v>P</v>
          </cell>
          <cell r="AC11" t="str">
            <v>P</v>
          </cell>
          <cell r="AD11" t="str">
            <v>W/O</v>
          </cell>
          <cell r="AE11" t="str">
            <v>P</v>
          </cell>
          <cell r="AF11" t="str">
            <v>P</v>
          </cell>
          <cell r="AG11" t="str">
            <v>P</v>
          </cell>
          <cell r="AH11" t="str">
            <v>P</v>
          </cell>
          <cell r="AI11" t="str">
            <v>P</v>
          </cell>
          <cell r="AJ11">
            <v>31</v>
          </cell>
          <cell r="AK11">
            <v>27</v>
          </cell>
          <cell r="AL11">
            <v>4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31</v>
          </cell>
        </row>
        <row r="13">
          <cell r="B13">
            <v>10616</v>
          </cell>
          <cell r="C13" t="str">
            <v>Pradip Roy</v>
          </cell>
          <cell r="D13" t="str">
            <v>Parking Assistant</v>
          </cell>
          <cell r="E13" t="str">
            <v>P</v>
          </cell>
          <cell r="F13" t="str">
            <v>P</v>
          </cell>
          <cell r="G13" t="str">
            <v>P</v>
          </cell>
          <cell r="H13" t="str">
            <v>P</v>
          </cell>
          <cell r="I13" t="str">
            <v>W/O</v>
          </cell>
          <cell r="J13" t="str">
            <v>P</v>
          </cell>
          <cell r="K13" t="str">
            <v>P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P</v>
          </cell>
          <cell r="P13" t="str">
            <v>W/O</v>
          </cell>
          <cell r="Q13" t="str">
            <v>P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P</v>
          </cell>
          <cell r="V13" t="str">
            <v>P</v>
          </cell>
          <cell r="W13" t="str">
            <v>W/O</v>
          </cell>
          <cell r="X13" t="str">
            <v>P</v>
          </cell>
          <cell r="Y13" t="str">
            <v>P</v>
          </cell>
          <cell r="Z13" t="str">
            <v>P</v>
          </cell>
          <cell r="AA13" t="str">
            <v>P</v>
          </cell>
          <cell r="AB13" t="str">
            <v>P</v>
          </cell>
          <cell r="AC13" t="str">
            <v>W/O</v>
          </cell>
          <cell r="AD13" t="str">
            <v>P</v>
          </cell>
          <cell r="AE13" t="str">
            <v>P</v>
          </cell>
          <cell r="AF13" t="str">
            <v>P</v>
          </cell>
          <cell r="AG13" t="str">
            <v>P</v>
          </cell>
          <cell r="AH13" t="str">
            <v>P</v>
          </cell>
          <cell r="AI13" t="str">
            <v>P</v>
          </cell>
          <cell r="AJ13">
            <v>31</v>
          </cell>
          <cell r="AK13">
            <v>27</v>
          </cell>
          <cell r="AL13">
            <v>4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31</v>
          </cell>
        </row>
        <row r="15">
          <cell r="B15">
            <v>10620</v>
          </cell>
          <cell r="C15" t="str">
            <v>Mangal Singha</v>
          </cell>
          <cell r="D15" t="str">
            <v>Parking Assistant</v>
          </cell>
          <cell r="E15" t="str">
            <v>P</v>
          </cell>
          <cell r="F15" t="str">
            <v>P</v>
          </cell>
          <cell r="G15" t="str">
            <v>P</v>
          </cell>
          <cell r="H15" t="str">
            <v>P</v>
          </cell>
          <cell r="I15" t="str">
            <v>W/O</v>
          </cell>
          <cell r="J15" t="str">
            <v>P</v>
          </cell>
          <cell r="K15" t="str">
            <v>P</v>
          </cell>
          <cell r="L15" t="str">
            <v>P</v>
          </cell>
          <cell r="M15" t="str">
            <v>P</v>
          </cell>
          <cell r="N15" t="str">
            <v>P</v>
          </cell>
          <cell r="O15" t="str">
            <v>P</v>
          </cell>
          <cell r="P15" t="str">
            <v>W/O</v>
          </cell>
          <cell r="Q15" t="str">
            <v>P</v>
          </cell>
          <cell r="R15" t="str">
            <v>P</v>
          </cell>
          <cell r="S15" t="str">
            <v>P</v>
          </cell>
          <cell r="T15" t="str">
            <v>P</v>
          </cell>
          <cell r="U15" t="str">
            <v>P</v>
          </cell>
          <cell r="V15" t="str">
            <v>P</v>
          </cell>
          <cell r="W15" t="str">
            <v>W/O</v>
          </cell>
          <cell r="X15" t="str">
            <v>P</v>
          </cell>
          <cell r="Y15" t="str">
            <v>P</v>
          </cell>
          <cell r="Z15" t="str">
            <v>P</v>
          </cell>
          <cell r="AA15" t="str">
            <v>P</v>
          </cell>
          <cell r="AB15" t="str">
            <v>P</v>
          </cell>
          <cell r="AC15" t="str">
            <v>P</v>
          </cell>
          <cell r="AD15" t="str">
            <v>W/O</v>
          </cell>
          <cell r="AE15" t="str">
            <v>P</v>
          </cell>
          <cell r="AF15" t="str">
            <v>P</v>
          </cell>
          <cell r="AG15" t="str">
            <v>P</v>
          </cell>
          <cell r="AH15" t="str">
            <v>CL</v>
          </cell>
          <cell r="AI15" t="str">
            <v>CL</v>
          </cell>
          <cell r="AJ15">
            <v>31</v>
          </cell>
          <cell r="AK15">
            <v>25</v>
          </cell>
          <cell r="AL15">
            <v>4</v>
          </cell>
          <cell r="AM15">
            <v>0</v>
          </cell>
          <cell r="AN15">
            <v>0</v>
          </cell>
          <cell r="AO15">
            <v>2</v>
          </cell>
          <cell r="AP15">
            <v>0</v>
          </cell>
          <cell r="AQ15">
            <v>31</v>
          </cell>
        </row>
        <row r="17">
          <cell r="B17">
            <v>10925</v>
          </cell>
          <cell r="C17" t="str">
            <v>Sumonta Thakur</v>
          </cell>
          <cell r="D17" t="str">
            <v>Parking Assistant</v>
          </cell>
          <cell r="E17" t="str">
            <v>P</v>
          </cell>
          <cell r="F17" t="str">
            <v>P</v>
          </cell>
          <cell r="G17" t="str">
            <v>P</v>
          </cell>
          <cell r="H17" t="str">
            <v>P</v>
          </cell>
          <cell r="I17" t="str">
            <v>W/O</v>
          </cell>
          <cell r="J17" t="str">
            <v>P</v>
          </cell>
          <cell r="K17" t="str">
            <v>P</v>
          </cell>
          <cell r="L17" t="str">
            <v>P</v>
          </cell>
          <cell r="M17" t="str">
            <v>P</v>
          </cell>
          <cell r="N17" t="str">
            <v>P</v>
          </cell>
          <cell r="O17" t="str">
            <v>P</v>
          </cell>
          <cell r="P17" t="str">
            <v>W/O</v>
          </cell>
          <cell r="Q17" t="str">
            <v>P</v>
          </cell>
          <cell r="R17" t="str">
            <v>P</v>
          </cell>
          <cell r="S17" t="str">
            <v>P</v>
          </cell>
          <cell r="T17" t="str">
            <v>P</v>
          </cell>
          <cell r="U17" t="str">
            <v>P</v>
          </cell>
          <cell r="V17" t="str">
            <v>P</v>
          </cell>
          <cell r="W17" t="str">
            <v>W/O</v>
          </cell>
          <cell r="X17" t="str">
            <v>P</v>
          </cell>
          <cell r="Y17" t="str">
            <v>P</v>
          </cell>
          <cell r="Z17" t="str">
            <v>P</v>
          </cell>
          <cell r="AA17" t="str">
            <v>P</v>
          </cell>
          <cell r="AB17" t="str">
            <v>P</v>
          </cell>
          <cell r="AC17" t="str">
            <v>W/O</v>
          </cell>
          <cell r="AD17" t="str">
            <v>P</v>
          </cell>
          <cell r="AE17" t="str">
            <v>P</v>
          </cell>
          <cell r="AF17" t="str">
            <v>P</v>
          </cell>
          <cell r="AG17" t="str">
            <v>P</v>
          </cell>
          <cell r="AH17" t="str">
            <v>P</v>
          </cell>
          <cell r="AI17" t="str">
            <v>P</v>
          </cell>
          <cell r="AJ17">
            <v>31</v>
          </cell>
          <cell r="AK17">
            <v>27</v>
          </cell>
          <cell r="AL17">
            <v>4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31</v>
          </cell>
        </row>
        <row r="19">
          <cell r="B19">
            <v>11669</v>
          </cell>
          <cell r="C19" t="str">
            <v>Chinmay Sahoo</v>
          </cell>
          <cell r="D19" t="str">
            <v>Parking Assistant</v>
          </cell>
          <cell r="E19" t="str">
            <v>P</v>
          </cell>
          <cell r="F19" t="str">
            <v>P</v>
          </cell>
          <cell r="G19" t="str">
            <v>P</v>
          </cell>
          <cell r="H19" t="str">
            <v>W/O</v>
          </cell>
          <cell r="I19" t="str">
            <v>P</v>
          </cell>
          <cell r="J19" t="str">
            <v>P</v>
          </cell>
          <cell r="K19" t="str">
            <v>P</v>
          </cell>
          <cell r="L19" t="str">
            <v>P</v>
          </cell>
          <cell r="M19" t="str">
            <v>P</v>
          </cell>
          <cell r="N19" t="str">
            <v>P</v>
          </cell>
          <cell r="O19" t="str">
            <v>W/O</v>
          </cell>
          <cell r="P19" t="str">
            <v>P</v>
          </cell>
          <cell r="Q19" t="str">
            <v>P</v>
          </cell>
          <cell r="R19" t="str">
            <v>P</v>
          </cell>
          <cell r="S19" t="str">
            <v>P</v>
          </cell>
          <cell r="T19" t="str">
            <v>P</v>
          </cell>
          <cell r="U19" t="str">
            <v>P</v>
          </cell>
          <cell r="V19" t="str">
            <v>P</v>
          </cell>
          <cell r="W19" t="str">
            <v>W/O</v>
          </cell>
          <cell r="X19" t="str">
            <v>P</v>
          </cell>
          <cell r="Y19" t="str">
            <v>P</v>
          </cell>
          <cell r="Z19" t="str">
            <v>P</v>
          </cell>
          <cell r="AA19" t="str">
            <v>P</v>
          </cell>
          <cell r="AB19" t="str">
            <v>P</v>
          </cell>
          <cell r="AC19" t="str">
            <v>P</v>
          </cell>
          <cell r="AD19" t="str">
            <v>W/O</v>
          </cell>
          <cell r="AE19" t="str">
            <v>P</v>
          </cell>
          <cell r="AF19" t="str">
            <v>P</v>
          </cell>
          <cell r="AG19" t="str">
            <v>P</v>
          </cell>
          <cell r="AH19" t="str">
            <v>P</v>
          </cell>
          <cell r="AI19" t="str">
            <v>P</v>
          </cell>
          <cell r="AJ19">
            <v>31</v>
          </cell>
          <cell r="AK19">
            <v>27</v>
          </cell>
          <cell r="AL19">
            <v>4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31</v>
          </cell>
        </row>
        <row r="21">
          <cell r="B21">
            <v>11974</v>
          </cell>
          <cell r="C21" t="str">
            <v>Biswanath Satanami</v>
          </cell>
          <cell r="D21" t="str">
            <v>Parking Assistant</v>
          </cell>
          <cell r="E21" t="str">
            <v>P</v>
          </cell>
          <cell r="F21" t="str">
            <v>P</v>
          </cell>
          <cell r="G21" t="str">
            <v>P</v>
          </cell>
          <cell r="H21" t="str">
            <v>W/O</v>
          </cell>
          <cell r="I21" t="str">
            <v>P</v>
          </cell>
          <cell r="J21" t="str">
            <v>P</v>
          </cell>
          <cell r="K21" t="str">
            <v>P</v>
          </cell>
          <cell r="L21" t="str">
            <v>P</v>
          </cell>
          <cell r="M21" t="str">
            <v>P</v>
          </cell>
          <cell r="N21" t="str">
            <v>P</v>
          </cell>
          <cell r="O21" t="str">
            <v>P</v>
          </cell>
          <cell r="P21" t="str">
            <v>W/O</v>
          </cell>
          <cell r="Q21" t="str">
            <v>P</v>
          </cell>
          <cell r="R21" t="str">
            <v>P</v>
          </cell>
          <cell r="S21" t="str">
            <v>P</v>
          </cell>
          <cell r="T21" t="str">
            <v>P</v>
          </cell>
          <cell r="U21" t="str">
            <v>P</v>
          </cell>
          <cell r="V21" t="str">
            <v>CL</v>
          </cell>
          <cell r="W21" t="str">
            <v>W/O</v>
          </cell>
          <cell r="X21" t="str">
            <v>P</v>
          </cell>
          <cell r="Y21" t="str">
            <v>P</v>
          </cell>
          <cell r="Z21" t="str">
            <v>P</v>
          </cell>
          <cell r="AA21" t="str">
            <v>P</v>
          </cell>
          <cell r="AB21" t="str">
            <v>P</v>
          </cell>
          <cell r="AC21" t="str">
            <v>P</v>
          </cell>
          <cell r="AD21" t="str">
            <v>W/O</v>
          </cell>
          <cell r="AE21" t="str">
            <v>P</v>
          </cell>
          <cell r="AF21" t="str">
            <v>P</v>
          </cell>
          <cell r="AG21" t="str">
            <v>P</v>
          </cell>
          <cell r="AH21" t="str">
            <v>P</v>
          </cell>
          <cell r="AI21" t="str">
            <v>P</v>
          </cell>
          <cell r="AJ21">
            <v>31</v>
          </cell>
          <cell r="AK21">
            <v>26</v>
          </cell>
          <cell r="AL21">
            <v>4</v>
          </cell>
          <cell r="AM21">
            <v>0</v>
          </cell>
          <cell r="AN21">
            <v>0</v>
          </cell>
          <cell r="AO21">
            <v>1</v>
          </cell>
          <cell r="AP21">
            <v>0</v>
          </cell>
          <cell r="AQ21">
            <v>31</v>
          </cell>
        </row>
      </sheetData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UNIFORM"/>
      <sheetName val="ATTANDANCE"/>
      <sheetName val="PAYSHEET"/>
      <sheetName val="BANK STMT"/>
    </sheetNames>
    <sheetDataSet>
      <sheetData sheetId="0" refreshError="1"/>
      <sheetData sheetId="1" refreshError="1"/>
      <sheetData sheetId="2">
        <row r="7">
          <cell r="B7">
            <v>10897</v>
          </cell>
          <cell r="C7" t="str">
            <v>KARKA BAHADUR</v>
          </cell>
          <cell r="D7" t="str">
            <v>House keeping</v>
          </cell>
          <cell r="E7" t="str">
            <v>P</v>
          </cell>
          <cell r="F7" t="str">
            <v>P</v>
          </cell>
          <cell r="G7" t="str">
            <v>P</v>
          </cell>
          <cell r="H7" t="str">
            <v>P</v>
          </cell>
          <cell r="I7" t="str">
            <v>W/O</v>
          </cell>
          <cell r="J7" t="str">
            <v>P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P</v>
          </cell>
          <cell r="P7" t="str">
            <v>W/O</v>
          </cell>
          <cell r="Q7" t="str">
            <v>P</v>
          </cell>
          <cell r="R7" t="str">
            <v>P</v>
          </cell>
          <cell r="S7" t="str">
            <v>P</v>
          </cell>
          <cell r="T7" t="str">
            <v>P</v>
          </cell>
          <cell r="U7" t="str">
            <v>P</v>
          </cell>
          <cell r="V7" t="str">
            <v>P</v>
          </cell>
          <cell r="W7" t="str">
            <v>W/O</v>
          </cell>
          <cell r="X7" t="str">
            <v>P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P</v>
          </cell>
          <cell r="AC7" t="str">
            <v>P</v>
          </cell>
          <cell r="AD7" t="str">
            <v>W/O</v>
          </cell>
          <cell r="AE7" t="str">
            <v>P</v>
          </cell>
          <cell r="AF7" t="str">
            <v>P</v>
          </cell>
          <cell r="AG7" t="str">
            <v>P</v>
          </cell>
          <cell r="AH7" t="str">
            <v>P</v>
          </cell>
          <cell r="AI7" t="str">
            <v>P</v>
          </cell>
          <cell r="AJ7">
            <v>31</v>
          </cell>
          <cell r="AK7">
            <v>27</v>
          </cell>
          <cell r="AL7">
            <v>4</v>
          </cell>
          <cell r="AM7">
            <v>0</v>
          </cell>
          <cell r="AN7">
            <v>0</v>
          </cell>
          <cell r="AO7">
            <v>31</v>
          </cell>
          <cell r="AP7">
            <v>0</v>
          </cell>
          <cell r="AQ7">
            <v>0</v>
          </cell>
        </row>
      </sheetData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ENDANCE"/>
      <sheetName val="PAYSHEET"/>
      <sheetName val="FULL"/>
      <sheetName val="BANK STATEMENT"/>
      <sheetName val="PF ESI SUMMARY"/>
      <sheetName val="Sheet1"/>
      <sheetName val="INVOICE BREAKUP"/>
    </sheetNames>
    <sheetDataSet>
      <sheetData sheetId="0" refreshError="1"/>
      <sheetData sheetId="1">
        <row r="4">
          <cell r="B4">
            <v>11029</v>
          </cell>
          <cell r="C4" t="str">
            <v>SUDHIR KUMAR RAUTARAY</v>
          </cell>
          <cell r="D4">
            <v>10602</v>
          </cell>
          <cell r="E4" t="str">
            <v>TECH EXECUTIVE</v>
          </cell>
          <cell r="F4" t="str">
            <v>Duty</v>
          </cell>
          <cell r="G4" t="str">
            <v>G</v>
          </cell>
          <cell r="H4" t="str">
            <v>G</v>
          </cell>
          <cell r="I4" t="str">
            <v>G</v>
          </cell>
          <cell r="J4" t="str">
            <v>G</v>
          </cell>
          <cell r="K4" t="str">
            <v>G</v>
          </cell>
          <cell r="L4" t="str">
            <v>G</v>
          </cell>
          <cell r="M4" t="str">
            <v>W</v>
          </cell>
          <cell r="N4" t="str">
            <v>G</v>
          </cell>
          <cell r="O4" t="str">
            <v>G</v>
          </cell>
          <cell r="P4" t="str">
            <v>G</v>
          </cell>
          <cell r="Q4" t="str">
            <v>G</v>
          </cell>
          <cell r="R4" t="str">
            <v>G</v>
          </cell>
          <cell r="S4" t="str">
            <v>G</v>
          </cell>
          <cell r="T4" t="str">
            <v>W</v>
          </cell>
          <cell r="U4" t="str">
            <v>G</v>
          </cell>
          <cell r="V4" t="str">
            <v>G</v>
          </cell>
          <cell r="W4" t="str">
            <v>G</v>
          </cell>
          <cell r="X4" t="str">
            <v>G</v>
          </cell>
          <cell r="Y4" t="str">
            <v>G</v>
          </cell>
          <cell r="Z4" t="str">
            <v>G</v>
          </cell>
          <cell r="AA4" t="str">
            <v>W</v>
          </cell>
          <cell r="AB4" t="str">
            <v>G</v>
          </cell>
          <cell r="AC4" t="str">
            <v>G</v>
          </cell>
          <cell r="AD4" t="str">
            <v>G</v>
          </cell>
          <cell r="AE4" t="str">
            <v>G</v>
          </cell>
          <cell r="AF4" t="str">
            <v>G</v>
          </cell>
          <cell r="AG4" t="str">
            <v>G</v>
          </cell>
          <cell r="AH4" t="str">
            <v>W</v>
          </cell>
          <cell r="AI4" t="str">
            <v>G</v>
          </cell>
          <cell r="AJ4" t="str">
            <v>G</v>
          </cell>
          <cell r="AK4" t="str">
            <v>G</v>
          </cell>
          <cell r="AL4">
            <v>0</v>
          </cell>
          <cell r="AM4">
            <v>0</v>
          </cell>
          <cell r="AN4">
            <v>0</v>
          </cell>
          <cell r="AO4">
            <v>27</v>
          </cell>
          <cell r="AP4">
            <v>4</v>
          </cell>
          <cell r="AQ4">
            <v>0</v>
          </cell>
          <cell r="AR4">
            <v>0</v>
          </cell>
          <cell r="AS4">
            <v>31</v>
          </cell>
        </row>
        <row r="5">
          <cell r="F5" t="str">
            <v>E.D</v>
          </cell>
        </row>
        <row r="6">
          <cell r="B6">
            <v>10976</v>
          </cell>
          <cell r="C6" t="str">
            <v>KONGANI NARAYANA</v>
          </cell>
          <cell r="D6">
            <v>10431</v>
          </cell>
          <cell r="E6" t="str">
            <v xml:space="preserve">TECH SUPERVISOR </v>
          </cell>
          <cell r="F6" t="str">
            <v>Duty</v>
          </cell>
          <cell r="G6" t="str">
            <v>A</v>
          </cell>
          <cell r="H6" t="str">
            <v>A</v>
          </cell>
          <cell r="I6" t="str">
            <v>B</v>
          </cell>
          <cell r="J6" t="str">
            <v>B</v>
          </cell>
          <cell r="K6" t="str">
            <v>C</v>
          </cell>
          <cell r="L6" t="str">
            <v>C</v>
          </cell>
          <cell r="M6" t="str">
            <v>W</v>
          </cell>
          <cell r="N6" t="str">
            <v>A</v>
          </cell>
          <cell r="O6" t="str">
            <v>A</v>
          </cell>
          <cell r="P6" t="str">
            <v>B</v>
          </cell>
          <cell r="Q6" t="str">
            <v>B</v>
          </cell>
          <cell r="R6" t="str">
            <v>C</v>
          </cell>
          <cell r="S6" t="str">
            <v>C</v>
          </cell>
          <cell r="T6" t="str">
            <v>W</v>
          </cell>
          <cell r="U6" t="str">
            <v>A</v>
          </cell>
          <cell r="V6" t="str">
            <v>B</v>
          </cell>
          <cell r="W6" t="str">
            <v>B</v>
          </cell>
          <cell r="X6" t="str">
            <v>A</v>
          </cell>
          <cell r="Y6" t="str">
            <v>C</v>
          </cell>
          <cell r="Z6" t="str">
            <v>C</v>
          </cell>
          <cell r="AA6" t="str">
            <v>W</v>
          </cell>
          <cell r="AB6" t="str">
            <v>A</v>
          </cell>
          <cell r="AC6" t="str">
            <v>A</v>
          </cell>
          <cell r="AD6" t="str">
            <v>C</v>
          </cell>
          <cell r="AE6" t="str">
            <v>B</v>
          </cell>
          <cell r="AF6" t="str">
            <v>C</v>
          </cell>
          <cell r="AG6" t="str">
            <v>B</v>
          </cell>
          <cell r="AH6" t="str">
            <v>W</v>
          </cell>
          <cell r="AI6" t="str">
            <v>A</v>
          </cell>
          <cell r="AJ6" t="str">
            <v>A</v>
          </cell>
          <cell r="AK6" t="str">
            <v>B</v>
          </cell>
          <cell r="AL6">
            <v>10</v>
          </cell>
          <cell r="AM6">
            <v>9</v>
          </cell>
          <cell r="AN6">
            <v>8</v>
          </cell>
          <cell r="AO6">
            <v>0</v>
          </cell>
          <cell r="AP6">
            <v>4</v>
          </cell>
          <cell r="AQ6">
            <v>0</v>
          </cell>
          <cell r="AR6">
            <v>0</v>
          </cell>
          <cell r="AS6">
            <v>31</v>
          </cell>
        </row>
        <row r="7">
          <cell r="F7" t="str">
            <v>E.D</v>
          </cell>
        </row>
        <row r="8">
          <cell r="B8">
            <v>10984</v>
          </cell>
          <cell r="C8" t="str">
            <v>KUMMARA RAJYALAKSHMI</v>
          </cell>
          <cell r="D8">
            <v>1227</v>
          </cell>
          <cell r="E8" t="str">
            <v xml:space="preserve">TECH SUPERVISOR </v>
          </cell>
          <cell r="F8" t="str">
            <v>Duty</v>
          </cell>
          <cell r="G8" t="str">
            <v>G</v>
          </cell>
          <cell r="H8" t="str">
            <v>G</v>
          </cell>
          <cell r="I8" t="str">
            <v>G</v>
          </cell>
          <cell r="J8" t="str">
            <v>G</v>
          </cell>
          <cell r="K8" t="str">
            <v>W</v>
          </cell>
          <cell r="L8" t="str">
            <v>G</v>
          </cell>
          <cell r="M8" t="str">
            <v>G</v>
          </cell>
          <cell r="N8" t="str">
            <v>G</v>
          </cell>
          <cell r="O8" t="str">
            <v>G</v>
          </cell>
          <cell r="P8" t="str">
            <v>G</v>
          </cell>
          <cell r="Q8" t="str">
            <v>G</v>
          </cell>
          <cell r="R8" t="str">
            <v>W</v>
          </cell>
          <cell r="S8" t="str">
            <v>G</v>
          </cell>
          <cell r="T8" t="str">
            <v>G</v>
          </cell>
          <cell r="U8" t="str">
            <v>G</v>
          </cell>
          <cell r="V8" t="str">
            <v>G</v>
          </cell>
          <cell r="W8" t="str">
            <v>G</v>
          </cell>
          <cell r="X8" t="str">
            <v>G</v>
          </cell>
          <cell r="Y8" t="str">
            <v>W</v>
          </cell>
          <cell r="Z8" t="str">
            <v>G</v>
          </cell>
          <cell r="AA8" t="str">
            <v>G</v>
          </cell>
          <cell r="AB8" t="str">
            <v>G</v>
          </cell>
          <cell r="AC8" t="str">
            <v>G</v>
          </cell>
          <cell r="AD8" t="str">
            <v>G</v>
          </cell>
          <cell r="AE8" t="str">
            <v>G</v>
          </cell>
          <cell r="AF8" t="str">
            <v>W</v>
          </cell>
          <cell r="AG8" t="str">
            <v>G</v>
          </cell>
          <cell r="AH8" t="str">
            <v>G</v>
          </cell>
          <cell r="AI8" t="str">
            <v>G</v>
          </cell>
          <cell r="AJ8" t="str">
            <v>G</v>
          </cell>
          <cell r="AK8" t="str">
            <v>L</v>
          </cell>
          <cell r="AL8">
            <v>0</v>
          </cell>
          <cell r="AM8">
            <v>0</v>
          </cell>
          <cell r="AN8">
            <v>0</v>
          </cell>
          <cell r="AO8">
            <v>26</v>
          </cell>
          <cell r="AP8">
            <v>4</v>
          </cell>
          <cell r="AQ8">
            <v>0</v>
          </cell>
          <cell r="AR8">
            <v>0</v>
          </cell>
          <cell r="AS8">
            <v>30</v>
          </cell>
        </row>
        <row r="9">
          <cell r="F9" t="str">
            <v>E.D</v>
          </cell>
        </row>
        <row r="10">
          <cell r="B10">
            <v>10986</v>
          </cell>
          <cell r="C10" t="str">
            <v>KSHIROD KUMAR DAS</v>
          </cell>
          <cell r="D10">
            <v>11038</v>
          </cell>
          <cell r="E10" t="str">
            <v xml:space="preserve">TECH SUPERVISOR </v>
          </cell>
          <cell r="F10" t="str">
            <v>Duty</v>
          </cell>
          <cell r="G10" t="str">
            <v>G</v>
          </cell>
          <cell r="H10" t="str">
            <v>W</v>
          </cell>
          <cell r="I10" t="str">
            <v>G</v>
          </cell>
          <cell r="J10" t="str">
            <v>G</v>
          </cell>
          <cell r="K10" t="str">
            <v>G</v>
          </cell>
          <cell r="L10" t="str">
            <v>G</v>
          </cell>
          <cell r="M10" t="str">
            <v>L</v>
          </cell>
          <cell r="N10" t="str">
            <v>L</v>
          </cell>
          <cell r="O10" t="str">
            <v>L</v>
          </cell>
          <cell r="P10" t="str">
            <v>L</v>
          </cell>
          <cell r="Q10" t="str">
            <v>L</v>
          </cell>
          <cell r="R10" t="str">
            <v>L</v>
          </cell>
          <cell r="S10" t="str">
            <v>L</v>
          </cell>
          <cell r="T10" t="str">
            <v>L</v>
          </cell>
          <cell r="U10" t="str">
            <v>L</v>
          </cell>
          <cell r="V10" t="str">
            <v>L</v>
          </cell>
          <cell r="W10" t="str">
            <v>L</v>
          </cell>
          <cell r="X10" t="str">
            <v>L</v>
          </cell>
          <cell r="Y10" t="str">
            <v>L</v>
          </cell>
          <cell r="Z10" t="str">
            <v>L</v>
          </cell>
          <cell r="AA10" t="str">
            <v>L</v>
          </cell>
          <cell r="AB10" t="str">
            <v>L</v>
          </cell>
          <cell r="AC10" t="str">
            <v>G</v>
          </cell>
          <cell r="AD10" t="str">
            <v>G</v>
          </cell>
          <cell r="AE10" t="str">
            <v>G</v>
          </cell>
          <cell r="AF10" t="str">
            <v>G</v>
          </cell>
          <cell r="AG10" t="str">
            <v>G</v>
          </cell>
          <cell r="AH10" t="str">
            <v>G</v>
          </cell>
          <cell r="AI10" t="str">
            <v>G</v>
          </cell>
          <cell r="AJ10" t="str">
            <v>W</v>
          </cell>
          <cell r="AK10" t="str">
            <v>G</v>
          </cell>
          <cell r="AL10">
            <v>0</v>
          </cell>
          <cell r="AM10">
            <v>0</v>
          </cell>
          <cell r="AN10">
            <v>0</v>
          </cell>
          <cell r="AO10">
            <v>13</v>
          </cell>
          <cell r="AP10">
            <v>2</v>
          </cell>
          <cell r="AQ10">
            <v>0</v>
          </cell>
          <cell r="AR10">
            <v>0</v>
          </cell>
          <cell r="AS10">
            <v>15</v>
          </cell>
        </row>
        <row r="11">
          <cell r="F11" t="str">
            <v>E.D</v>
          </cell>
        </row>
        <row r="12">
          <cell r="B12">
            <v>10013</v>
          </cell>
          <cell r="C12" t="str">
            <v>HRUSIKESH PANDA</v>
          </cell>
          <cell r="D12">
            <v>11182</v>
          </cell>
          <cell r="E12" t="str">
            <v xml:space="preserve">TECH SUPERVISOR </v>
          </cell>
          <cell r="F12" t="str">
            <v>Duty</v>
          </cell>
          <cell r="G12" t="str">
            <v>W</v>
          </cell>
          <cell r="H12" t="str">
            <v>G</v>
          </cell>
          <cell r="I12" t="str">
            <v>A</v>
          </cell>
          <cell r="J12" t="str">
            <v>G</v>
          </cell>
          <cell r="K12" t="str">
            <v>B</v>
          </cell>
          <cell r="L12" t="str">
            <v>G</v>
          </cell>
          <cell r="M12" t="str">
            <v>A</v>
          </cell>
          <cell r="N12" t="str">
            <v>W</v>
          </cell>
          <cell r="O12" t="str">
            <v>G</v>
          </cell>
          <cell r="P12" t="str">
            <v>A</v>
          </cell>
          <cell r="Q12" t="str">
            <v>G</v>
          </cell>
          <cell r="R12" t="str">
            <v>B</v>
          </cell>
          <cell r="S12" t="str">
            <v>G</v>
          </cell>
          <cell r="T12" t="str">
            <v>A</v>
          </cell>
          <cell r="U12" t="str">
            <v>W</v>
          </cell>
          <cell r="V12" t="str">
            <v>A</v>
          </cell>
          <cell r="W12" t="str">
            <v>A</v>
          </cell>
          <cell r="X12" t="str">
            <v>G</v>
          </cell>
          <cell r="Y12" t="str">
            <v>A</v>
          </cell>
          <cell r="Z12" t="str">
            <v>G</v>
          </cell>
          <cell r="AA12" t="str">
            <v>A</v>
          </cell>
          <cell r="AB12" t="str">
            <v>W</v>
          </cell>
          <cell r="AC12" t="str">
            <v>B</v>
          </cell>
          <cell r="AD12" t="str">
            <v>B</v>
          </cell>
          <cell r="AE12" t="str">
            <v>B</v>
          </cell>
          <cell r="AF12" t="str">
            <v>A</v>
          </cell>
          <cell r="AG12" t="str">
            <v>A</v>
          </cell>
          <cell r="AH12" t="str">
            <v>A</v>
          </cell>
          <cell r="AI12" t="str">
            <v>W</v>
          </cell>
          <cell r="AJ12" t="str">
            <v>G</v>
          </cell>
          <cell r="AK12" t="str">
            <v>G</v>
          </cell>
          <cell r="AL12">
            <v>11</v>
          </cell>
          <cell r="AM12">
            <v>5</v>
          </cell>
          <cell r="AN12">
            <v>0</v>
          </cell>
          <cell r="AO12">
            <v>10</v>
          </cell>
          <cell r="AP12">
            <v>5</v>
          </cell>
          <cell r="AQ12">
            <v>0</v>
          </cell>
          <cell r="AR12">
            <v>0</v>
          </cell>
          <cell r="AS12">
            <v>31</v>
          </cell>
        </row>
        <row r="13">
          <cell r="F13" t="str">
            <v>E.D</v>
          </cell>
        </row>
        <row r="14">
          <cell r="B14">
            <v>11365</v>
          </cell>
          <cell r="C14" t="str">
            <v>BADAM SANDEEP</v>
          </cell>
          <cell r="D14">
            <v>11203</v>
          </cell>
          <cell r="E14" t="str">
            <v xml:space="preserve">TECH SUPERVISOR </v>
          </cell>
          <cell r="F14" t="str">
            <v>Duty</v>
          </cell>
          <cell r="G14" t="str">
            <v>C</v>
          </cell>
          <cell r="H14" t="str">
            <v>C</v>
          </cell>
          <cell r="I14" t="str">
            <v>W</v>
          </cell>
          <cell r="J14" t="str">
            <v>A</v>
          </cell>
          <cell r="K14" t="str">
            <v>A</v>
          </cell>
          <cell r="L14" t="str">
            <v>B</v>
          </cell>
          <cell r="M14" t="str">
            <v>C</v>
          </cell>
          <cell r="N14" t="str">
            <v>C</v>
          </cell>
          <cell r="O14" t="str">
            <v>C</v>
          </cell>
          <cell r="P14" t="str">
            <v>W</v>
          </cell>
          <cell r="Q14" t="str">
            <v>A</v>
          </cell>
          <cell r="R14" t="str">
            <v>A</v>
          </cell>
          <cell r="S14" t="str">
            <v>A</v>
          </cell>
          <cell r="T14" t="str">
            <v>C</v>
          </cell>
          <cell r="U14" t="str">
            <v>B</v>
          </cell>
          <cell r="V14" t="str">
            <v>A</v>
          </cell>
          <cell r="W14" t="str">
            <v>W</v>
          </cell>
          <cell r="X14" t="str">
            <v>C</v>
          </cell>
          <cell r="Y14" t="str">
            <v>B</v>
          </cell>
          <cell r="Z14" t="str">
            <v>B</v>
          </cell>
          <cell r="AA14" t="str">
            <v>C</v>
          </cell>
          <cell r="AB14" t="str">
            <v>C</v>
          </cell>
          <cell r="AC14" t="str">
            <v>B</v>
          </cell>
          <cell r="AD14" t="str">
            <v>W</v>
          </cell>
          <cell r="AE14" t="str">
            <v>C</v>
          </cell>
          <cell r="AF14" t="str">
            <v>B</v>
          </cell>
          <cell r="AG14" t="str">
            <v>B</v>
          </cell>
          <cell r="AH14" t="str">
            <v>C</v>
          </cell>
          <cell r="AI14" t="str">
            <v>C</v>
          </cell>
          <cell r="AJ14" t="str">
            <v>L</v>
          </cell>
          <cell r="AK14" t="str">
            <v>W</v>
          </cell>
          <cell r="AL14">
            <v>6</v>
          </cell>
          <cell r="AM14">
            <v>7</v>
          </cell>
          <cell r="AN14">
            <v>12</v>
          </cell>
          <cell r="AO14">
            <v>0</v>
          </cell>
          <cell r="AP14">
            <v>5</v>
          </cell>
          <cell r="AQ14">
            <v>0</v>
          </cell>
          <cell r="AR14">
            <v>0</v>
          </cell>
          <cell r="AS14">
            <v>30</v>
          </cell>
        </row>
        <row r="15">
          <cell r="F15" t="str">
            <v>E.D</v>
          </cell>
        </row>
        <row r="16">
          <cell r="B16">
            <v>10989</v>
          </cell>
          <cell r="C16" t="str">
            <v>B NAGENDRA BABU</v>
          </cell>
          <cell r="D16">
            <v>10423</v>
          </cell>
          <cell r="E16" t="str">
            <v xml:space="preserve">TECH SUPERVISOR </v>
          </cell>
          <cell r="F16" t="str">
            <v>Duty</v>
          </cell>
          <cell r="G16" t="str">
            <v>B</v>
          </cell>
          <cell r="H16" t="str">
            <v>B</v>
          </cell>
          <cell r="I16" t="str">
            <v>C</v>
          </cell>
          <cell r="J16" t="str">
            <v>C</v>
          </cell>
          <cell r="K16" t="str">
            <v>W</v>
          </cell>
          <cell r="L16" t="str">
            <v>A</v>
          </cell>
          <cell r="M16" t="str">
            <v>B</v>
          </cell>
          <cell r="N16" t="str">
            <v>B</v>
          </cell>
          <cell r="O16" t="str">
            <v>B</v>
          </cell>
          <cell r="P16" t="str">
            <v>C</v>
          </cell>
          <cell r="Q16" t="str">
            <v>C</v>
          </cell>
          <cell r="R16" t="str">
            <v>W</v>
          </cell>
          <cell r="S16" t="str">
            <v>B</v>
          </cell>
          <cell r="T16" t="str">
            <v>B</v>
          </cell>
          <cell r="U16" t="str">
            <v>C</v>
          </cell>
          <cell r="V16" t="str">
            <v>C</v>
          </cell>
          <cell r="W16" t="str">
            <v>C</v>
          </cell>
          <cell r="X16" t="str">
            <v>B</v>
          </cell>
          <cell r="Y16" t="str">
            <v>W</v>
          </cell>
          <cell r="Z16" t="str">
            <v>A</v>
          </cell>
          <cell r="AA16" t="str">
            <v>B</v>
          </cell>
          <cell r="AB16" t="str">
            <v>B</v>
          </cell>
          <cell r="AC16" t="str">
            <v>C</v>
          </cell>
          <cell r="AD16" t="str">
            <v>B</v>
          </cell>
          <cell r="AE16" t="str">
            <v>A</v>
          </cell>
          <cell r="AF16" t="str">
            <v>W</v>
          </cell>
          <cell r="AG16" t="str">
            <v>C</v>
          </cell>
          <cell r="AH16" t="str">
            <v>B</v>
          </cell>
          <cell r="AI16" t="str">
            <v>B</v>
          </cell>
          <cell r="AJ16" t="str">
            <v>B</v>
          </cell>
          <cell r="AK16" t="str">
            <v>C</v>
          </cell>
          <cell r="AL16">
            <v>3</v>
          </cell>
          <cell r="AM16">
            <v>14</v>
          </cell>
          <cell r="AN16">
            <v>10</v>
          </cell>
          <cell r="AO16">
            <v>0</v>
          </cell>
          <cell r="AP16">
            <v>4</v>
          </cell>
          <cell r="AQ16">
            <v>0</v>
          </cell>
          <cell r="AR16">
            <v>0</v>
          </cell>
          <cell r="AS16">
            <v>31</v>
          </cell>
        </row>
        <row r="17">
          <cell r="F17" t="str">
            <v>E.D</v>
          </cell>
        </row>
        <row r="18">
          <cell r="B18">
            <v>10982</v>
          </cell>
          <cell r="C18" t="str">
            <v>SAGAR KUMAR BEHERA</v>
          </cell>
          <cell r="D18">
            <v>11101</v>
          </cell>
          <cell r="E18" t="str">
            <v xml:space="preserve">TECH SUPERVISOR </v>
          </cell>
          <cell r="F18" t="str">
            <v>Duty</v>
          </cell>
          <cell r="G18" t="str">
            <v>A</v>
          </cell>
          <cell r="H18" t="str">
            <v>G</v>
          </cell>
          <cell r="I18" t="str">
            <v>G</v>
          </cell>
          <cell r="J18" t="str">
            <v>G</v>
          </cell>
          <cell r="K18" t="str">
            <v>G</v>
          </cell>
          <cell r="L18" t="str">
            <v>W</v>
          </cell>
          <cell r="M18" t="str">
            <v>G</v>
          </cell>
          <cell r="N18" t="str">
            <v>G</v>
          </cell>
          <cell r="O18" t="str">
            <v>G</v>
          </cell>
          <cell r="P18" t="str">
            <v>G</v>
          </cell>
          <cell r="Q18" t="str">
            <v>G</v>
          </cell>
          <cell r="R18" t="str">
            <v>G</v>
          </cell>
          <cell r="S18" t="str">
            <v>W</v>
          </cell>
          <cell r="T18" t="str">
            <v>G</v>
          </cell>
          <cell r="U18" t="str">
            <v>G</v>
          </cell>
          <cell r="V18" t="str">
            <v>G</v>
          </cell>
          <cell r="W18" t="str">
            <v>G</v>
          </cell>
          <cell r="X18" t="str">
            <v>G</v>
          </cell>
          <cell r="Y18" t="str">
            <v>G</v>
          </cell>
          <cell r="Z18" t="str">
            <v>W</v>
          </cell>
          <cell r="AA18" t="str">
            <v>G</v>
          </cell>
          <cell r="AB18" t="str">
            <v>G</v>
          </cell>
          <cell r="AC18" t="str">
            <v>G</v>
          </cell>
          <cell r="AD18" t="str">
            <v>A</v>
          </cell>
          <cell r="AE18" t="str">
            <v>G</v>
          </cell>
          <cell r="AF18" t="str">
            <v>B</v>
          </cell>
          <cell r="AG18" t="str">
            <v>W</v>
          </cell>
          <cell r="AH18" t="str">
            <v>A</v>
          </cell>
          <cell r="AI18" t="str">
            <v>A</v>
          </cell>
          <cell r="AJ18" t="str">
            <v>G</v>
          </cell>
          <cell r="AK18" t="str">
            <v>A</v>
          </cell>
          <cell r="AL18">
            <v>5</v>
          </cell>
          <cell r="AM18">
            <v>1</v>
          </cell>
          <cell r="AN18">
            <v>0</v>
          </cell>
          <cell r="AO18">
            <v>21</v>
          </cell>
          <cell r="AP18">
            <v>4</v>
          </cell>
          <cell r="AQ18">
            <v>0</v>
          </cell>
          <cell r="AR18">
            <v>0</v>
          </cell>
          <cell r="AS18">
            <v>31</v>
          </cell>
        </row>
        <row r="19">
          <cell r="F19" t="str">
            <v>E.D</v>
          </cell>
        </row>
        <row r="20">
          <cell r="B20">
            <v>12076</v>
          </cell>
          <cell r="C20" t="str">
            <v>JALEM ROHAN</v>
          </cell>
          <cell r="D20">
            <v>11227</v>
          </cell>
          <cell r="E20" t="str">
            <v xml:space="preserve">TECH SUPERVISOR </v>
          </cell>
          <cell r="F20" t="str">
            <v>Duty</v>
          </cell>
          <cell r="G20" t="str">
            <v>C</v>
          </cell>
          <cell r="H20" t="str">
            <v>C</v>
          </cell>
          <cell r="I20" t="str">
            <v>C</v>
          </cell>
          <cell r="J20" t="str">
            <v>W</v>
          </cell>
          <cell r="K20" t="str">
            <v>G</v>
          </cell>
          <cell r="L20" t="str">
            <v>B</v>
          </cell>
          <cell r="M20" t="str">
            <v>G</v>
          </cell>
          <cell r="N20" t="str">
            <v>G</v>
          </cell>
          <cell r="O20" t="str">
            <v>B</v>
          </cell>
          <cell r="P20" t="str">
            <v>G</v>
          </cell>
          <cell r="Q20" t="str">
            <v>W</v>
          </cell>
          <cell r="R20" t="str">
            <v>C</v>
          </cell>
          <cell r="S20" t="str">
            <v>C</v>
          </cell>
          <cell r="T20" t="str">
            <v>C</v>
          </cell>
          <cell r="U20" t="str">
            <v>C</v>
          </cell>
          <cell r="V20" t="str">
            <v>C</v>
          </cell>
          <cell r="W20" t="str">
            <v>B</v>
          </cell>
          <cell r="X20" t="str">
            <v>W</v>
          </cell>
          <cell r="Y20" t="str">
            <v>G</v>
          </cell>
          <cell r="Z20" t="str">
            <v>G</v>
          </cell>
          <cell r="AA20" t="str">
            <v>G</v>
          </cell>
          <cell r="AB20" t="str">
            <v>G</v>
          </cell>
          <cell r="AC20" t="str">
            <v>C</v>
          </cell>
          <cell r="AD20" t="str">
            <v>C</v>
          </cell>
          <cell r="AE20" t="str">
            <v>W</v>
          </cell>
          <cell r="AF20" t="str">
            <v>C</v>
          </cell>
          <cell r="AG20" t="str">
            <v>C</v>
          </cell>
          <cell r="AH20" t="str">
            <v>B</v>
          </cell>
          <cell r="AI20" t="str">
            <v>B</v>
          </cell>
          <cell r="AJ20" t="str">
            <v>B</v>
          </cell>
          <cell r="AK20" t="str">
            <v>C</v>
          </cell>
          <cell r="AL20">
            <v>0</v>
          </cell>
          <cell r="AM20">
            <v>6</v>
          </cell>
          <cell r="AN20">
            <v>13</v>
          </cell>
          <cell r="AO20">
            <v>8</v>
          </cell>
          <cell r="AP20">
            <v>4</v>
          </cell>
          <cell r="AQ20">
            <v>0</v>
          </cell>
          <cell r="AR20">
            <v>0</v>
          </cell>
          <cell r="AS20">
            <v>31</v>
          </cell>
        </row>
        <row r="21">
          <cell r="F21" t="str">
            <v>E.D</v>
          </cell>
        </row>
        <row r="22">
          <cell r="B22">
            <v>11032</v>
          </cell>
          <cell r="C22" t="str">
            <v>ANANDA SHA</v>
          </cell>
          <cell r="D22">
            <v>11104</v>
          </cell>
          <cell r="E22" t="str">
            <v xml:space="preserve">ELECTRICIAN </v>
          </cell>
          <cell r="F22" t="str">
            <v>Duty</v>
          </cell>
          <cell r="G22" t="str">
            <v>W</v>
          </cell>
          <cell r="H22" t="str">
            <v>C</v>
          </cell>
          <cell r="I22" t="str">
            <v>C</v>
          </cell>
          <cell r="J22" t="str">
            <v>B</v>
          </cell>
          <cell r="K22" t="str">
            <v>B</v>
          </cell>
          <cell r="L22" t="str">
            <v>A</v>
          </cell>
          <cell r="M22" t="str">
            <v>B</v>
          </cell>
          <cell r="N22" t="str">
            <v>W</v>
          </cell>
          <cell r="O22" t="str">
            <v>A</v>
          </cell>
          <cell r="P22" t="str">
            <v>A</v>
          </cell>
          <cell r="Q22" t="str">
            <v>G</v>
          </cell>
          <cell r="R22" t="str">
            <v>B</v>
          </cell>
          <cell r="S22" t="str">
            <v>B</v>
          </cell>
          <cell r="T22" t="str">
            <v>C</v>
          </cell>
          <cell r="U22" t="str">
            <v>W</v>
          </cell>
          <cell r="V22" t="str">
            <v>A</v>
          </cell>
          <cell r="W22" t="str">
            <v>A</v>
          </cell>
          <cell r="X22" t="str">
            <v>G</v>
          </cell>
          <cell r="Y22" t="str">
            <v>G</v>
          </cell>
          <cell r="Z22" t="str">
            <v>B</v>
          </cell>
          <cell r="AA22" t="str">
            <v>C</v>
          </cell>
          <cell r="AB22" t="str">
            <v>W</v>
          </cell>
          <cell r="AC22" t="str">
            <v>B</v>
          </cell>
          <cell r="AD22" t="str">
            <v>B</v>
          </cell>
          <cell r="AE22" t="str">
            <v>G</v>
          </cell>
          <cell r="AF22" t="str">
            <v>B</v>
          </cell>
          <cell r="AG22" t="str">
            <v>B</v>
          </cell>
          <cell r="AH22" t="str">
            <v>C</v>
          </cell>
          <cell r="AI22" t="str">
            <v>W</v>
          </cell>
          <cell r="AJ22" t="str">
            <v>B</v>
          </cell>
          <cell r="AK22" t="str">
            <v>B</v>
          </cell>
          <cell r="AL22">
            <v>5</v>
          </cell>
          <cell r="AM22">
            <v>12</v>
          </cell>
          <cell r="AN22">
            <v>5</v>
          </cell>
          <cell r="AO22">
            <v>4</v>
          </cell>
          <cell r="AP22">
            <v>5</v>
          </cell>
          <cell r="AQ22">
            <v>0</v>
          </cell>
          <cell r="AR22">
            <v>0</v>
          </cell>
          <cell r="AS22">
            <v>31</v>
          </cell>
        </row>
        <row r="23">
          <cell r="F23" t="str">
            <v>E.D</v>
          </cell>
        </row>
        <row r="24">
          <cell r="B24">
            <v>10981</v>
          </cell>
          <cell r="C24" t="str">
            <v>CHINTHAKUNTA GANESH</v>
          </cell>
          <cell r="D24">
            <v>11053</v>
          </cell>
          <cell r="E24" t="str">
            <v xml:space="preserve">ELECTRICIAN </v>
          </cell>
          <cell r="F24" t="str">
            <v>Duty</v>
          </cell>
          <cell r="G24" t="str">
            <v>C</v>
          </cell>
          <cell r="H24" t="str">
            <v>B</v>
          </cell>
          <cell r="I24" t="str">
            <v>L</v>
          </cell>
          <cell r="J24" t="str">
            <v>L</v>
          </cell>
          <cell r="K24" t="str">
            <v>W</v>
          </cell>
          <cell r="L24" t="str">
            <v>C</v>
          </cell>
          <cell r="M24" t="str">
            <v>C</v>
          </cell>
          <cell r="N24" t="str">
            <v>B</v>
          </cell>
          <cell r="O24" t="str">
            <v>G</v>
          </cell>
          <cell r="P24" t="str">
            <v>G</v>
          </cell>
          <cell r="Q24" t="str">
            <v>C</v>
          </cell>
          <cell r="R24" t="str">
            <v>W</v>
          </cell>
          <cell r="S24" t="str">
            <v>G</v>
          </cell>
          <cell r="T24" t="str">
            <v>A</v>
          </cell>
          <cell r="U24" t="str">
            <v>G</v>
          </cell>
          <cell r="V24" t="str">
            <v>G</v>
          </cell>
          <cell r="W24" t="str">
            <v>C</v>
          </cell>
          <cell r="X24" t="str">
            <v>C</v>
          </cell>
          <cell r="Y24" t="str">
            <v>W</v>
          </cell>
          <cell r="Z24" t="str">
            <v>A</v>
          </cell>
          <cell r="AA24" t="str">
            <v>G</v>
          </cell>
          <cell r="AB24" t="str">
            <v>G</v>
          </cell>
          <cell r="AC24" t="str">
            <v>G</v>
          </cell>
          <cell r="AD24" t="str">
            <v>C</v>
          </cell>
          <cell r="AE24" t="str">
            <v>C</v>
          </cell>
          <cell r="AF24" t="str">
            <v>W</v>
          </cell>
          <cell r="AG24" t="str">
            <v>A</v>
          </cell>
          <cell r="AH24" t="str">
            <v>B</v>
          </cell>
          <cell r="AI24" t="str">
            <v>G</v>
          </cell>
          <cell r="AJ24" t="str">
            <v>G</v>
          </cell>
          <cell r="AK24" t="str">
            <v>C</v>
          </cell>
          <cell r="AL24">
            <v>3</v>
          </cell>
          <cell r="AM24">
            <v>3</v>
          </cell>
          <cell r="AN24">
            <v>9</v>
          </cell>
          <cell r="AO24">
            <v>10</v>
          </cell>
          <cell r="AP24">
            <v>4</v>
          </cell>
          <cell r="AQ24">
            <v>0</v>
          </cell>
          <cell r="AR24">
            <v>0</v>
          </cell>
          <cell r="AS24">
            <v>29</v>
          </cell>
        </row>
        <row r="25">
          <cell r="F25" t="str">
            <v>E.D</v>
          </cell>
        </row>
        <row r="26">
          <cell r="B26">
            <v>11651</v>
          </cell>
          <cell r="C26" t="str">
            <v>RUDRA MADHAB SENAPATI</v>
          </cell>
          <cell r="D26">
            <v>11194</v>
          </cell>
          <cell r="E26" t="str">
            <v xml:space="preserve">ELECTRICIAN </v>
          </cell>
          <cell r="F26" t="str">
            <v>Duty</v>
          </cell>
          <cell r="G26" t="str">
            <v>L</v>
          </cell>
          <cell r="H26" t="str">
            <v>L</v>
          </cell>
          <cell r="I26" t="str">
            <v>L</v>
          </cell>
          <cell r="J26" t="str">
            <v>L</v>
          </cell>
          <cell r="K26" t="str">
            <v>L</v>
          </cell>
          <cell r="L26" t="str">
            <v>L</v>
          </cell>
          <cell r="M26" t="str">
            <v>L</v>
          </cell>
          <cell r="N26" t="str">
            <v>L</v>
          </cell>
          <cell r="O26" t="str">
            <v>L</v>
          </cell>
          <cell r="P26" t="str">
            <v>L</v>
          </cell>
          <cell r="Q26" t="str">
            <v>L</v>
          </cell>
          <cell r="R26" t="str">
            <v>L</v>
          </cell>
          <cell r="S26" t="str">
            <v>L</v>
          </cell>
          <cell r="T26" t="str">
            <v>L</v>
          </cell>
          <cell r="U26" t="str">
            <v>L</v>
          </cell>
          <cell r="V26" t="str">
            <v>L</v>
          </cell>
          <cell r="W26" t="str">
            <v>L</v>
          </cell>
          <cell r="X26" t="str">
            <v>L</v>
          </cell>
          <cell r="Y26" t="str">
            <v>L</v>
          </cell>
          <cell r="Z26" t="str">
            <v>L</v>
          </cell>
          <cell r="AA26" t="str">
            <v>L</v>
          </cell>
          <cell r="AB26" t="str">
            <v>L</v>
          </cell>
          <cell r="AC26" t="str">
            <v>L</v>
          </cell>
          <cell r="AD26" t="str">
            <v>L</v>
          </cell>
          <cell r="AE26" t="str">
            <v>L</v>
          </cell>
          <cell r="AF26" t="str">
            <v>L</v>
          </cell>
          <cell r="AG26" t="str">
            <v>L</v>
          </cell>
          <cell r="AH26" t="str">
            <v>L</v>
          </cell>
          <cell r="AI26" t="str">
            <v>L</v>
          </cell>
          <cell r="AJ26" t="str">
            <v>L</v>
          </cell>
          <cell r="AK26" t="str">
            <v>L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</row>
        <row r="27">
          <cell r="F27" t="str">
            <v>E.D</v>
          </cell>
        </row>
        <row r="28">
          <cell r="B28">
            <v>11377</v>
          </cell>
          <cell r="C28" t="str">
            <v>MANOJ KUMAR DAS</v>
          </cell>
          <cell r="D28">
            <v>11196</v>
          </cell>
          <cell r="E28" t="str">
            <v xml:space="preserve">ELECTRICIAN </v>
          </cell>
          <cell r="F28" t="str">
            <v>Duty</v>
          </cell>
          <cell r="G28" t="str">
            <v>B</v>
          </cell>
          <cell r="H28" t="str">
            <v>A</v>
          </cell>
          <cell r="I28" t="str">
            <v>B</v>
          </cell>
          <cell r="J28" t="str">
            <v>C</v>
          </cell>
          <cell r="K28" t="str">
            <v>C</v>
          </cell>
          <cell r="L28" t="str">
            <v>B</v>
          </cell>
          <cell r="M28" t="str">
            <v>W</v>
          </cell>
          <cell r="N28" t="str">
            <v>A</v>
          </cell>
          <cell r="O28" t="str">
            <v>B</v>
          </cell>
          <cell r="P28" t="str">
            <v>B</v>
          </cell>
          <cell r="Q28" t="str">
            <v>B</v>
          </cell>
          <cell r="R28" t="str">
            <v>C</v>
          </cell>
          <cell r="S28" t="str">
            <v>C</v>
          </cell>
          <cell r="T28" t="str">
            <v>W</v>
          </cell>
          <cell r="U28" t="str">
            <v>B</v>
          </cell>
          <cell r="V28" t="str">
            <v>B</v>
          </cell>
          <cell r="W28" t="str">
            <v>B</v>
          </cell>
          <cell r="X28" t="str">
            <v>B</v>
          </cell>
          <cell r="Y28" t="str">
            <v>C</v>
          </cell>
          <cell r="Z28" t="str">
            <v>L</v>
          </cell>
          <cell r="AA28" t="str">
            <v>W</v>
          </cell>
          <cell r="AB28" t="str">
            <v>B</v>
          </cell>
          <cell r="AC28" t="str">
            <v>A</v>
          </cell>
          <cell r="AD28" t="str">
            <v>B</v>
          </cell>
          <cell r="AE28" t="str">
            <v>B</v>
          </cell>
          <cell r="AF28" t="str">
            <v>C</v>
          </cell>
          <cell r="AG28" t="str">
            <v>L</v>
          </cell>
          <cell r="AH28" t="str">
            <v>L</v>
          </cell>
          <cell r="AI28" t="str">
            <v>L</v>
          </cell>
          <cell r="AJ28" t="str">
            <v>L</v>
          </cell>
          <cell r="AK28" t="str">
            <v>L</v>
          </cell>
          <cell r="AL28">
            <v>3</v>
          </cell>
          <cell r="AM28">
            <v>13</v>
          </cell>
          <cell r="AN28">
            <v>6</v>
          </cell>
          <cell r="AO28">
            <v>0</v>
          </cell>
          <cell r="AP28">
            <v>3</v>
          </cell>
          <cell r="AQ28">
            <v>0</v>
          </cell>
          <cell r="AR28">
            <v>0</v>
          </cell>
          <cell r="AS28">
            <v>25</v>
          </cell>
        </row>
        <row r="29">
          <cell r="F29" t="str">
            <v>E.D</v>
          </cell>
        </row>
        <row r="30">
          <cell r="B30">
            <v>1</v>
          </cell>
          <cell r="C30" t="str">
            <v>BANAVATH BALAJI</v>
          </cell>
          <cell r="D30">
            <v>11229</v>
          </cell>
          <cell r="E30" t="str">
            <v xml:space="preserve">ELECTRICIAN </v>
          </cell>
          <cell r="F30" t="str">
            <v>Duty</v>
          </cell>
          <cell r="G30" t="str">
            <v>NEW JOINING</v>
          </cell>
          <cell r="H30" t="str">
            <v>G</v>
          </cell>
          <cell r="I30" t="str">
            <v>G</v>
          </cell>
          <cell r="J30" t="str">
            <v>G</v>
          </cell>
          <cell r="K30" t="str">
            <v>B</v>
          </cell>
          <cell r="L30" t="str">
            <v>A</v>
          </cell>
          <cell r="M30" t="str">
            <v>B</v>
          </cell>
          <cell r="N30" t="str">
            <v>G</v>
          </cell>
          <cell r="O30" t="str">
            <v>W</v>
          </cell>
          <cell r="P30" t="str">
            <v>C</v>
          </cell>
          <cell r="Q30" t="str">
            <v>B</v>
          </cell>
          <cell r="R30" t="str">
            <v>C</v>
          </cell>
          <cell r="S30" t="str">
            <v>C</v>
          </cell>
          <cell r="T30" t="str">
            <v>B</v>
          </cell>
          <cell r="U30" t="str">
            <v>C</v>
          </cell>
          <cell r="V30" t="str">
            <v>W</v>
          </cell>
          <cell r="W30" t="str">
            <v>L</v>
          </cell>
          <cell r="X30" t="str">
            <v>L</v>
          </cell>
          <cell r="Y30" t="str">
            <v>C</v>
          </cell>
          <cell r="Z30" t="str">
            <v>C</v>
          </cell>
          <cell r="AA30" t="str">
            <v>B</v>
          </cell>
          <cell r="AB30" t="str">
            <v>A</v>
          </cell>
          <cell r="AC30" t="str">
            <v>W</v>
          </cell>
          <cell r="AD30" t="str">
            <v>A</v>
          </cell>
          <cell r="AE30" t="str">
            <v>A</v>
          </cell>
          <cell r="AF30" t="str">
            <v>B</v>
          </cell>
          <cell r="AG30" t="str">
            <v>B</v>
          </cell>
          <cell r="AH30" t="str">
            <v>B</v>
          </cell>
          <cell r="AI30" t="str">
            <v>C</v>
          </cell>
          <cell r="AJ30" t="str">
            <v>W</v>
          </cell>
          <cell r="AK30" t="str">
            <v>G</v>
          </cell>
          <cell r="AL30">
            <v>4</v>
          </cell>
          <cell r="AM30">
            <v>8</v>
          </cell>
          <cell r="AN30">
            <v>7</v>
          </cell>
          <cell r="AO30">
            <v>5</v>
          </cell>
          <cell r="AP30">
            <v>4</v>
          </cell>
          <cell r="AQ30">
            <v>0</v>
          </cell>
          <cell r="AR30">
            <v>0</v>
          </cell>
          <cell r="AS30">
            <v>28</v>
          </cell>
        </row>
        <row r="31">
          <cell r="F31" t="str">
            <v>E.D</v>
          </cell>
        </row>
        <row r="32">
          <cell r="B32">
            <v>2</v>
          </cell>
          <cell r="C32" t="str">
            <v>GATTU BHANUTEJA</v>
          </cell>
          <cell r="D32">
            <v>11230</v>
          </cell>
          <cell r="E32" t="str">
            <v xml:space="preserve">ELECTRICIAN </v>
          </cell>
          <cell r="F32" t="str">
            <v>Duty</v>
          </cell>
          <cell r="G32" t="str">
            <v>NEW JOINING</v>
          </cell>
          <cell r="H32" t="str">
            <v>G</v>
          </cell>
          <cell r="I32" t="str">
            <v>G</v>
          </cell>
          <cell r="J32" t="str">
            <v>G</v>
          </cell>
          <cell r="K32" t="str">
            <v>C</v>
          </cell>
          <cell r="L32" t="str">
            <v>C</v>
          </cell>
          <cell r="M32" t="str">
            <v>C</v>
          </cell>
          <cell r="N32" t="str">
            <v>B</v>
          </cell>
          <cell r="O32" t="str">
            <v>W</v>
          </cell>
          <cell r="P32" t="str">
            <v>L</v>
          </cell>
          <cell r="Q32" t="str">
            <v>C</v>
          </cell>
          <cell r="R32" t="str">
            <v>B</v>
          </cell>
          <cell r="S32" t="str">
            <v>A</v>
          </cell>
          <cell r="T32" t="str">
            <v>A</v>
          </cell>
          <cell r="U32" t="str">
            <v>L</v>
          </cell>
          <cell r="V32" t="str">
            <v>W</v>
          </cell>
          <cell r="W32" t="str">
            <v>C</v>
          </cell>
          <cell r="X32" t="str">
            <v>L</v>
          </cell>
          <cell r="Y32" t="str">
            <v>A</v>
          </cell>
          <cell r="Z32" t="str">
            <v>A</v>
          </cell>
          <cell r="AA32" t="str">
            <v>A</v>
          </cell>
          <cell r="AB32" t="str">
            <v>A</v>
          </cell>
          <cell r="AC32" t="str">
            <v>C</v>
          </cell>
          <cell r="AD32" t="str">
            <v>C</v>
          </cell>
          <cell r="AE32" t="str">
            <v>A</v>
          </cell>
          <cell r="AF32" t="str">
            <v>A</v>
          </cell>
          <cell r="AG32" t="str">
            <v>A</v>
          </cell>
          <cell r="AH32" t="str">
            <v>A</v>
          </cell>
          <cell r="AI32" t="str">
            <v>B</v>
          </cell>
          <cell r="AJ32" t="str">
            <v>W</v>
          </cell>
          <cell r="AK32" t="str">
            <v>C</v>
          </cell>
          <cell r="AL32">
            <v>10</v>
          </cell>
          <cell r="AM32">
            <v>3</v>
          </cell>
          <cell r="AN32">
            <v>8</v>
          </cell>
          <cell r="AO32">
            <v>3</v>
          </cell>
          <cell r="AP32">
            <v>3</v>
          </cell>
          <cell r="AQ32">
            <v>0</v>
          </cell>
          <cell r="AR32">
            <v>0</v>
          </cell>
          <cell r="AS32">
            <v>27</v>
          </cell>
        </row>
        <row r="33">
          <cell r="F33" t="str">
            <v>E.D</v>
          </cell>
        </row>
        <row r="34">
          <cell r="B34">
            <v>3</v>
          </cell>
          <cell r="C34" t="str">
            <v>MERUPULA SANDEEP GOUD</v>
          </cell>
          <cell r="D34">
            <v>11231</v>
          </cell>
          <cell r="E34" t="str">
            <v xml:space="preserve">ELECTRICIAN </v>
          </cell>
          <cell r="F34" t="str">
            <v>Duty</v>
          </cell>
          <cell r="G34" t="str">
            <v>NEW JOINING</v>
          </cell>
          <cell r="H34" t="str">
            <v>G</v>
          </cell>
          <cell r="I34" t="str">
            <v>G</v>
          </cell>
          <cell r="J34" t="str">
            <v>A</v>
          </cell>
          <cell r="K34" t="str">
            <v>A</v>
          </cell>
          <cell r="L34" t="str">
            <v>B</v>
          </cell>
          <cell r="M34" t="str">
            <v>A</v>
          </cell>
          <cell r="N34" t="str">
            <v>C</v>
          </cell>
          <cell r="O34" t="str">
            <v>C</v>
          </cell>
          <cell r="P34" t="str">
            <v>B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W</v>
          </cell>
          <cell r="U34" t="str">
            <v>A</v>
          </cell>
          <cell r="V34" t="str">
            <v>B</v>
          </cell>
          <cell r="W34" t="str">
            <v>B</v>
          </cell>
          <cell r="X34" t="str">
            <v>A</v>
          </cell>
          <cell r="Y34" t="str">
            <v>L</v>
          </cell>
          <cell r="Z34" t="str">
            <v>B</v>
          </cell>
          <cell r="AA34" t="str">
            <v>W</v>
          </cell>
          <cell r="AB34" t="str">
            <v>B</v>
          </cell>
          <cell r="AC34" t="str">
            <v>B</v>
          </cell>
          <cell r="AD34" t="str">
            <v>A</v>
          </cell>
          <cell r="AE34" t="str">
            <v>C</v>
          </cell>
          <cell r="AF34" t="str">
            <v>C</v>
          </cell>
          <cell r="AG34" t="str">
            <v>C</v>
          </cell>
          <cell r="AH34" t="str">
            <v>W</v>
          </cell>
          <cell r="AI34" t="str">
            <v>A</v>
          </cell>
          <cell r="AJ34" t="str">
            <v>A</v>
          </cell>
          <cell r="AK34" t="str">
            <v>A</v>
          </cell>
          <cell r="AL34">
            <v>12</v>
          </cell>
          <cell r="AM34">
            <v>7</v>
          </cell>
          <cell r="AN34">
            <v>5</v>
          </cell>
          <cell r="AO34">
            <v>2</v>
          </cell>
          <cell r="AP34">
            <v>3</v>
          </cell>
          <cell r="AQ34">
            <v>0</v>
          </cell>
          <cell r="AR34">
            <v>0</v>
          </cell>
          <cell r="AS34">
            <v>29</v>
          </cell>
        </row>
        <row r="35">
          <cell r="F35" t="str">
            <v>E.D</v>
          </cell>
        </row>
        <row r="36">
          <cell r="B36">
            <v>4</v>
          </cell>
          <cell r="C36" t="str">
            <v>RAJANIKANT</v>
          </cell>
          <cell r="D36">
            <v>11232</v>
          </cell>
          <cell r="E36" t="str">
            <v xml:space="preserve">ELECTRICIAN </v>
          </cell>
          <cell r="F36" t="str">
            <v>Duty</v>
          </cell>
          <cell r="G36" t="str">
            <v>NEW JOINING</v>
          </cell>
          <cell r="J36" t="str">
            <v>G</v>
          </cell>
          <cell r="K36" t="str">
            <v>G</v>
          </cell>
          <cell r="L36" t="str">
            <v>C</v>
          </cell>
          <cell r="M36" t="str">
            <v>B</v>
          </cell>
          <cell r="N36" t="str">
            <v>G</v>
          </cell>
          <cell r="O36" t="str">
            <v>W</v>
          </cell>
          <cell r="P36" t="str">
            <v>A</v>
          </cell>
          <cell r="Q36" t="str">
            <v>A</v>
          </cell>
          <cell r="R36" t="str">
            <v>B</v>
          </cell>
          <cell r="S36" t="str">
            <v>B</v>
          </cell>
          <cell r="T36" t="str">
            <v>L</v>
          </cell>
          <cell r="U36" t="str">
            <v>L</v>
          </cell>
          <cell r="V36" t="str">
            <v>L</v>
          </cell>
          <cell r="W36" t="str">
            <v>L</v>
          </cell>
          <cell r="X36" t="str">
            <v>L</v>
          </cell>
          <cell r="Y36" t="str">
            <v>L</v>
          </cell>
          <cell r="Z36" t="str">
            <v>L</v>
          </cell>
          <cell r="AA36" t="str">
            <v>L</v>
          </cell>
          <cell r="AB36" t="str">
            <v>L</v>
          </cell>
          <cell r="AC36" t="str">
            <v>L</v>
          </cell>
          <cell r="AD36" t="str">
            <v>L</v>
          </cell>
          <cell r="AE36" t="str">
            <v>L</v>
          </cell>
          <cell r="AF36" t="str">
            <v>L</v>
          </cell>
          <cell r="AG36" t="str">
            <v>L</v>
          </cell>
          <cell r="AH36" t="str">
            <v>L</v>
          </cell>
          <cell r="AI36" t="str">
            <v>L</v>
          </cell>
          <cell r="AJ36" t="str">
            <v>L</v>
          </cell>
          <cell r="AK36" t="str">
            <v>L</v>
          </cell>
          <cell r="AL36">
            <v>2</v>
          </cell>
          <cell r="AM36">
            <v>3</v>
          </cell>
          <cell r="AN36">
            <v>1</v>
          </cell>
          <cell r="AO36">
            <v>3</v>
          </cell>
          <cell r="AP36">
            <v>1</v>
          </cell>
          <cell r="AQ36">
            <v>0</v>
          </cell>
          <cell r="AR36">
            <v>0</v>
          </cell>
          <cell r="AS36">
            <v>10</v>
          </cell>
        </row>
        <row r="37">
          <cell r="F37" t="str">
            <v>E.D</v>
          </cell>
        </row>
        <row r="38">
          <cell r="B38">
            <v>5</v>
          </cell>
          <cell r="C38" t="str">
            <v>ALOKA MUDULI</v>
          </cell>
          <cell r="D38">
            <v>11233</v>
          </cell>
          <cell r="E38" t="str">
            <v xml:space="preserve">ELECTRICIAN </v>
          </cell>
          <cell r="F38" t="str">
            <v>Duty</v>
          </cell>
          <cell r="G38" t="str">
            <v>NEW JOINING</v>
          </cell>
          <cell r="J38" t="str">
            <v>G</v>
          </cell>
          <cell r="K38" t="str">
            <v>G</v>
          </cell>
          <cell r="L38" t="str">
            <v>G</v>
          </cell>
          <cell r="M38" t="str">
            <v>G</v>
          </cell>
          <cell r="N38" t="str">
            <v>C</v>
          </cell>
          <cell r="O38" t="str">
            <v>B</v>
          </cell>
          <cell r="P38" t="str">
            <v>A</v>
          </cell>
          <cell r="Q38" t="str">
            <v>G</v>
          </cell>
          <cell r="R38" t="str">
            <v>G</v>
          </cell>
          <cell r="S38" t="str">
            <v>B</v>
          </cell>
          <cell r="T38" t="str">
            <v>C</v>
          </cell>
          <cell r="U38" t="str">
            <v>C</v>
          </cell>
          <cell r="V38" t="str">
            <v>W</v>
          </cell>
          <cell r="W38" t="str">
            <v>G</v>
          </cell>
          <cell r="X38" t="str">
            <v>G</v>
          </cell>
          <cell r="Y38" t="str">
            <v>G</v>
          </cell>
          <cell r="Z38" t="str">
            <v>G</v>
          </cell>
          <cell r="AA38" t="str">
            <v>B</v>
          </cell>
          <cell r="AB38" t="str">
            <v>C</v>
          </cell>
          <cell r="AC38" t="str">
            <v>W</v>
          </cell>
          <cell r="AD38" t="str">
            <v>B</v>
          </cell>
          <cell r="AE38" t="str">
            <v>B</v>
          </cell>
          <cell r="AF38" t="str">
            <v>A</v>
          </cell>
          <cell r="AG38" t="str">
            <v>A</v>
          </cell>
          <cell r="AH38" t="str">
            <v>C</v>
          </cell>
          <cell r="AI38" t="str">
            <v>B</v>
          </cell>
          <cell r="AJ38" t="str">
            <v>W</v>
          </cell>
          <cell r="AK38" t="str">
            <v>B</v>
          </cell>
          <cell r="AL38">
            <v>3</v>
          </cell>
          <cell r="AM38">
            <v>7</v>
          </cell>
          <cell r="AN38">
            <v>5</v>
          </cell>
          <cell r="AO38">
            <v>10</v>
          </cell>
          <cell r="AP38">
            <v>3</v>
          </cell>
          <cell r="AQ38">
            <v>0</v>
          </cell>
          <cell r="AR38">
            <v>0</v>
          </cell>
          <cell r="AS38">
            <v>28</v>
          </cell>
        </row>
        <row r="39">
          <cell r="F39" t="str">
            <v>E.D</v>
          </cell>
        </row>
        <row r="40">
          <cell r="B40">
            <v>6</v>
          </cell>
          <cell r="C40" t="str">
            <v>MD Saleem</v>
          </cell>
          <cell r="D40">
            <v>11237</v>
          </cell>
          <cell r="E40" t="str">
            <v xml:space="preserve">ELECTRICIAN </v>
          </cell>
          <cell r="F40" t="str">
            <v>Duty</v>
          </cell>
          <cell r="G40" t="str">
            <v>NEW JOINING</v>
          </cell>
          <cell r="M40" t="str">
            <v>G</v>
          </cell>
          <cell r="N40" t="str">
            <v>G</v>
          </cell>
          <cell r="O40" t="str">
            <v>G</v>
          </cell>
          <cell r="P40" t="str">
            <v>G</v>
          </cell>
          <cell r="Q40" t="str">
            <v>A</v>
          </cell>
          <cell r="R40" t="str">
            <v>G</v>
          </cell>
          <cell r="S40" t="str">
            <v>G</v>
          </cell>
          <cell r="T40" t="str">
            <v>G</v>
          </cell>
          <cell r="U40" t="str">
            <v>A</v>
          </cell>
          <cell r="V40" t="str">
            <v>C</v>
          </cell>
          <cell r="W40" t="str">
            <v>W</v>
          </cell>
          <cell r="X40" t="str">
            <v>B</v>
          </cell>
          <cell r="Y40" t="str">
            <v>B</v>
          </cell>
          <cell r="Z40" t="str">
            <v>L</v>
          </cell>
          <cell r="AA40" t="str">
            <v>L</v>
          </cell>
          <cell r="AB40" t="str">
            <v>C</v>
          </cell>
          <cell r="AC40" t="str">
            <v>C</v>
          </cell>
          <cell r="AD40" t="str">
            <v>W</v>
          </cell>
          <cell r="AE40" t="str">
            <v>A</v>
          </cell>
          <cell r="AF40" t="str">
            <v>G</v>
          </cell>
          <cell r="AG40" t="str">
            <v>G</v>
          </cell>
          <cell r="AH40" t="str">
            <v>A</v>
          </cell>
          <cell r="AI40" t="str">
            <v>C</v>
          </cell>
          <cell r="AJ40" t="str">
            <v>C</v>
          </cell>
          <cell r="AK40" t="str">
            <v>W</v>
          </cell>
          <cell r="AL40">
            <v>4</v>
          </cell>
          <cell r="AM40">
            <v>2</v>
          </cell>
          <cell r="AN40">
            <v>5</v>
          </cell>
          <cell r="AO40">
            <v>9</v>
          </cell>
          <cell r="AP40">
            <v>3</v>
          </cell>
          <cell r="AQ40">
            <v>0</v>
          </cell>
          <cell r="AR40">
            <v>0</v>
          </cell>
          <cell r="AS40">
            <v>23</v>
          </cell>
        </row>
        <row r="41">
          <cell r="F41" t="str">
            <v>E.D</v>
          </cell>
        </row>
        <row r="42">
          <cell r="B42">
            <v>7</v>
          </cell>
          <cell r="C42" t="str">
            <v>Shaik Shaheed</v>
          </cell>
          <cell r="D42">
            <v>11238</v>
          </cell>
          <cell r="E42" t="str">
            <v xml:space="preserve">ELECTRICIAN </v>
          </cell>
          <cell r="F42" t="str">
            <v>Duty</v>
          </cell>
          <cell r="G42" t="str">
            <v>NEW JOINING</v>
          </cell>
          <cell r="M42" t="str">
            <v>G</v>
          </cell>
          <cell r="N42" t="str">
            <v>G</v>
          </cell>
          <cell r="O42" t="str">
            <v>G</v>
          </cell>
          <cell r="P42" t="str">
            <v>G</v>
          </cell>
          <cell r="Q42" t="str">
            <v>G</v>
          </cell>
          <cell r="R42" t="str">
            <v>G</v>
          </cell>
          <cell r="S42" t="str">
            <v>L</v>
          </cell>
          <cell r="T42" t="str">
            <v>W</v>
          </cell>
          <cell r="U42" t="str">
            <v>G</v>
          </cell>
          <cell r="V42" t="str">
            <v>G</v>
          </cell>
          <cell r="W42" t="str">
            <v>G</v>
          </cell>
          <cell r="X42" t="str">
            <v>G</v>
          </cell>
          <cell r="Y42" t="str">
            <v>G</v>
          </cell>
          <cell r="Z42" t="str">
            <v>C</v>
          </cell>
          <cell r="AA42" t="str">
            <v>W</v>
          </cell>
          <cell r="AB42" t="str">
            <v>G</v>
          </cell>
          <cell r="AC42" t="str">
            <v>G</v>
          </cell>
          <cell r="AD42" t="str">
            <v>G</v>
          </cell>
          <cell r="AE42" t="str">
            <v>A</v>
          </cell>
          <cell r="AF42" t="str">
            <v>C</v>
          </cell>
          <cell r="AG42" t="str">
            <v>C</v>
          </cell>
          <cell r="AH42" t="str">
            <v>W</v>
          </cell>
          <cell r="AI42" t="str">
            <v>G</v>
          </cell>
          <cell r="AJ42" t="str">
            <v>G</v>
          </cell>
          <cell r="AK42" t="str">
            <v>B</v>
          </cell>
          <cell r="AL42">
            <v>1</v>
          </cell>
          <cell r="AM42">
            <v>1</v>
          </cell>
          <cell r="AN42">
            <v>3</v>
          </cell>
          <cell r="AO42">
            <v>16</v>
          </cell>
          <cell r="AP42">
            <v>3</v>
          </cell>
          <cell r="AQ42">
            <v>0</v>
          </cell>
          <cell r="AR42">
            <v>0</v>
          </cell>
          <cell r="AS42">
            <v>24</v>
          </cell>
        </row>
        <row r="43">
          <cell r="F43" t="str">
            <v>E.D</v>
          </cell>
        </row>
        <row r="44">
          <cell r="B44">
            <v>11958</v>
          </cell>
          <cell r="C44" t="str">
            <v>MANGA PRATAP KUMAR</v>
          </cell>
          <cell r="D44">
            <v>11224</v>
          </cell>
          <cell r="E44" t="str">
            <v xml:space="preserve">ELECTRICIAN </v>
          </cell>
          <cell r="F44" t="str">
            <v>Duty</v>
          </cell>
          <cell r="G44" t="str">
            <v>L</v>
          </cell>
          <cell r="H44" t="str">
            <v>L</v>
          </cell>
          <cell r="I44" t="str">
            <v>L</v>
          </cell>
          <cell r="J44" t="str">
            <v>L</v>
          </cell>
          <cell r="K44" t="str">
            <v>L</v>
          </cell>
          <cell r="L44" t="str">
            <v>L</v>
          </cell>
          <cell r="M44" t="str">
            <v>L</v>
          </cell>
          <cell r="N44" t="str">
            <v>L</v>
          </cell>
          <cell r="O44" t="str">
            <v>C</v>
          </cell>
          <cell r="P44" t="str">
            <v>C</v>
          </cell>
          <cell r="Q44" t="str">
            <v>B</v>
          </cell>
          <cell r="R44" t="str">
            <v>A</v>
          </cell>
          <cell r="S44" t="str">
            <v>W</v>
          </cell>
          <cell r="T44" t="str">
            <v>B</v>
          </cell>
          <cell r="U44" t="str">
            <v>L</v>
          </cell>
          <cell r="V44" t="str">
            <v>L</v>
          </cell>
          <cell r="W44" t="str">
            <v>L</v>
          </cell>
          <cell r="X44" t="str">
            <v>L</v>
          </cell>
          <cell r="Y44" t="str">
            <v>L</v>
          </cell>
          <cell r="Z44" t="str">
            <v>L</v>
          </cell>
          <cell r="AA44" t="str">
            <v>L</v>
          </cell>
          <cell r="AB44" t="str">
            <v>L</v>
          </cell>
          <cell r="AC44" t="str">
            <v>L</v>
          </cell>
          <cell r="AD44" t="str">
            <v>L</v>
          </cell>
          <cell r="AE44" t="str">
            <v>L</v>
          </cell>
          <cell r="AF44" t="str">
            <v>L</v>
          </cell>
          <cell r="AG44" t="str">
            <v>L</v>
          </cell>
          <cell r="AH44" t="str">
            <v>L</v>
          </cell>
          <cell r="AI44" t="str">
            <v>L</v>
          </cell>
          <cell r="AJ44" t="str">
            <v>L</v>
          </cell>
          <cell r="AK44" t="str">
            <v>L</v>
          </cell>
          <cell r="AL44">
            <v>1</v>
          </cell>
          <cell r="AM44">
            <v>2</v>
          </cell>
          <cell r="AN44">
            <v>2</v>
          </cell>
          <cell r="AO44">
            <v>0</v>
          </cell>
          <cell r="AP44">
            <v>1</v>
          </cell>
          <cell r="AQ44">
            <v>0</v>
          </cell>
          <cell r="AR44">
            <v>0</v>
          </cell>
          <cell r="AS44">
            <v>6</v>
          </cell>
        </row>
        <row r="45">
          <cell r="F45" t="str">
            <v>E.D</v>
          </cell>
        </row>
        <row r="46">
          <cell r="B46">
            <v>8</v>
          </cell>
          <cell r="C46" t="str">
            <v>KAZIPETA RAVI KIRAN</v>
          </cell>
          <cell r="D46">
            <v>11239</v>
          </cell>
          <cell r="E46" t="str">
            <v xml:space="preserve">ELECTRICIAN </v>
          </cell>
          <cell r="F46" t="str">
            <v>Duty</v>
          </cell>
          <cell r="G46" t="str">
            <v>NEW JOINING</v>
          </cell>
          <cell r="AA46" t="str">
            <v>G</v>
          </cell>
          <cell r="AB46" t="str">
            <v>G</v>
          </cell>
          <cell r="AC46" t="str">
            <v>G</v>
          </cell>
          <cell r="AD46" t="str">
            <v>G</v>
          </cell>
          <cell r="AE46" t="str">
            <v>G</v>
          </cell>
          <cell r="AF46" t="str">
            <v>L</v>
          </cell>
          <cell r="AG46" t="str">
            <v>G</v>
          </cell>
          <cell r="AH46" t="str">
            <v>G</v>
          </cell>
          <cell r="AI46" t="str">
            <v>G</v>
          </cell>
          <cell r="AJ46" t="str">
            <v>G</v>
          </cell>
          <cell r="AK46" t="str">
            <v>G</v>
          </cell>
          <cell r="AL46">
            <v>0</v>
          </cell>
          <cell r="AM46">
            <v>0</v>
          </cell>
          <cell r="AN46">
            <v>0</v>
          </cell>
          <cell r="AO46">
            <v>10</v>
          </cell>
          <cell r="AP46">
            <v>0</v>
          </cell>
          <cell r="AQ46">
            <v>0</v>
          </cell>
          <cell r="AR46">
            <v>0</v>
          </cell>
          <cell r="AS46">
            <v>10</v>
          </cell>
        </row>
        <row r="47">
          <cell r="F47" t="str">
            <v>E.D</v>
          </cell>
        </row>
        <row r="48">
          <cell r="B48">
            <v>10991</v>
          </cell>
          <cell r="C48" t="str">
            <v>JOGENDRA SETHI</v>
          </cell>
          <cell r="D48">
            <v>10338</v>
          </cell>
          <cell r="E48" t="str">
            <v>HVAC OPERATOR</v>
          </cell>
          <cell r="F48" t="str">
            <v>Duty</v>
          </cell>
          <cell r="G48" t="str">
            <v>W</v>
          </cell>
          <cell r="H48" t="str">
            <v>A</v>
          </cell>
          <cell r="I48" t="str">
            <v>A</v>
          </cell>
          <cell r="J48" t="str">
            <v>G</v>
          </cell>
          <cell r="K48" t="str">
            <v>A</v>
          </cell>
          <cell r="L48" t="str">
            <v>C</v>
          </cell>
          <cell r="M48" t="str">
            <v>C</v>
          </cell>
          <cell r="N48" t="str">
            <v>W</v>
          </cell>
          <cell r="O48" t="str">
            <v>A</v>
          </cell>
          <cell r="P48" t="str">
            <v>A</v>
          </cell>
          <cell r="Q48" t="str">
            <v>G</v>
          </cell>
          <cell r="R48" t="str">
            <v>B</v>
          </cell>
          <cell r="S48" t="str">
            <v>C</v>
          </cell>
          <cell r="T48" t="str">
            <v>C</v>
          </cell>
          <cell r="U48" t="str">
            <v>W</v>
          </cell>
          <cell r="V48" t="str">
            <v>A</v>
          </cell>
          <cell r="W48" t="str">
            <v>A</v>
          </cell>
          <cell r="X48" t="str">
            <v>G</v>
          </cell>
          <cell r="Y48" t="str">
            <v>B</v>
          </cell>
          <cell r="Z48" t="str">
            <v>C</v>
          </cell>
          <cell r="AA48" t="str">
            <v>C</v>
          </cell>
          <cell r="AB48" t="str">
            <v>W</v>
          </cell>
          <cell r="AC48" t="str">
            <v>A</v>
          </cell>
          <cell r="AD48" t="str">
            <v>A</v>
          </cell>
          <cell r="AE48" t="str">
            <v>G</v>
          </cell>
          <cell r="AF48" t="str">
            <v>B</v>
          </cell>
          <cell r="AG48" t="str">
            <v>C</v>
          </cell>
          <cell r="AH48" t="str">
            <v>C</v>
          </cell>
          <cell r="AI48" t="str">
            <v>W</v>
          </cell>
          <cell r="AJ48" t="str">
            <v>A</v>
          </cell>
          <cell r="AK48" t="str">
            <v>A</v>
          </cell>
          <cell r="AL48">
            <v>11</v>
          </cell>
          <cell r="AM48">
            <v>3</v>
          </cell>
          <cell r="AN48">
            <v>8</v>
          </cell>
          <cell r="AO48">
            <v>4</v>
          </cell>
          <cell r="AP48">
            <v>5</v>
          </cell>
          <cell r="AQ48">
            <v>0</v>
          </cell>
          <cell r="AR48">
            <v>0</v>
          </cell>
          <cell r="AS48">
            <v>31</v>
          </cell>
        </row>
        <row r="49">
          <cell r="F49" t="str">
            <v>E.D</v>
          </cell>
        </row>
        <row r="50">
          <cell r="B50">
            <v>11476</v>
          </cell>
          <cell r="C50" t="str">
            <v>HARISH KHAN</v>
          </cell>
          <cell r="D50">
            <v>11166</v>
          </cell>
          <cell r="E50" t="str">
            <v>HVAC OPERATOR</v>
          </cell>
          <cell r="F50" t="str">
            <v>Duty</v>
          </cell>
          <cell r="G50" t="str">
            <v>L</v>
          </cell>
          <cell r="H50" t="str">
            <v>L</v>
          </cell>
          <cell r="I50" t="str">
            <v>L</v>
          </cell>
          <cell r="J50" t="str">
            <v>L</v>
          </cell>
          <cell r="K50" t="str">
            <v>L</v>
          </cell>
          <cell r="L50" t="str">
            <v>L</v>
          </cell>
          <cell r="M50" t="str">
            <v>L</v>
          </cell>
          <cell r="N50" t="str">
            <v>L</v>
          </cell>
          <cell r="O50" t="str">
            <v>B</v>
          </cell>
          <cell r="P50" t="str">
            <v>C</v>
          </cell>
          <cell r="Q50" t="str">
            <v>B</v>
          </cell>
          <cell r="R50" t="str">
            <v>W</v>
          </cell>
          <cell r="S50" t="str">
            <v>A</v>
          </cell>
          <cell r="T50" t="str">
            <v>A</v>
          </cell>
          <cell r="U50" t="str">
            <v>B</v>
          </cell>
          <cell r="V50" t="str">
            <v>B</v>
          </cell>
          <cell r="W50" t="str">
            <v>B</v>
          </cell>
          <cell r="X50" t="str">
            <v>B</v>
          </cell>
          <cell r="Y50" t="str">
            <v>W</v>
          </cell>
          <cell r="Z50" t="str">
            <v>A</v>
          </cell>
          <cell r="AA50" t="str">
            <v>A</v>
          </cell>
          <cell r="AB50" t="str">
            <v>B</v>
          </cell>
          <cell r="AC50" t="str">
            <v>B</v>
          </cell>
          <cell r="AD50" t="str">
            <v>C</v>
          </cell>
          <cell r="AE50" t="str">
            <v>B</v>
          </cell>
          <cell r="AF50" t="str">
            <v>W</v>
          </cell>
          <cell r="AG50" t="str">
            <v>A</v>
          </cell>
          <cell r="AH50" t="str">
            <v>B</v>
          </cell>
          <cell r="AI50" t="str">
            <v>B</v>
          </cell>
          <cell r="AJ50" t="str">
            <v>B</v>
          </cell>
          <cell r="AK50" t="str">
            <v>C</v>
          </cell>
          <cell r="AL50">
            <v>5</v>
          </cell>
          <cell r="AM50">
            <v>12</v>
          </cell>
          <cell r="AN50">
            <v>3</v>
          </cell>
          <cell r="AO50">
            <v>0</v>
          </cell>
          <cell r="AP50">
            <v>3</v>
          </cell>
          <cell r="AQ50">
            <v>0</v>
          </cell>
          <cell r="AR50">
            <v>0</v>
          </cell>
          <cell r="AS50">
            <v>23</v>
          </cell>
        </row>
        <row r="51">
          <cell r="F51" t="str">
            <v>E.D</v>
          </cell>
        </row>
        <row r="52">
          <cell r="B52">
            <v>11862</v>
          </cell>
          <cell r="C52" t="str">
            <v>MOHAMAD REHAN RAJE</v>
          </cell>
          <cell r="D52">
            <v>11209</v>
          </cell>
          <cell r="E52" t="str">
            <v>HVAC OPERATOR</v>
          </cell>
          <cell r="F52" t="str">
            <v>Duty</v>
          </cell>
          <cell r="G52" t="str">
            <v>C</v>
          </cell>
          <cell r="H52" t="str">
            <v>C</v>
          </cell>
          <cell r="I52" t="str">
            <v>W</v>
          </cell>
          <cell r="J52" t="str">
            <v>A</v>
          </cell>
          <cell r="K52" t="str">
            <v>B</v>
          </cell>
          <cell r="L52" t="str">
            <v>A</v>
          </cell>
          <cell r="M52" t="str">
            <v>A</v>
          </cell>
          <cell r="N52" t="str">
            <v>C</v>
          </cell>
          <cell r="O52" t="str">
            <v>C</v>
          </cell>
          <cell r="P52" t="str">
            <v>W</v>
          </cell>
          <cell r="Q52" t="str">
            <v>A</v>
          </cell>
          <cell r="R52" t="str">
            <v>A</v>
          </cell>
          <cell r="S52" t="str">
            <v>B</v>
          </cell>
          <cell r="T52" t="str">
            <v>B</v>
          </cell>
          <cell r="U52" t="str">
            <v>C</v>
          </cell>
          <cell r="V52" t="str">
            <v>C</v>
          </cell>
          <cell r="W52" t="str">
            <v>W</v>
          </cell>
          <cell r="X52" t="str">
            <v>A</v>
          </cell>
          <cell r="Y52" t="str">
            <v>A</v>
          </cell>
          <cell r="Z52" t="str">
            <v>L</v>
          </cell>
          <cell r="AA52" t="str">
            <v>B</v>
          </cell>
          <cell r="AB52" t="str">
            <v>C</v>
          </cell>
          <cell r="AC52" t="str">
            <v>C</v>
          </cell>
          <cell r="AD52" t="str">
            <v>W</v>
          </cell>
          <cell r="AE52" t="str">
            <v>A</v>
          </cell>
          <cell r="AF52" t="str">
            <v>A</v>
          </cell>
          <cell r="AG52" t="str">
            <v>G</v>
          </cell>
          <cell r="AH52" t="str">
            <v>A</v>
          </cell>
          <cell r="AI52" t="str">
            <v>C</v>
          </cell>
          <cell r="AJ52" t="str">
            <v>C</v>
          </cell>
          <cell r="AK52" t="str">
            <v>W</v>
          </cell>
          <cell r="AL52">
            <v>10</v>
          </cell>
          <cell r="AM52">
            <v>4</v>
          </cell>
          <cell r="AN52">
            <v>10</v>
          </cell>
          <cell r="AO52">
            <v>1</v>
          </cell>
          <cell r="AP52">
            <v>5</v>
          </cell>
          <cell r="AQ52">
            <v>0</v>
          </cell>
          <cell r="AR52">
            <v>0</v>
          </cell>
          <cell r="AS52">
            <v>30</v>
          </cell>
        </row>
        <row r="53">
          <cell r="F53" t="str">
            <v>E.D</v>
          </cell>
        </row>
        <row r="54">
          <cell r="B54">
            <v>11749</v>
          </cell>
          <cell r="C54" t="str">
            <v>SAJID HUSAIN</v>
          </cell>
          <cell r="D54">
            <v>11201</v>
          </cell>
          <cell r="E54" t="str">
            <v>HVAC OPERATOR</v>
          </cell>
          <cell r="F54" t="str">
            <v>Duty</v>
          </cell>
          <cell r="G54" t="str">
            <v>B</v>
          </cell>
          <cell r="H54" t="str">
            <v>B</v>
          </cell>
          <cell r="I54" t="str">
            <v>B</v>
          </cell>
          <cell r="J54" t="str">
            <v>C</v>
          </cell>
          <cell r="K54" t="str">
            <v>C</v>
          </cell>
          <cell r="L54" t="str">
            <v>B</v>
          </cell>
          <cell r="M54" t="str">
            <v>W</v>
          </cell>
          <cell r="N54" t="str">
            <v>B</v>
          </cell>
          <cell r="O54" t="str">
            <v>B</v>
          </cell>
          <cell r="P54" t="str">
            <v>B</v>
          </cell>
          <cell r="Q54" t="str">
            <v>C</v>
          </cell>
          <cell r="R54" t="str">
            <v>C</v>
          </cell>
          <cell r="S54" t="str">
            <v>B</v>
          </cell>
          <cell r="T54" t="str">
            <v>W</v>
          </cell>
          <cell r="U54" t="str">
            <v>A</v>
          </cell>
          <cell r="V54" t="str">
            <v>B</v>
          </cell>
          <cell r="W54" t="str">
            <v>C</v>
          </cell>
          <cell r="X54" t="str">
            <v>C</v>
          </cell>
          <cell r="Y54" t="str">
            <v>C</v>
          </cell>
          <cell r="Z54" t="str">
            <v>B</v>
          </cell>
          <cell r="AA54" t="str">
            <v>W</v>
          </cell>
          <cell r="AB54" t="str">
            <v>A</v>
          </cell>
          <cell r="AC54" t="str">
            <v>B</v>
          </cell>
          <cell r="AD54" t="str">
            <v>B</v>
          </cell>
          <cell r="AE54" t="str">
            <v>C</v>
          </cell>
          <cell r="AF54" t="str">
            <v>C</v>
          </cell>
          <cell r="AG54" t="str">
            <v>B</v>
          </cell>
          <cell r="AH54" t="str">
            <v>W</v>
          </cell>
          <cell r="AI54" t="str">
            <v>A</v>
          </cell>
          <cell r="AJ54" t="str">
            <v>A</v>
          </cell>
          <cell r="AK54" t="str">
            <v>A</v>
          </cell>
          <cell r="AL54">
            <v>5</v>
          </cell>
          <cell r="AM54">
            <v>13</v>
          </cell>
          <cell r="AN54">
            <v>9</v>
          </cell>
          <cell r="AO54">
            <v>0</v>
          </cell>
          <cell r="AP54">
            <v>4</v>
          </cell>
          <cell r="AQ54">
            <v>0</v>
          </cell>
          <cell r="AR54">
            <v>0</v>
          </cell>
          <cell r="AS54">
            <v>31</v>
          </cell>
        </row>
        <row r="55">
          <cell r="F55" t="str">
            <v>E.D</v>
          </cell>
        </row>
        <row r="56">
          <cell r="B56">
            <v>11954</v>
          </cell>
          <cell r="C56" t="str">
            <v>AKASHSHA</v>
          </cell>
          <cell r="D56">
            <v>11214</v>
          </cell>
          <cell r="E56" t="str">
            <v>HVAC OPERATOR</v>
          </cell>
          <cell r="F56" t="str">
            <v>Duty</v>
          </cell>
          <cell r="G56" t="str">
            <v>A</v>
          </cell>
          <cell r="H56" t="str">
            <v>W</v>
          </cell>
          <cell r="I56" t="str">
            <v>C</v>
          </cell>
          <cell r="J56" t="str">
            <v>B</v>
          </cell>
          <cell r="K56" t="str">
            <v>B</v>
          </cell>
          <cell r="L56" t="str">
            <v>B</v>
          </cell>
          <cell r="M56" t="str">
            <v>B</v>
          </cell>
          <cell r="N56" t="str">
            <v>A</v>
          </cell>
          <cell r="O56" t="str">
            <v>W</v>
          </cell>
          <cell r="P56" t="str">
            <v>B</v>
          </cell>
          <cell r="Q56" t="str">
            <v>B</v>
          </cell>
          <cell r="R56" t="str">
            <v>B</v>
          </cell>
          <cell r="S56" t="str">
            <v>A</v>
          </cell>
          <cell r="T56" t="str">
            <v>A</v>
          </cell>
          <cell r="U56" t="str">
            <v>A</v>
          </cell>
          <cell r="V56" t="str">
            <v>W</v>
          </cell>
          <cell r="W56" t="str">
            <v>B</v>
          </cell>
          <cell r="X56" t="str">
            <v>B</v>
          </cell>
          <cell r="Y56" t="str">
            <v>B</v>
          </cell>
          <cell r="Z56" t="str">
            <v>B</v>
          </cell>
          <cell r="AA56" t="str">
            <v>B</v>
          </cell>
          <cell r="AB56" t="str">
            <v>L</v>
          </cell>
          <cell r="AC56" t="str">
            <v>W</v>
          </cell>
          <cell r="AD56" t="str">
            <v>B</v>
          </cell>
          <cell r="AE56" t="str">
            <v>B</v>
          </cell>
          <cell r="AF56" t="str">
            <v>B</v>
          </cell>
          <cell r="AG56" t="str">
            <v>B</v>
          </cell>
          <cell r="AH56" t="str">
            <v>A</v>
          </cell>
          <cell r="AI56" t="str">
            <v>A</v>
          </cell>
          <cell r="AJ56" t="str">
            <v>W</v>
          </cell>
          <cell r="AK56" t="str">
            <v>B</v>
          </cell>
          <cell r="AL56">
            <v>7</v>
          </cell>
          <cell r="AM56">
            <v>17</v>
          </cell>
          <cell r="AN56">
            <v>1</v>
          </cell>
          <cell r="AO56">
            <v>0</v>
          </cell>
          <cell r="AP56">
            <v>5</v>
          </cell>
          <cell r="AQ56">
            <v>0</v>
          </cell>
          <cell r="AR56">
            <v>0</v>
          </cell>
          <cell r="AS56">
            <v>30</v>
          </cell>
        </row>
        <row r="57">
          <cell r="F57" t="str">
            <v>E.D</v>
          </cell>
        </row>
        <row r="58">
          <cell r="B58">
            <v>12035</v>
          </cell>
          <cell r="C58" t="str">
            <v>SAMAR QUDIR</v>
          </cell>
          <cell r="D58">
            <v>11222</v>
          </cell>
          <cell r="E58" t="str">
            <v>HVAC OPERATOR</v>
          </cell>
          <cell r="F58" t="str">
            <v>Duty</v>
          </cell>
          <cell r="G58" t="str">
            <v>G</v>
          </cell>
          <cell r="H58" t="str">
            <v>G</v>
          </cell>
          <cell r="I58" t="str">
            <v>C</v>
          </cell>
          <cell r="J58" t="str">
            <v>W</v>
          </cell>
          <cell r="K58" t="str">
            <v>G</v>
          </cell>
          <cell r="L58" t="str">
            <v>G</v>
          </cell>
          <cell r="M58" t="str">
            <v>B</v>
          </cell>
          <cell r="N58" t="str">
            <v>A</v>
          </cell>
          <cell r="O58" t="str">
            <v>C</v>
          </cell>
          <cell r="P58" t="str">
            <v>C</v>
          </cell>
          <cell r="Q58" t="str">
            <v>W</v>
          </cell>
          <cell r="R58" t="str">
            <v>B</v>
          </cell>
          <cell r="S58" t="str">
            <v>G</v>
          </cell>
          <cell r="T58" t="str">
            <v>G</v>
          </cell>
          <cell r="U58" t="str">
            <v>B</v>
          </cell>
          <cell r="V58" t="str">
            <v>C</v>
          </cell>
          <cell r="W58" t="str">
            <v>C</v>
          </cell>
          <cell r="X58" t="str">
            <v>W</v>
          </cell>
          <cell r="Y58" t="str">
            <v>A</v>
          </cell>
          <cell r="Z58" t="str">
            <v>A</v>
          </cell>
          <cell r="AA58" t="str">
            <v>A</v>
          </cell>
          <cell r="AB58" t="str">
            <v>A</v>
          </cell>
          <cell r="AC58" t="str">
            <v>C</v>
          </cell>
          <cell r="AD58" t="str">
            <v>C</v>
          </cell>
          <cell r="AE58" t="str">
            <v>W</v>
          </cell>
          <cell r="AF58" t="str">
            <v>A</v>
          </cell>
          <cell r="AG58" t="str">
            <v>A</v>
          </cell>
          <cell r="AH58" t="str">
            <v>B</v>
          </cell>
          <cell r="AI58" t="str">
            <v>B</v>
          </cell>
          <cell r="AJ58" t="str">
            <v>C</v>
          </cell>
          <cell r="AK58" t="str">
            <v>C</v>
          </cell>
          <cell r="AL58">
            <v>7</v>
          </cell>
          <cell r="AM58">
            <v>5</v>
          </cell>
          <cell r="AN58">
            <v>9</v>
          </cell>
          <cell r="AO58">
            <v>6</v>
          </cell>
          <cell r="AP58">
            <v>4</v>
          </cell>
          <cell r="AQ58">
            <v>0</v>
          </cell>
          <cell r="AR58">
            <v>0</v>
          </cell>
          <cell r="AS58">
            <v>31</v>
          </cell>
        </row>
        <row r="59">
          <cell r="F59" t="str">
            <v>E.D</v>
          </cell>
        </row>
        <row r="60">
          <cell r="B60">
            <v>11558</v>
          </cell>
          <cell r="C60" t="str">
            <v>CHANDRA PRAKASH MOHANTY</v>
          </cell>
          <cell r="D60">
            <v>11185</v>
          </cell>
          <cell r="E60" t="str">
            <v>HVAC OPERATOR</v>
          </cell>
          <cell r="F60" t="str">
            <v>Duty</v>
          </cell>
          <cell r="AI60" t="str">
            <v>G</v>
          </cell>
          <cell r="AJ60" t="str">
            <v>B</v>
          </cell>
          <cell r="AK60" t="str">
            <v>B</v>
          </cell>
          <cell r="AL60">
            <v>0</v>
          </cell>
          <cell r="AM60">
            <v>2</v>
          </cell>
          <cell r="AN60">
            <v>0</v>
          </cell>
          <cell r="AO60">
            <v>1</v>
          </cell>
          <cell r="AP60">
            <v>0</v>
          </cell>
          <cell r="AQ60">
            <v>0</v>
          </cell>
          <cell r="AR60">
            <v>0</v>
          </cell>
          <cell r="AS60">
            <v>3</v>
          </cell>
        </row>
        <row r="61">
          <cell r="F61" t="str">
            <v>E.D</v>
          </cell>
        </row>
        <row r="62">
          <cell r="B62">
            <v>9</v>
          </cell>
          <cell r="C62" t="str">
            <v>MURALI KRUSHNA</v>
          </cell>
          <cell r="D62">
            <v>11235</v>
          </cell>
          <cell r="E62" t="str">
            <v>HVAC OPERATOR</v>
          </cell>
          <cell r="F62" t="str">
            <v>Duty</v>
          </cell>
          <cell r="G62" t="str">
            <v>NEW JOINING</v>
          </cell>
          <cell r="L62" t="str">
            <v>G</v>
          </cell>
          <cell r="M62" t="str">
            <v>G</v>
          </cell>
          <cell r="N62" t="str">
            <v>G</v>
          </cell>
          <cell r="O62" t="str">
            <v>G</v>
          </cell>
          <cell r="P62" t="str">
            <v>G</v>
          </cell>
          <cell r="Q62" t="str">
            <v>C</v>
          </cell>
          <cell r="R62" t="str">
            <v>C</v>
          </cell>
          <cell r="S62" t="str">
            <v>W</v>
          </cell>
          <cell r="T62" t="str">
            <v>B</v>
          </cell>
          <cell r="U62" t="str">
            <v>G</v>
          </cell>
          <cell r="V62" t="str">
            <v>A</v>
          </cell>
          <cell r="W62" t="str">
            <v>A</v>
          </cell>
          <cell r="X62" t="str">
            <v>G</v>
          </cell>
          <cell r="Y62" t="str">
            <v>C</v>
          </cell>
          <cell r="Z62" t="str">
            <v>W</v>
          </cell>
          <cell r="AA62" t="str">
            <v>G</v>
          </cell>
          <cell r="AB62" t="str">
            <v>G</v>
          </cell>
          <cell r="AC62" t="str">
            <v>A</v>
          </cell>
          <cell r="AD62" t="str">
            <v>A</v>
          </cell>
          <cell r="AE62" t="str">
            <v>C</v>
          </cell>
          <cell r="AF62" t="str">
            <v>B</v>
          </cell>
          <cell r="AG62" t="str">
            <v>W</v>
          </cell>
          <cell r="AH62" t="str">
            <v>G</v>
          </cell>
          <cell r="AI62" t="str">
            <v>G</v>
          </cell>
          <cell r="AJ62" t="str">
            <v>G</v>
          </cell>
          <cell r="AK62" t="str">
            <v>G</v>
          </cell>
          <cell r="AL62">
            <v>4</v>
          </cell>
          <cell r="AM62">
            <v>2</v>
          </cell>
          <cell r="AN62">
            <v>4</v>
          </cell>
          <cell r="AO62">
            <v>13</v>
          </cell>
          <cell r="AP62">
            <v>3</v>
          </cell>
          <cell r="AQ62">
            <v>0</v>
          </cell>
          <cell r="AR62">
            <v>0</v>
          </cell>
          <cell r="AS62">
            <v>26</v>
          </cell>
        </row>
        <row r="63">
          <cell r="F63" t="str">
            <v>E.D</v>
          </cell>
        </row>
        <row r="64">
          <cell r="B64">
            <v>10</v>
          </cell>
          <cell r="C64" t="str">
            <v>RAMGIRI SATISH</v>
          </cell>
          <cell r="D64">
            <v>11236</v>
          </cell>
          <cell r="E64" t="str">
            <v>HVAC OPERATOR</v>
          </cell>
          <cell r="F64" t="str">
            <v>Duty</v>
          </cell>
          <cell r="G64" t="str">
            <v>NEW JOINING</v>
          </cell>
          <cell r="L64" t="str">
            <v>G</v>
          </cell>
          <cell r="M64" t="str">
            <v>G</v>
          </cell>
          <cell r="N64" t="str">
            <v>G</v>
          </cell>
          <cell r="O64" t="str">
            <v>G</v>
          </cell>
          <cell r="P64" t="str">
            <v>G</v>
          </cell>
          <cell r="Q64" t="str">
            <v>A</v>
          </cell>
          <cell r="R64" t="str">
            <v>G</v>
          </cell>
          <cell r="S64" t="str">
            <v>G</v>
          </cell>
          <cell r="T64" t="str">
            <v>C</v>
          </cell>
          <cell r="U64" t="str">
            <v>C</v>
          </cell>
          <cell r="V64" t="str">
            <v>W</v>
          </cell>
          <cell r="W64" t="str">
            <v>G</v>
          </cell>
          <cell r="X64" t="str">
            <v>G</v>
          </cell>
          <cell r="Y64" t="str">
            <v>G</v>
          </cell>
          <cell r="Z64" t="str">
            <v>G</v>
          </cell>
          <cell r="AA64" t="str">
            <v>C</v>
          </cell>
          <cell r="AB64" t="str">
            <v>B</v>
          </cell>
          <cell r="AC64" t="str">
            <v>W</v>
          </cell>
          <cell r="AD64" t="str">
            <v>B</v>
          </cell>
          <cell r="AE64" t="str">
            <v>G</v>
          </cell>
          <cell r="AF64" t="str">
            <v>G</v>
          </cell>
          <cell r="AG64" t="str">
            <v>G</v>
          </cell>
          <cell r="AH64" t="str">
            <v>C</v>
          </cell>
          <cell r="AI64" t="str">
            <v>C</v>
          </cell>
          <cell r="AJ64" t="str">
            <v>W</v>
          </cell>
          <cell r="AK64" t="str">
            <v>L</v>
          </cell>
          <cell r="AL64">
            <v>1</v>
          </cell>
          <cell r="AM64">
            <v>2</v>
          </cell>
          <cell r="AN64">
            <v>5</v>
          </cell>
          <cell r="AO64">
            <v>14</v>
          </cell>
          <cell r="AP64">
            <v>3</v>
          </cell>
          <cell r="AQ64">
            <v>0</v>
          </cell>
          <cell r="AR64">
            <v>0</v>
          </cell>
          <cell r="AS64">
            <v>25</v>
          </cell>
        </row>
        <row r="65">
          <cell r="F65" t="str">
            <v>E.D</v>
          </cell>
        </row>
        <row r="66">
          <cell r="B66">
            <v>11000</v>
          </cell>
          <cell r="C66" t="str">
            <v>ALLAUDDIN MAINUDDIN KHAJURE</v>
          </cell>
          <cell r="D66">
            <v>11048</v>
          </cell>
          <cell r="E66" t="str">
            <v>DG OPERATOR</v>
          </cell>
          <cell r="F66" t="str">
            <v>Duty</v>
          </cell>
          <cell r="G66" t="str">
            <v>W</v>
          </cell>
          <cell r="H66" t="str">
            <v>G</v>
          </cell>
          <cell r="I66" t="str">
            <v>G</v>
          </cell>
          <cell r="J66" t="str">
            <v>G</v>
          </cell>
          <cell r="K66" t="str">
            <v>G</v>
          </cell>
          <cell r="L66" t="str">
            <v>G</v>
          </cell>
          <cell r="M66" t="str">
            <v>G</v>
          </cell>
          <cell r="N66" t="str">
            <v>W</v>
          </cell>
          <cell r="O66" t="str">
            <v>G</v>
          </cell>
          <cell r="P66" t="str">
            <v>G</v>
          </cell>
          <cell r="Q66" t="str">
            <v>G</v>
          </cell>
          <cell r="R66" t="str">
            <v>G</v>
          </cell>
          <cell r="S66" t="str">
            <v>G</v>
          </cell>
          <cell r="T66" t="str">
            <v>G</v>
          </cell>
          <cell r="U66" t="str">
            <v>W</v>
          </cell>
          <cell r="V66" t="str">
            <v>G</v>
          </cell>
          <cell r="W66" t="str">
            <v>G</v>
          </cell>
          <cell r="X66" t="str">
            <v>G</v>
          </cell>
          <cell r="Y66" t="str">
            <v>G</v>
          </cell>
          <cell r="Z66" t="str">
            <v>G</v>
          </cell>
          <cell r="AA66" t="str">
            <v>G</v>
          </cell>
          <cell r="AB66" t="str">
            <v>W</v>
          </cell>
          <cell r="AC66" t="str">
            <v>G</v>
          </cell>
          <cell r="AD66" t="str">
            <v>G</v>
          </cell>
          <cell r="AE66" t="str">
            <v>G</v>
          </cell>
          <cell r="AF66" t="str">
            <v>G</v>
          </cell>
          <cell r="AG66" t="str">
            <v>B</v>
          </cell>
          <cell r="AH66" t="str">
            <v>G</v>
          </cell>
          <cell r="AI66" t="str">
            <v>W</v>
          </cell>
          <cell r="AJ66" t="str">
            <v>G</v>
          </cell>
          <cell r="AK66" t="str">
            <v>G</v>
          </cell>
          <cell r="AL66">
            <v>0</v>
          </cell>
          <cell r="AM66">
            <v>1</v>
          </cell>
          <cell r="AN66">
            <v>0</v>
          </cell>
          <cell r="AO66">
            <v>25</v>
          </cell>
          <cell r="AP66">
            <v>5</v>
          </cell>
          <cell r="AQ66">
            <v>0</v>
          </cell>
          <cell r="AR66">
            <v>0</v>
          </cell>
          <cell r="AS66">
            <v>31</v>
          </cell>
        </row>
        <row r="67">
          <cell r="F67" t="str">
            <v>E.D</v>
          </cell>
        </row>
        <row r="68">
          <cell r="B68">
            <v>11273</v>
          </cell>
          <cell r="C68" t="str">
            <v>P CHANDRA SHEKAR PATRA</v>
          </cell>
          <cell r="D68">
            <v>11153</v>
          </cell>
          <cell r="E68" t="str">
            <v>DG OPERATOR</v>
          </cell>
          <cell r="F68" t="str">
            <v>Duty</v>
          </cell>
          <cell r="G68" t="str">
            <v>C</v>
          </cell>
          <cell r="H68" t="str">
            <v>C</v>
          </cell>
          <cell r="I68" t="str">
            <v>W</v>
          </cell>
          <cell r="J68" t="str">
            <v>G</v>
          </cell>
          <cell r="K68" t="str">
            <v>B</v>
          </cell>
          <cell r="L68" t="str">
            <v>B</v>
          </cell>
          <cell r="M68" t="str">
            <v>B</v>
          </cell>
          <cell r="N68" t="str">
            <v>C</v>
          </cell>
          <cell r="O68" t="str">
            <v>C</v>
          </cell>
          <cell r="P68" t="str">
            <v>W</v>
          </cell>
          <cell r="Q68" t="str">
            <v>G</v>
          </cell>
          <cell r="R68" t="str">
            <v>A</v>
          </cell>
          <cell r="S68" t="str">
            <v>C</v>
          </cell>
          <cell r="T68" t="str">
            <v>C</v>
          </cell>
          <cell r="U68" t="str">
            <v>C</v>
          </cell>
          <cell r="V68" t="str">
            <v>C</v>
          </cell>
          <cell r="W68" t="str">
            <v>W</v>
          </cell>
          <cell r="X68" t="str">
            <v>G</v>
          </cell>
          <cell r="Y68" t="str">
            <v>B</v>
          </cell>
          <cell r="Z68" t="str">
            <v>C</v>
          </cell>
          <cell r="AA68" t="str">
            <v>C</v>
          </cell>
          <cell r="AB68" t="str">
            <v>C</v>
          </cell>
          <cell r="AC68" t="str">
            <v>C</v>
          </cell>
          <cell r="AD68" t="str">
            <v>W</v>
          </cell>
          <cell r="AE68" t="str">
            <v>A</v>
          </cell>
          <cell r="AF68" t="str">
            <v>A</v>
          </cell>
          <cell r="AG68" t="str">
            <v>C</v>
          </cell>
          <cell r="AH68" t="str">
            <v>B</v>
          </cell>
          <cell r="AI68" t="str">
            <v>B</v>
          </cell>
          <cell r="AJ68" t="str">
            <v>C</v>
          </cell>
          <cell r="AK68" t="str">
            <v>W</v>
          </cell>
          <cell r="AL68">
            <v>3</v>
          </cell>
          <cell r="AM68">
            <v>6</v>
          </cell>
          <cell r="AN68">
            <v>14</v>
          </cell>
          <cell r="AO68">
            <v>3</v>
          </cell>
          <cell r="AP68">
            <v>5</v>
          </cell>
          <cell r="AQ68">
            <v>0</v>
          </cell>
          <cell r="AR68">
            <v>0</v>
          </cell>
          <cell r="AS68">
            <v>31</v>
          </cell>
        </row>
        <row r="69">
          <cell r="F69" t="str">
            <v>E.D</v>
          </cell>
        </row>
        <row r="70">
          <cell r="B70">
            <v>11551</v>
          </cell>
          <cell r="C70" t="str">
            <v>RAUPYAPRAKASH MOHANTY</v>
          </cell>
          <cell r="D70">
            <v>11180</v>
          </cell>
          <cell r="E70" t="str">
            <v>DG OPERATOR</v>
          </cell>
          <cell r="F70" t="str">
            <v>Duty</v>
          </cell>
          <cell r="G70" t="str">
            <v>A</v>
          </cell>
          <cell r="H70" t="str">
            <v>B</v>
          </cell>
          <cell r="I70" t="str">
            <v>C</v>
          </cell>
          <cell r="J70" t="str">
            <v>C</v>
          </cell>
          <cell r="K70" t="str">
            <v>W</v>
          </cell>
          <cell r="L70" t="str">
            <v>A</v>
          </cell>
          <cell r="M70" t="str">
            <v>A</v>
          </cell>
          <cell r="N70" t="str">
            <v>A</v>
          </cell>
          <cell r="O70" t="str">
            <v>B</v>
          </cell>
          <cell r="P70" t="str">
            <v>C</v>
          </cell>
          <cell r="Q70" t="str">
            <v>C</v>
          </cell>
          <cell r="R70" t="str">
            <v>W</v>
          </cell>
          <cell r="S70" t="str">
            <v>A</v>
          </cell>
          <cell r="T70" t="str">
            <v>A</v>
          </cell>
          <cell r="U70" t="str">
            <v>B</v>
          </cell>
          <cell r="V70" t="str">
            <v>B</v>
          </cell>
          <cell r="W70" t="str">
            <v>C</v>
          </cell>
          <cell r="X70" t="str">
            <v>C</v>
          </cell>
          <cell r="Y70" t="str">
            <v>W</v>
          </cell>
          <cell r="Z70" t="str">
            <v>B</v>
          </cell>
          <cell r="AA70" t="str">
            <v>B</v>
          </cell>
          <cell r="AB70" t="str">
            <v>B</v>
          </cell>
          <cell r="AC70" t="str">
            <v>B</v>
          </cell>
          <cell r="AD70" t="str">
            <v>C</v>
          </cell>
          <cell r="AE70" t="str">
            <v>C</v>
          </cell>
          <cell r="AF70" t="str">
            <v>W</v>
          </cell>
          <cell r="AG70" t="str">
            <v>B</v>
          </cell>
          <cell r="AH70" t="str">
            <v>A</v>
          </cell>
          <cell r="AI70" t="str">
            <v>A</v>
          </cell>
          <cell r="AJ70" t="str">
            <v>A</v>
          </cell>
          <cell r="AK70" t="str">
            <v>C</v>
          </cell>
          <cell r="AL70">
            <v>9</v>
          </cell>
          <cell r="AM70">
            <v>9</v>
          </cell>
          <cell r="AN70">
            <v>9</v>
          </cell>
          <cell r="AO70">
            <v>0</v>
          </cell>
          <cell r="AP70">
            <v>4</v>
          </cell>
          <cell r="AQ70">
            <v>0</v>
          </cell>
          <cell r="AR70">
            <v>0</v>
          </cell>
          <cell r="AS70">
            <v>31</v>
          </cell>
        </row>
        <row r="71">
          <cell r="F71" t="str">
            <v>E.D</v>
          </cell>
        </row>
        <row r="72">
          <cell r="B72">
            <v>11907</v>
          </cell>
          <cell r="C72" t="str">
            <v>PEDDAMODU SAI SATHEESH</v>
          </cell>
          <cell r="D72">
            <v>11213</v>
          </cell>
          <cell r="E72" t="str">
            <v>DG OPERATOR</v>
          </cell>
          <cell r="F72" t="str">
            <v>Duty</v>
          </cell>
          <cell r="G72" t="str">
            <v>B</v>
          </cell>
          <cell r="H72" t="str">
            <v>A</v>
          </cell>
          <cell r="I72" t="str">
            <v>B</v>
          </cell>
          <cell r="J72" t="str">
            <v>B</v>
          </cell>
          <cell r="K72" t="str">
            <v>C</v>
          </cell>
          <cell r="L72" t="str">
            <v>W</v>
          </cell>
          <cell r="M72" t="str">
            <v>C</v>
          </cell>
          <cell r="N72" t="str">
            <v>B</v>
          </cell>
          <cell r="O72" t="str">
            <v>A</v>
          </cell>
          <cell r="P72" t="str">
            <v>B</v>
          </cell>
          <cell r="Q72" t="str">
            <v>B</v>
          </cell>
          <cell r="R72" t="str">
            <v>C</v>
          </cell>
          <cell r="S72" t="str">
            <v>W</v>
          </cell>
          <cell r="T72" t="str">
            <v>B</v>
          </cell>
          <cell r="U72" t="str">
            <v>A</v>
          </cell>
          <cell r="V72" t="str">
            <v>A</v>
          </cell>
          <cell r="W72" t="str">
            <v>B</v>
          </cell>
          <cell r="X72" t="str">
            <v>B</v>
          </cell>
          <cell r="Y72" t="str">
            <v>C</v>
          </cell>
          <cell r="Z72" t="str">
            <v>W</v>
          </cell>
          <cell r="AA72" t="str">
            <v>A</v>
          </cell>
          <cell r="AB72" t="str">
            <v>A</v>
          </cell>
          <cell r="AC72" t="str">
            <v>A</v>
          </cell>
          <cell r="AD72" t="str">
            <v>A</v>
          </cell>
          <cell r="AE72" t="str">
            <v>B</v>
          </cell>
          <cell r="AF72" t="str">
            <v>C</v>
          </cell>
          <cell r="AG72" t="str">
            <v>W</v>
          </cell>
          <cell r="AH72" t="str">
            <v>C</v>
          </cell>
          <cell r="AI72" t="str">
            <v>C</v>
          </cell>
          <cell r="AJ72" t="str">
            <v>B</v>
          </cell>
          <cell r="AK72" t="str">
            <v>A</v>
          </cell>
          <cell r="AL72">
            <v>9</v>
          </cell>
          <cell r="AM72">
            <v>11</v>
          </cell>
          <cell r="AN72">
            <v>7</v>
          </cell>
          <cell r="AO72">
            <v>0</v>
          </cell>
          <cell r="AP72">
            <v>4</v>
          </cell>
          <cell r="AQ72">
            <v>0</v>
          </cell>
          <cell r="AR72">
            <v>0</v>
          </cell>
          <cell r="AS72">
            <v>31</v>
          </cell>
        </row>
        <row r="73">
          <cell r="F73" t="str">
            <v>E.D</v>
          </cell>
        </row>
        <row r="74">
          <cell r="B74">
            <v>10990</v>
          </cell>
          <cell r="C74" t="str">
            <v>MUKESH SRICHANDAN</v>
          </cell>
          <cell r="D74">
            <v>11091</v>
          </cell>
          <cell r="E74" t="str">
            <v>BMS OPERATOR</v>
          </cell>
          <cell r="F74" t="str">
            <v>Duty</v>
          </cell>
          <cell r="G74" t="str">
            <v>L</v>
          </cell>
          <cell r="H74" t="str">
            <v>B</v>
          </cell>
          <cell r="I74" t="str">
            <v>A</v>
          </cell>
          <cell r="J74" t="str">
            <v>L</v>
          </cell>
          <cell r="K74" t="str">
            <v>L</v>
          </cell>
          <cell r="L74" t="str">
            <v>L</v>
          </cell>
          <cell r="M74" t="str">
            <v>L</v>
          </cell>
          <cell r="N74" t="str">
            <v>L</v>
          </cell>
          <cell r="O74" t="str">
            <v>L</v>
          </cell>
          <cell r="P74" t="str">
            <v>L</v>
          </cell>
          <cell r="Q74" t="str">
            <v>L</v>
          </cell>
          <cell r="R74" t="str">
            <v>L</v>
          </cell>
          <cell r="S74" t="str">
            <v>L</v>
          </cell>
          <cell r="T74" t="str">
            <v>L</v>
          </cell>
          <cell r="U74" t="str">
            <v>L</v>
          </cell>
          <cell r="V74" t="str">
            <v>L</v>
          </cell>
          <cell r="W74" t="str">
            <v>L</v>
          </cell>
          <cell r="X74" t="str">
            <v>L</v>
          </cell>
          <cell r="Y74" t="str">
            <v>L</v>
          </cell>
          <cell r="Z74" t="str">
            <v>L</v>
          </cell>
          <cell r="AA74" t="str">
            <v>L</v>
          </cell>
          <cell r="AB74" t="str">
            <v>L</v>
          </cell>
          <cell r="AC74" t="str">
            <v>L</v>
          </cell>
          <cell r="AD74" t="str">
            <v>L</v>
          </cell>
          <cell r="AE74" t="str">
            <v>L</v>
          </cell>
          <cell r="AF74" t="str">
            <v>L</v>
          </cell>
          <cell r="AG74" t="str">
            <v>L</v>
          </cell>
          <cell r="AH74" t="str">
            <v>L</v>
          </cell>
          <cell r="AI74" t="str">
            <v>L</v>
          </cell>
          <cell r="AJ74" t="str">
            <v>L</v>
          </cell>
          <cell r="AK74" t="str">
            <v>L</v>
          </cell>
          <cell r="AL74">
            <v>1</v>
          </cell>
          <cell r="AM74">
            <v>1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2</v>
          </cell>
        </row>
        <row r="75">
          <cell r="F75" t="str">
            <v>E.D</v>
          </cell>
        </row>
        <row r="76">
          <cell r="B76">
            <v>11</v>
          </cell>
          <cell r="C76" t="str">
            <v>DAGE RAMA KRISHNA</v>
          </cell>
          <cell r="D76">
            <v>11234</v>
          </cell>
          <cell r="E76" t="str">
            <v>BMS OPERATOR</v>
          </cell>
          <cell r="F76" t="str">
            <v>Duty</v>
          </cell>
          <cell r="G76" t="str">
            <v>NEW JOINING</v>
          </cell>
          <cell r="J76" t="str">
            <v>G</v>
          </cell>
          <cell r="K76" t="str">
            <v>G</v>
          </cell>
          <cell r="L76" t="str">
            <v>G</v>
          </cell>
          <cell r="M76" t="str">
            <v>G</v>
          </cell>
          <cell r="N76" t="str">
            <v>G</v>
          </cell>
          <cell r="O76" t="str">
            <v>A</v>
          </cell>
          <cell r="P76" t="str">
            <v>G</v>
          </cell>
          <cell r="Q76" t="str">
            <v>G</v>
          </cell>
          <cell r="R76" t="str">
            <v>A</v>
          </cell>
          <cell r="S76" t="str">
            <v>G</v>
          </cell>
          <cell r="T76" t="str">
            <v>A</v>
          </cell>
          <cell r="U76" t="str">
            <v>C</v>
          </cell>
          <cell r="V76" t="str">
            <v>C</v>
          </cell>
          <cell r="W76" t="str">
            <v>G</v>
          </cell>
          <cell r="X76" t="str">
            <v>W</v>
          </cell>
          <cell r="Y76" t="str">
            <v>A</v>
          </cell>
          <cell r="Z76" t="str">
            <v>G</v>
          </cell>
          <cell r="AA76" t="str">
            <v>C</v>
          </cell>
          <cell r="AB76" t="str">
            <v>C</v>
          </cell>
          <cell r="AC76" t="str">
            <v>B</v>
          </cell>
          <cell r="AD76" t="str">
            <v>W</v>
          </cell>
          <cell r="AE76" t="str">
            <v>G</v>
          </cell>
          <cell r="AF76" t="str">
            <v>A</v>
          </cell>
          <cell r="AG76" t="str">
            <v>G</v>
          </cell>
          <cell r="AH76" t="str">
            <v>A</v>
          </cell>
          <cell r="AI76" t="str">
            <v>A</v>
          </cell>
          <cell r="AJ76" t="str">
            <v>A</v>
          </cell>
          <cell r="AK76" t="str">
            <v>W</v>
          </cell>
          <cell r="AL76">
            <v>8</v>
          </cell>
          <cell r="AM76">
            <v>1</v>
          </cell>
          <cell r="AN76">
            <v>4</v>
          </cell>
          <cell r="AO76">
            <v>12</v>
          </cell>
          <cell r="AP76">
            <v>3</v>
          </cell>
          <cell r="AQ76">
            <v>0</v>
          </cell>
          <cell r="AR76">
            <v>0</v>
          </cell>
          <cell r="AS76">
            <v>28</v>
          </cell>
        </row>
        <row r="77">
          <cell r="F77" t="str">
            <v>E.D</v>
          </cell>
        </row>
        <row r="78">
          <cell r="B78">
            <v>11311</v>
          </cell>
          <cell r="C78" t="str">
            <v>MOTIPALLI RAVI SHANKER DURGA</v>
          </cell>
          <cell r="D78">
            <v>11155</v>
          </cell>
          <cell r="E78" t="str">
            <v>BMS OPERATOR</v>
          </cell>
          <cell r="F78" t="str">
            <v>Duty</v>
          </cell>
          <cell r="G78" t="str">
            <v>A</v>
          </cell>
          <cell r="H78" t="str">
            <v>A</v>
          </cell>
          <cell r="I78" t="str">
            <v>C</v>
          </cell>
          <cell r="J78" t="str">
            <v>C</v>
          </cell>
          <cell r="K78" t="str">
            <v>W</v>
          </cell>
          <cell r="L78" t="str">
            <v>C</v>
          </cell>
          <cell r="M78" t="str">
            <v>C</v>
          </cell>
          <cell r="N78" t="str">
            <v>C</v>
          </cell>
          <cell r="O78" t="str">
            <v>B</v>
          </cell>
          <cell r="P78" t="str">
            <v>A</v>
          </cell>
          <cell r="Q78" t="str">
            <v>A</v>
          </cell>
          <cell r="R78" t="str">
            <v>W</v>
          </cell>
          <cell r="S78" t="str">
            <v>C</v>
          </cell>
          <cell r="T78" t="str">
            <v>C</v>
          </cell>
          <cell r="U78" t="str">
            <v>C</v>
          </cell>
          <cell r="V78" t="str">
            <v>B</v>
          </cell>
          <cell r="W78" t="str">
            <v>B</v>
          </cell>
          <cell r="X78" t="str">
            <v>A</v>
          </cell>
          <cell r="Y78" t="str">
            <v>W</v>
          </cell>
          <cell r="Z78" t="str">
            <v>C</v>
          </cell>
          <cell r="AA78" t="str">
            <v>B</v>
          </cell>
          <cell r="AB78" t="str">
            <v>B</v>
          </cell>
          <cell r="AC78" t="str">
            <v>A</v>
          </cell>
          <cell r="AD78" t="str">
            <v>B</v>
          </cell>
          <cell r="AE78" t="str">
            <v>A</v>
          </cell>
          <cell r="AF78" t="str">
            <v>W</v>
          </cell>
          <cell r="AG78" t="str">
            <v>C</v>
          </cell>
          <cell r="AH78" t="str">
            <v>C</v>
          </cell>
          <cell r="AI78" t="str">
            <v>C</v>
          </cell>
          <cell r="AJ78" t="str">
            <v>B</v>
          </cell>
          <cell r="AK78" t="str">
            <v>A</v>
          </cell>
          <cell r="AL78">
            <v>8</v>
          </cell>
          <cell r="AM78">
            <v>7</v>
          </cell>
          <cell r="AN78">
            <v>12</v>
          </cell>
          <cell r="AO78">
            <v>0</v>
          </cell>
          <cell r="AP78">
            <v>4</v>
          </cell>
          <cell r="AQ78">
            <v>0</v>
          </cell>
          <cell r="AR78">
            <v>0</v>
          </cell>
          <cell r="AS78">
            <v>31</v>
          </cell>
        </row>
        <row r="79">
          <cell r="F79" t="str">
            <v>E.D</v>
          </cell>
        </row>
        <row r="80">
          <cell r="B80">
            <v>11376</v>
          </cell>
          <cell r="C80" t="str">
            <v>J.CHATTYNYA</v>
          </cell>
          <cell r="D80">
            <v>11220</v>
          </cell>
          <cell r="E80" t="str">
            <v>BMS OPERATOR</v>
          </cell>
          <cell r="F80" t="str">
            <v>Duty</v>
          </cell>
          <cell r="G80" t="str">
            <v>B</v>
          </cell>
          <cell r="H80" t="str">
            <v>C</v>
          </cell>
          <cell r="I80" t="str">
            <v>B</v>
          </cell>
          <cell r="J80" t="str">
            <v>B</v>
          </cell>
          <cell r="K80" t="str">
            <v>C</v>
          </cell>
          <cell r="L80" t="str">
            <v>B</v>
          </cell>
          <cell r="M80" t="str">
            <v>A</v>
          </cell>
          <cell r="N80" t="str">
            <v>A</v>
          </cell>
          <cell r="O80" t="str">
            <v>C</v>
          </cell>
          <cell r="P80" t="str">
            <v>C</v>
          </cell>
          <cell r="Q80" t="str">
            <v>B</v>
          </cell>
          <cell r="R80" t="str">
            <v>B</v>
          </cell>
          <cell r="S80" t="str">
            <v>A</v>
          </cell>
          <cell r="T80" t="str">
            <v>W</v>
          </cell>
          <cell r="U80" t="str">
            <v>B</v>
          </cell>
          <cell r="V80" t="str">
            <v>A</v>
          </cell>
          <cell r="W80" t="str">
            <v>A</v>
          </cell>
          <cell r="X80" t="str">
            <v>C</v>
          </cell>
          <cell r="Y80" t="str">
            <v>B</v>
          </cell>
          <cell r="Z80" t="str">
            <v>A</v>
          </cell>
          <cell r="AA80" t="str">
            <v>W</v>
          </cell>
          <cell r="AB80" t="str">
            <v>C</v>
          </cell>
          <cell r="AC80" t="str">
            <v>C</v>
          </cell>
          <cell r="AD80" t="str">
            <v>C</v>
          </cell>
          <cell r="AE80" t="str">
            <v>B</v>
          </cell>
          <cell r="AF80" t="str">
            <v>B</v>
          </cell>
          <cell r="AG80" t="str">
            <v>A</v>
          </cell>
          <cell r="AH80" t="str">
            <v>W</v>
          </cell>
          <cell r="AI80" t="str">
            <v>G</v>
          </cell>
          <cell r="AJ80" t="str">
            <v>A</v>
          </cell>
          <cell r="AK80" t="str">
            <v>B</v>
          </cell>
          <cell r="AL80">
            <v>8</v>
          </cell>
          <cell r="AM80">
            <v>11</v>
          </cell>
          <cell r="AN80">
            <v>8</v>
          </cell>
          <cell r="AO80">
            <v>1</v>
          </cell>
          <cell r="AP80">
            <v>3</v>
          </cell>
          <cell r="AQ80">
            <v>0</v>
          </cell>
          <cell r="AR80">
            <v>0</v>
          </cell>
          <cell r="AS80">
            <v>31</v>
          </cell>
        </row>
        <row r="81">
          <cell r="F81" t="str">
            <v>E.D</v>
          </cell>
        </row>
        <row r="82">
          <cell r="B82">
            <v>10980</v>
          </cell>
          <cell r="C82" t="str">
            <v>ANURUDHA  SAMAL</v>
          </cell>
          <cell r="D82">
            <v>10609</v>
          </cell>
          <cell r="E82" t="str">
            <v xml:space="preserve">PLUMBER </v>
          </cell>
          <cell r="F82" t="str">
            <v>Duty</v>
          </cell>
          <cell r="G82" t="str">
            <v>A</v>
          </cell>
          <cell r="H82" t="str">
            <v>C</v>
          </cell>
          <cell r="I82" t="str">
            <v>W</v>
          </cell>
          <cell r="J82" t="str">
            <v>G</v>
          </cell>
          <cell r="K82" t="str">
            <v>A</v>
          </cell>
          <cell r="L82" t="str">
            <v>L</v>
          </cell>
          <cell r="M82" t="str">
            <v>L</v>
          </cell>
          <cell r="N82" t="str">
            <v>L</v>
          </cell>
          <cell r="O82" t="str">
            <v>L</v>
          </cell>
          <cell r="P82" t="str">
            <v>L</v>
          </cell>
          <cell r="Q82" t="str">
            <v>L</v>
          </cell>
          <cell r="R82" t="str">
            <v>L</v>
          </cell>
          <cell r="S82" t="str">
            <v>L</v>
          </cell>
          <cell r="T82" t="str">
            <v>L</v>
          </cell>
          <cell r="U82" t="str">
            <v>L</v>
          </cell>
          <cell r="V82" t="str">
            <v>L</v>
          </cell>
          <cell r="W82" t="str">
            <v>L</v>
          </cell>
          <cell r="X82" t="str">
            <v>L</v>
          </cell>
          <cell r="Y82" t="str">
            <v>L</v>
          </cell>
          <cell r="Z82" t="str">
            <v>L</v>
          </cell>
          <cell r="AA82" t="str">
            <v>L</v>
          </cell>
          <cell r="AB82" t="str">
            <v>L</v>
          </cell>
          <cell r="AC82" t="str">
            <v>L</v>
          </cell>
          <cell r="AD82" t="str">
            <v>L</v>
          </cell>
          <cell r="AE82" t="str">
            <v>L</v>
          </cell>
          <cell r="AF82" t="str">
            <v>L</v>
          </cell>
          <cell r="AG82" t="str">
            <v>L</v>
          </cell>
          <cell r="AH82" t="str">
            <v>L</v>
          </cell>
          <cell r="AI82" t="str">
            <v>L</v>
          </cell>
          <cell r="AJ82" t="str">
            <v>L</v>
          </cell>
          <cell r="AK82" t="str">
            <v>L</v>
          </cell>
          <cell r="AL82">
            <v>2</v>
          </cell>
          <cell r="AM82">
            <v>0</v>
          </cell>
          <cell r="AN82">
            <v>1</v>
          </cell>
          <cell r="AO82">
            <v>1</v>
          </cell>
          <cell r="AP82">
            <v>1</v>
          </cell>
          <cell r="AQ82">
            <v>0</v>
          </cell>
          <cell r="AR82">
            <v>0</v>
          </cell>
          <cell r="AS82">
            <v>5</v>
          </cell>
        </row>
        <row r="83">
          <cell r="F83" t="str">
            <v>E.D</v>
          </cell>
        </row>
        <row r="84">
          <cell r="B84">
            <v>10978</v>
          </cell>
          <cell r="C84" t="str">
            <v>PABITRA MALIK</v>
          </cell>
          <cell r="D84">
            <v>11085</v>
          </cell>
          <cell r="E84" t="str">
            <v xml:space="preserve">PLUMBER </v>
          </cell>
          <cell r="F84" t="str">
            <v>Duty</v>
          </cell>
          <cell r="G84" t="str">
            <v>W</v>
          </cell>
          <cell r="H84" t="str">
            <v>A</v>
          </cell>
          <cell r="I84" t="str">
            <v>A</v>
          </cell>
          <cell r="J84" t="str">
            <v>A</v>
          </cell>
          <cell r="K84" t="str">
            <v>G</v>
          </cell>
          <cell r="L84" t="str">
            <v>B</v>
          </cell>
          <cell r="M84" t="str">
            <v>A</v>
          </cell>
          <cell r="N84" t="str">
            <v>W</v>
          </cell>
          <cell r="O84" t="str">
            <v>C</v>
          </cell>
          <cell r="P84" t="str">
            <v>B</v>
          </cell>
          <cell r="Q84" t="str">
            <v>B</v>
          </cell>
          <cell r="R84" t="str">
            <v>G</v>
          </cell>
          <cell r="S84" t="str">
            <v>A</v>
          </cell>
          <cell r="T84" t="str">
            <v>C</v>
          </cell>
          <cell r="U84" t="str">
            <v>W</v>
          </cell>
          <cell r="V84" t="str">
            <v>A</v>
          </cell>
          <cell r="W84" t="str">
            <v>A</v>
          </cell>
          <cell r="X84" t="str">
            <v>G</v>
          </cell>
          <cell r="Y84" t="str">
            <v>G</v>
          </cell>
          <cell r="Z84" t="str">
            <v>A</v>
          </cell>
          <cell r="AA84" t="str">
            <v>C</v>
          </cell>
          <cell r="AB84" t="str">
            <v>W</v>
          </cell>
          <cell r="AC84" t="str">
            <v>A</v>
          </cell>
          <cell r="AD84" t="str">
            <v>A</v>
          </cell>
          <cell r="AE84" t="str">
            <v>B</v>
          </cell>
          <cell r="AF84" t="str">
            <v>G</v>
          </cell>
          <cell r="AG84" t="str">
            <v>C</v>
          </cell>
          <cell r="AH84" t="str">
            <v>C</v>
          </cell>
          <cell r="AI84" t="str">
            <v>W</v>
          </cell>
          <cell r="AJ84" t="str">
            <v>A</v>
          </cell>
          <cell r="AK84" t="str">
            <v>A</v>
          </cell>
          <cell r="AL84">
            <v>12</v>
          </cell>
          <cell r="AM84">
            <v>4</v>
          </cell>
          <cell r="AN84">
            <v>5</v>
          </cell>
          <cell r="AO84">
            <v>5</v>
          </cell>
          <cell r="AP84">
            <v>5</v>
          </cell>
          <cell r="AQ84">
            <v>0</v>
          </cell>
          <cell r="AR84">
            <v>0</v>
          </cell>
          <cell r="AS84">
            <v>31</v>
          </cell>
        </row>
        <row r="85">
          <cell r="F85" t="str">
            <v>E.D</v>
          </cell>
        </row>
        <row r="86">
          <cell r="B86" t="str">
            <v>EMP.CODE</v>
          </cell>
          <cell r="C86" t="str">
            <v>NAME</v>
          </cell>
          <cell r="D86" t="str">
            <v>BIO METRIC CODE</v>
          </cell>
          <cell r="E86" t="str">
            <v>Designation</v>
          </cell>
          <cell r="F86" t="str">
            <v>Duty</v>
          </cell>
          <cell r="G86">
            <v>1</v>
          </cell>
          <cell r="H86">
            <v>2</v>
          </cell>
          <cell r="I86">
            <v>3</v>
          </cell>
          <cell r="J86">
            <v>4</v>
          </cell>
          <cell r="K86">
            <v>5</v>
          </cell>
          <cell r="L86">
            <v>6</v>
          </cell>
          <cell r="M86">
            <v>7</v>
          </cell>
          <cell r="N86">
            <v>8</v>
          </cell>
          <cell r="O86">
            <v>9</v>
          </cell>
          <cell r="P86">
            <v>10</v>
          </cell>
          <cell r="Q86">
            <v>11</v>
          </cell>
          <cell r="R86">
            <v>12</v>
          </cell>
          <cell r="S86">
            <v>13</v>
          </cell>
          <cell r="T86">
            <v>14</v>
          </cell>
          <cell r="U86">
            <v>15</v>
          </cell>
          <cell r="V86">
            <v>16</v>
          </cell>
          <cell r="W86">
            <v>17</v>
          </cell>
          <cell r="X86">
            <v>18</v>
          </cell>
          <cell r="Y86">
            <v>19</v>
          </cell>
          <cell r="Z86">
            <v>20</v>
          </cell>
          <cell r="AA86">
            <v>21</v>
          </cell>
          <cell r="AB86">
            <v>22</v>
          </cell>
          <cell r="AC86">
            <v>23</v>
          </cell>
          <cell r="AD86">
            <v>24</v>
          </cell>
          <cell r="AE86">
            <v>25</v>
          </cell>
          <cell r="AF86">
            <v>26</v>
          </cell>
          <cell r="AG86">
            <v>27</v>
          </cell>
          <cell r="AH86">
            <v>28</v>
          </cell>
          <cell r="AI86">
            <v>29</v>
          </cell>
          <cell r="AJ86">
            <v>30</v>
          </cell>
          <cell r="AK86">
            <v>31</v>
          </cell>
          <cell r="AL86" t="str">
            <v>A</v>
          </cell>
          <cell r="AM86" t="str">
            <v>B</v>
          </cell>
          <cell r="AN86" t="str">
            <v>C</v>
          </cell>
          <cell r="AO86" t="str">
            <v>G</v>
          </cell>
          <cell r="AP86" t="str">
            <v>W</v>
          </cell>
          <cell r="AQ86" t="str">
            <v>ED</v>
          </cell>
          <cell r="AR86" t="str">
            <v xml:space="preserve">PH </v>
          </cell>
          <cell r="AS86" t="str">
            <v>Total</v>
          </cell>
        </row>
        <row r="87">
          <cell r="G87" t="str">
            <v>Wed</v>
          </cell>
          <cell r="H87" t="str">
            <v>Thu</v>
          </cell>
          <cell r="I87" t="str">
            <v>Fri</v>
          </cell>
          <cell r="J87" t="str">
            <v>Sat</v>
          </cell>
          <cell r="K87" t="str">
            <v>Sun</v>
          </cell>
          <cell r="L87" t="str">
            <v>Mon</v>
          </cell>
          <cell r="M87" t="str">
            <v>Tue</v>
          </cell>
          <cell r="N87" t="str">
            <v>Wed</v>
          </cell>
          <cell r="O87" t="str">
            <v>Thu</v>
          </cell>
          <cell r="P87" t="str">
            <v>Fri</v>
          </cell>
          <cell r="Q87" t="str">
            <v>Sat</v>
          </cell>
          <cell r="R87" t="str">
            <v>Sun</v>
          </cell>
          <cell r="S87" t="str">
            <v>Mon</v>
          </cell>
          <cell r="T87" t="str">
            <v>Tue</v>
          </cell>
          <cell r="U87" t="str">
            <v>Wed</v>
          </cell>
          <cell r="V87" t="str">
            <v>Thu</v>
          </cell>
          <cell r="W87" t="str">
            <v>Fri</v>
          </cell>
          <cell r="X87" t="str">
            <v>Sat</v>
          </cell>
          <cell r="Y87" t="str">
            <v>Sun</v>
          </cell>
          <cell r="Z87" t="str">
            <v>Mon</v>
          </cell>
          <cell r="AA87" t="str">
            <v>Tue</v>
          </cell>
          <cell r="AB87" t="str">
            <v>Wed</v>
          </cell>
          <cell r="AC87" t="str">
            <v>Thu</v>
          </cell>
          <cell r="AD87" t="str">
            <v>Fri</v>
          </cell>
          <cell r="AE87" t="str">
            <v>Sat</v>
          </cell>
          <cell r="AF87" t="str">
            <v>Sun</v>
          </cell>
          <cell r="AG87" t="str">
            <v>Mon</v>
          </cell>
          <cell r="AH87" t="str">
            <v>Tue</v>
          </cell>
          <cell r="AI87" t="str">
            <v>Wed</v>
          </cell>
          <cell r="AJ87" t="str">
            <v>Thu</v>
          </cell>
          <cell r="AK87" t="str">
            <v>Fri</v>
          </cell>
        </row>
        <row r="88">
          <cell r="B88">
            <v>10974</v>
          </cell>
          <cell r="C88" t="str">
            <v>GADADHAR MALIK</v>
          </cell>
          <cell r="D88">
            <v>11098</v>
          </cell>
          <cell r="E88" t="str">
            <v xml:space="preserve">PLUMBER </v>
          </cell>
          <cell r="F88" t="str">
            <v>Duty</v>
          </cell>
          <cell r="G88" t="str">
            <v>C</v>
          </cell>
          <cell r="H88" t="str">
            <v>W</v>
          </cell>
          <cell r="I88" t="str">
            <v>C</v>
          </cell>
          <cell r="J88" t="str">
            <v>B</v>
          </cell>
          <cell r="K88" t="str">
            <v>B</v>
          </cell>
          <cell r="L88" t="str">
            <v>A</v>
          </cell>
          <cell r="M88" t="str">
            <v>C</v>
          </cell>
          <cell r="N88" t="str">
            <v>C</v>
          </cell>
          <cell r="O88" t="str">
            <v>W</v>
          </cell>
          <cell r="P88" t="str">
            <v>A</v>
          </cell>
          <cell r="Q88" t="str">
            <v>A</v>
          </cell>
          <cell r="R88" t="str">
            <v>A</v>
          </cell>
          <cell r="S88" t="str">
            <v>B</v>
          </cell>
          <cell r="T88" t="str">
            <v>A</v>
          </cell>
          <cell r="U88" t="str">
            <v>A</v>
          </cell>
          <cell r="V88" t="str">
            <v>W</v>
          </cell>
          <cell r="W88" t="str">
            <v>G</v>
          </cell>
          <cell r="X88" t="str">
            <v>A</v>
          </cell>
          <cell r="Y88" t="str">
            <v>A</v>
          </cell>
          <cell r="Z88" t="str">
            <v>B</v>
          </cell>
          <cell r="AA88" t="str">
            <v>A</v>
          </cell>
          <cell r="AB88" t="str">
            <v>A</v>
          </cell>
          <cell r="AC88" t="str">
            <v>W</v>
          </cell>
          <cell r="AD88" t="str">
            <v>B</v>
          </cell>
          <cell r="AE88" t="str">
            <v>A</v>
          </cell>
          <cell r="AF88" t="str">
            <v>B</v>
          </cell>
          <cell r="AG88" t="str">
            <v>A</v>
          </cell>
          <cell r="AH88" t="str">
            <v>A</v>
          </cell>
          <cell r="AI88" t="str">
            <v>A</v>
          </cell>
          <cell r="AJ88" t="str">
            <v>W</v>
          </cell>
          <cell r="AK88" t="str">
            <v>B</v>
          </cell>
          <cell r="AL88">
            <v>14</v>
          </cell>
          <cell r="AM88">
            <v>7</v>
          </cell>
          <cell r="AN88">
            <v>4</v>
          </cell>
          <cell r="AO88">
            <v>1</v>
          </cell>
          <cell r="AP88">
            <v>5</v>
          </cell>
          <cell r="AQ88">
            <v>0</v>
          </cell>
          <cell r="AR88">
            <v>0</v>
          </cell>
          <cell r="AS88">
            <v>31</v>
          </cell>
        </row>
        <row r="89">
          <cell r="F89" t="str">
            <v>E.D</v>
          </cell>
        </row>
        <row r="90">
          <cell r="B90">
            <v>10983</v>
          </cell>
          <cell r="C90" t="str">
            <v>NEELAIAH GARI SUDHAKAR</v>
          </cell>
          <cell r="D90">
            <v>11117</v>
          </cell>
          <cell r="E90" t="str">
            <v xml:space="preserve">PLUMBER </v>
          </cell>
          <cell r="F90" t="str">
            <v>Duty</v>
          </cell>
          <cell r="G90" t="str">
            <v>L</v>
          </cell>
          <cell r="H90" t="str">
            <v>L</v>
          </cell>
          <cell r="I90" t="str">
            <v>L</v>
          </cell>
          <cell r="J90" t="str">
            <v>L</v>
          </cell>
          <cell r="K90" t="str">
            <v>L</v>
          </cell>
          <cell r="L90" t="str">
            <v>L</v>
          </cell>
          <cell r="M90" t="str">
            <v>L</v>
          </cell>
          <cell r="N90" t="str">
            <v>L</v>
          </cell>
          <cell r="O90" t="str">
            <v>L</v>
          </cell>
          <cell r="P90" t="str">
            <v>L</v>
          </cell>
          <cell r="Q90" t="str">
            <v>L</v>
          </cell>
          <cell r="R90" t="str">
            <v>L</v>
          </cell>
          <cell r="S90" t="str">
            <v>L</v>
          </cell>
          <cell r="T90" t="str">
            <v>L</v>
          </cell>
          <cell r="U90" t="str">
            <v>L</v>
          </cell>
          <cell r="V90" t="str">
            <v>L</v>
          </cell>
          <cell r="W90" t="str">
            <v>L</v>
          </cell>
          <cell r="X90" t="str">
            <v>L</v>
          </cell>
          <cell r="Y90" t="str">
            <v>L</v>
          </cell>
          <cell r="Z90" t="str">
            <v>L</v>
          </cell>
          <cell r="AA90" t="str">
            <v>L</v>
          </cell>
          <cell r="AB90" t="str">
            <v>L</v>
          </cell>
          <cell r="AC90" t="str">
            <v>L</v>
          </cell>
          <cell r="AD90" t="str">
            <v>C</v>
          </cell>
          <cell r="AE90" t="str">
            <v>C</v>
          </cell>
          <cell r="AF90" t="str">
            <v>C</v>
          </cell>
          <cell r="AG90" t="str">
            <v>C</v>
          </cell>
          <cell r="AH90" t="str">
            <v>C</v>
          </cell>
          <cell r="AI90" t="str">
            <v>C</v>
          </cell>
          <cell r="AJ90" t="str">
            <v>W</v>
          </cell>
          <cell r="AK90" t="str">
            <v>L</v>
          </cell>
          <cell r="AL90">
            <v>0</v>
          </cell>
          <cell r="AM90">
            <v>0</v>
          </cell>
          <cell r="AN90">
            <v>6</v>
          </cell>
          <cell r="AO90">
            <v>0</v>
          </cell>
          <cell r="AP90">
            <v>1</v>
          </cell>
          <cell r="AQ90">
            <v>0</v>
          </cell>
          <cell r="AR90">
            <v>0</v>
          </cell>
          <cell r="AS90">
            <v>7</v>
          </cell>
        </row>
        <row r="91">
          <cell r="F91" t="str">
            <v>E.D</v>
          </cell>
        </row>
        <row r="92">
          <cell r="B92">
            <v>11158</v>
          </cell>
          <cell r="C92" t="str">
            <v>NARESH DAS</v>
          </cell>
          <cell r="D92">
            <v>11134</v>
          </cell>
          <cell r="E92" t="str">
            <v xml:space="preserve">PLUMBER </v>
          </cell>
          <cell r="F92" t="str">
            <v>Duty</v>
          </cell>
          <cell r="G92" t="str">
            <v>B</v>
          </cell>
          <cell r="H92" t="str">
            <v>B</v>
          </cell>
          <cell r="I92" t="str">
            <v>B</v>
          </cell>
          <cell r="J92" t="str">
            <v>B</v>
          </cell>
          <cell r="K92" t="str">
            <v>C</v>
          </cell>
          <cell r="L92" t="str">
            <v>C</v>
          </cell>
          <cell r="M92" t="str">
            <v>W</v>
          </cell>
          <cell r="N92" t="str">
            <v>G</v>
          </cell>
          <cell r="O92" t="str">
            <v>A</v>
          </cell>
          <cell r="P92" t="str">
            <v>B</v>
          </cell>
          <cell r="Q92" t="str">
            <v>G</v>
          </cell>
          <cell r="R92" t="str">
            <v>C</v>
          </cell>
          <cell r="S92" t="str">
            <v>C</v>
          </cell>
          <cell r="T92" t="str">
            <v>W</v>
          </cell>
          <cell r="U92" t="str">
            <v>G</v>
          </cell>
          <cell r="V92" t="str">
            <v>B</v>
          </cell>
          <cell r="W92" t="str">
            <v>B</v>
          </cell>
          <cell r="X92" t="str">
            <v>B</v>
          </cell>
          <cell r="Y92" t="str">
            <v>C</v>
          </cell>
          <cell r="Z92" t="str">
            <v>C</v>
          </cell>
          <cell r="AA92" t="str">
            <v>W</v>
          </cell>
          <cell r="AB92" t="str">
            <v>G</v>
          </cell>
          <cell r="AC92" t="str">
            <v>B</v>
          </cell>
          <cell r="AD92" t="str">
            <v>B</v>
          </cell>
          <cell r="AE92" t="str">
            <v>A</v>
          </cell>
          <cell r="AF92" t="str">
            <v>C</v>
          </cell>
          <cell r="AG92" t="str">
            <v>B</v>
          </cell>
          <cell r="AH92" t="str">
            <v>W</v>
          </cell>
          <cell r="AI92" t="str">
            <v>A</v>
          </cell>
          <cell r="AJ92" t="str">
            <v>C</v>
          </cell>
          <cell r="AK92" t="str">
            <v>C</v>
          </cell>
          <cell r="AL92">
            <v>3</v>
          </cell>
          <cell r="AM92">
            <v>11</v>
          </cell>
          <cell r="AN92">
            <v>9</v>
          </cell>
          <cell r="AO92">
            <v>4</v>
          </cell>
          <cell r="AP92">
            <v>4</v>
          </cell>
          <cell r="AQ92">
            <v>0</v>
          </cell>
          <cell r="AR92">
            <v>0</v>
          </cell>
          <cell r="AS92">
            <v>31</v>
          </cell>
        </row>
        <row r="93">
          <cell r="F93" t="str">
            <v>E.D</v>
          </cell>
        </row>
        <row r="94">
          <cell r="B94">
            <v>11203</v>
          </cell>
          <cell r="C94" t="str">
            <v>BISWAJIT SAHOO</v>
          </cell>
          <cell r="D94">
            <v>11139</v>
          </cell>
          <cell r="E94" t="str">
            <v>PLUMBER</v>
          </cell>
          <cell r="F94" t="str">
            <v>Duty</v>
          </cell>
          <cell r="G94" t="str">
            <v>G</v>
          </cell>
          <cell r="H94" t="str">
            <v>G</v>
          </cell>
          <cell r="I94" t="str">
            <v>G</v>
          </cell>
          <cell r="J94" t="str">
            <v>W</v>
          </cell>
          <cell r="K94" t="str">
            <v>G</v>
          </cell>
          <cell r="L94" t="str">
            <v>G</v>
          </cell>
          <cell r="M94" t="str">
            <v>G</v>
          </cell>
          <cell r="N94" t="str">
            <v>A</v>
          </cell>
          <cell r="O94" t="str">
            <v>G</v>
          </cell>
          <cell r="P94" t="str">
            <v>G</v>
          </cell>
          <cell r="Q94" t="str">
            <v>W</v>
          </cell>
          <cell r="R94" t="str">
            <v>G</v>
          </cell>
          <cell r="S94" t="str">
            <v>G</v>
          </cell>
          <cell r="T94" t="str">
            <v>G</v>
          </cell>
          <cell r="U94" t="str">
            <v>C</v>
          </cell>
          <cell r="V94" t="str">
            <v>C</v>
          </cell>
          <cell r="W94" t="str">
            <v>B</v>
          </cell>
          <cell r="X94" t="str">
            <v>W</v>
          </cell>
          <cell r="Y94" t="str">
            <v>B</v>
          </cell>
          <cell r="Z94" t="str">
            <v>G</v>
          </cell>
          <cell r="AA94" t="str">
            <v>G</v>
          </cell>
          <cell r="AB94" t="str">
            <v>C</v>
          </cell>
          <cell r="AC94" t="str">
            <v>C</v>
          </cell>
          <cell r="AD94" t="str">
            <v xml:space="preserve">Tansfer B1 to B6 </v>
          </cell>
          <cell r="AL94">
            <v>1</v>
          </cell>
          <cell r="AM94">
            <v>2</v>
          </cell>
          <cell r="AN94">
            <v>4</v>
          </cell>
          <cell r="AO94">
            <v>13</v>
          </cell>
          <cell r="AP94">
            <v>3</v>
          </cell>
          <cell r="AQ94">
            <v>0</v>
          </cell>
          <cell r="AR94">
            <v>0</v>
          </cell>
          <cell r="AS94">
            <v>23</v>
          </cell>
        </row>
        <row r="95">
          <cell r="F95" t="str">
            <v>E.D</v>
          </cell>
        </row>
        <row r="96">
          <cell r="B96">
            <v>11276</v>
          </cell>
          <cell r="C96" t="str">
            <v>GOPAL ROUT</v>
          </cell>
          <cell r="D96">
            <v>11151</v>
          </cell>
          <cell r="E96" t="str">
            <v>PLUMBER</v>
          </cell>
          <cell r="F96" t="str">
            <v>Duty</v>
          </cell>
          <cell r="G96" t="str">
            <v>B</v>
          </cell>
          <cell r="H96" t="str">
            <v>B</v>
          </cell>
          <cell r="I96" t="str">
            <v>C</v>
          </cell>
          <cell r="J96" t="str">
            <v>C</v>
          </cell>
          <cell r="K96" t="str">
            <v>C</v>
          </cell>
          <cell r="L96" t="str">
            <v>W</v>
          </cell>
          <cell r="M96" t="str">
            <v>B</v>
          </cell>
          <cell r="N96" t="str">
            <v>B</v>
          </cell>
          <cell r="O96" t="str">
            <v>B</v>
          </cell>
          <cell r="P96" t="str">
            <v>C</v>
          </cell>
          <cell r="Q96" t="str">
            <v>C</v>
          </cell>
          <cell r="R96" t="str">
            <v>B</v>
          </cell>
          <cell r="S96" t="str">
            <v>W</v>
          </cell>
          <cell r="T96" t="str">
            <v>B</v>
          </cell>
          <cell r="U96" t="str">
            <v>B</v>
          </cell>
          <cell r="V96" t="str">
            <v>G</v>
          </cell>
          <cell r="W96" t="str">
            <v>C</v>
          </cell>
          <cell r="X96" t="str">
            <v>C</v>
          </cell>
          <cell r="Y96" t="str">
            <v>B</v>
          </cell>
          <cell r="Z96" t="str">
            <v>W</v>
          </cell>
          <cell r="AA96" t="str">
            <v>B</v>
          </cell>
          <cell r="AB96" t="str">
            <v>B</v>
          </cell>
          <cell r="AC96" t="str">
            <v>B</v>
          </cell>
          <cell r="AD96" t="str">
            <v>C</v>
          </cell>
          <cell r="AE96" t="str">
            <v>C</v>
          </cell>
          <cell r="AF96" t="str">
            <v>B</v>
          </cell>
          <cell r="AG96" t="str">
            <v>W</v>
          </cell>
          <cell r="AH96" t="str">
            <v>B</v>
          </cell>
          <cell r="AI96" t="str">
            <v>B</v>
          </cell>
          <cell r="AJ96" t="str">
            <v>B</v>
          </cell>
          <cell r="AK96" t="str">
            <v>B</v>
          </cell>
          <cell r="AL96">
            <v>0</v>
          </cell>
          <cell r="AM96">
            <v>17</v>
          </cell>
          <cell r="AN96">
            <v>9</v>
          </cell>
          <cell r="AO96">
            <v>1</v>
          </cell>
          <cell r="AP96">
            <v>4</v>
          </cell>
          <cell r="AQ96">
            <v>0</v>
          </cell>
          <cell r="AR96">
            <v>0</v>
          </cell>
          <cell r="AS96">
            <v>31</v>
          </cell>
        </row>
        <row r="97">
          <cell r="F97" t="str">
            <v>E.D</v>
          </cell>
        </row>
        <row r="98">
          <cell r="B98">
            <v>11439</v>
          </cell>
          <cell r="C98" t="str">
            <v>RAJA MALIK</v>
          </cell>
          <cell r="D98">
            <v>11171</v>
          </cell>
          <cell r="E98" t="str">
            <v>PLUMBER</v>
          </cell>
          <cell r="F98" t="str">
            <v>Duty</v>
          </cell>
          <cell r="G98" t="str">
            <v>C</v>
          </cell>
          <cell r="H98" t="str">
            <v>W</v>
          </cell>
          <cell r="I98" t="str">
            <v>B</v>
          </cell>
          <cell r="J98" t="str">
            <v>L</v>
          </cell>
          <cell r="K98" t="str">
            <v>L</v>
          </cell>
          <cell r="L98" t="str">
            <v>B</v>
          </cell>
          <cell r="M98" t="str">
            <v>C</v>
          </cell>
          <cell r="N98" t="str">
            <v>C</v>
          </cell>
          <cell r="O98" t="str">
            <v>L</v>
          </cell>
          <cell r="P98" t="str">
            <v>L</v>
          </cell>
          <cell r="Q98" t="str">
            <v>L</v>
          </cell>
          <cell r="R98" t="str">
            <v>L</v>
          </cell>
          <cell r="S98" t="str">
            <v>L</v>
          </cell>
          <cell r="T98" t="str">
            <v>L</v>
          </cell>
          <cell r="U98" t="str">
            <v>L</v>
          </cell>
          <cell r="V98" t="str">
            <v>L</v>
          </cell>
          <cell r="W98" t="str">
            <v>L</v>
          </cell>
          <cell r="X98" t="str">
            <v>L</v>
          </cell>
          <cell r="Y98" t="str">
            <v>L</v>
          </cell>
          <cell r="Z98" t="str">
            <v>L</v>
          </cell>
          <cell r="AA98" t="str">
            <v>L</v>
          </cell>
          <cell r="AB98" t="str">
            <v>C</v>
          </cell>
          <cell r="AC98" t="str">
            <v>C</v>
          </cell>
          <cell r="AD98" t="str">
            <v>B</v>
          </cell>
          <cell r="AE98" t="str">
            <v>B</v>
          </cell>
          <cell r="AF98" t="str">
            <v>A</v>
          </cell>
          <cell r="AG98" t="str">
            <v>B</v>
          </cell>
          <cell r="AH98" t="str">
            <v>G</v>
          </cell>
          <cell r="AI98" t="str">
            <v>C</v>
          </cell>
          <cell r="AJ98" t="str">
            <v>W</v>
          </cell>
          <cell r="AK98" t="str">
            <v>G</v>
          </cell>
          <cell r="AL98">
            <v>1</v>
          </cell>
          <cell r="AM98">
            <v>5</v>
          </cell>
          <cell r="AN98">
            <v>6</v>
          </cell>
          <cell r="AO98">
            <v>2</v>
          </cell>
          <cell r="AP98">
            <v>2</v>
          </cell>
          <cell r="AQ98">
            <v>0</v>
          </cell>
          <cell r="AR98">
            <v>0</v>
          </cell>
          <cell r="AS98">
            <v>16</v>
          </cell>
        </row>
        <row r="99">
          <cell r="F99" t="str">
            <v>E.D</v>
          </cell>
        </row>
        <row r="100">
          <cell r="B100">
            <v>12</v>
          </cell>
          <cell r="C100" t="str">
            <v>TAPAS MALIK</v>
          </cell>
          <cell r="D100">
            <v>11240</v>
          </cell>
          <cell r="E100" t="str">
            <v>PLUMBER</v>
          </cell>
          <cell r="F100" t="str">
            <v>Duty</v>
          </cell>
          <cell r="G100" t="str">
            <v>NEW JOINING</v>
          </cell>
          <cell r="AB100" t="str">
            <v>G</v>
          </cell>
          <cell r="AC100" t="str">
            <v>G</v>
          </cell>
          <cell r="AD100" t="str">
            <v>G</v>
          </cell>
          <cell r="AE100" t="str">
            <v>G</v>
          </cell>
          <cell r="AF100" t="str">
            <v>A</v>
          </cell>
          <cell r="AG100" t="str">
            <v>G</v>
          </cell>
          <cell r="AH100" t="str">
            <v>B</v>
          </cell>
          <cell r="AI100" t="str">
            <v>B</v>
          </cell>
          <cell r="AJ100" t="str">
            <v>B</v>
          </cell>
          <cell r="AK100" t="str">
            <v>C</v>
          </cell>
          <cell r="AL100">
            <v>1</v>
          </cell>
          <cell r="AM100">
            <v>3</v>
          </cell>
          <cell r="AN100">
            <v>1</v>
          </cell>
          <cell r="AO100">
            <v>5</v>
          </cell>
          <cell r="AP100">
            <v>0</v>
          </cell>
          <cell r="AQ100">
            <v>0</v>
          </cell>
          <cell r="AR100">
            <v>0</v>
          </cell>
          <cell r="AS100">
            <v>10</v>
          </cell>
        </row>
        <row r="101">
          <cell r="F101" t="str">
            <v>E.D</v>
          </cell>
        </row>
        <row r="102">
          <cell r="B102">
            <v>10985</v>
          </cell>
          <cell r="C102" t="str">
            <v>SURYA PRAKASH ROUT</v>
          </cell>
          <cell r="D102">
            <v>11087</v>
          </cell>
          <cell r="E102" t="str">
            <v>PLUMBER</v>
          </cell>
          <cell r="F102" t="str">
            <v>Duty</v>
          </cell>
          <cell r="G102" t="str">
            <v>L</v>
          </cell>
          <cell r="H102" t="str">
            <v>L</v>
          </cell>
          <cell r="I102" t="str">
            <v>L</v>
          </cell>
          <cell r="J102" t="str">
            <v>L</v>
          </cell>
          <cell r="K102" t="str">
            <v>L</v>
          </cell>
          <cell r="L102" t="str">
            <v>L</v>
          </cell>
          <cell r="M102" t="str">
            <v>L</v>
          </cell>
          <cell r="N102" t="str">
            <v>L</v>
          </cell>
          <cell r="O102" t="str">
            <v>L</v>
          </cell>
          <cell r="P102" t="str">
            <v>L</v>
          </cell>
          <cell r="Q102" t="str">
            <v>L</v>
          </cell>
          <cell r="R102" t="str">
            <v>L</v>
          </cell>
          <cell r="S102" t="str">
            <v>L</v>
          </cell>
          <cell r="T102" t="str">
            <v>L</v>
          </cell>
          <cell r="U102" t="str">
            <v>L</v>
          </cell>
          <cell r="V102" t="str">
            <v>L</v>
          </cell>
          <cell r="W102" t="str">
            <v>L</v>
          </cell>
          <cell r="X102" t="str">
            <v>L</v>
          </cell>
          <cell r="Y102" t="str">
            <v>L</v>
          </cell>
          <cell r="Z102" t="str">
            <v>L</v>
          </cell>
          <cell r="AA102" t="str">
            <v>L</v>
          </cell>
          <cell r="AB102" t="str">
            <v>L</v>
          </cell>
          <cell r="AC102" t="str">
            <v>L</v>
          </cell>
          <cell r="AD102" t="str">
            <v>L</v>
          </cell>
          <cell r="AE102" t="str">
            <v>L</v>
          </cell>
          <cell r="AF102" t="str">
            <v>L</v>
          </cell>
          <cell r="AG102" t="str">
            <v>L</v>
          </cell>
          <cell r="AH102" t="str">
            <v>L</v>
          </cell>
          <cell r="AI102" t="str">
            <v>G</v>
          </cell>
          <cell r="AJ102" t="str">
            <v>G</v>
          </cell>
          <cell r="AK102" t="str">
            <v>A</v>
          </cell>
          <cell r="AL102">
            <v>1</v>
          </cell>
          <cell r="AM102">
            <v>0</v>
          </cell>
          <cell r="AN102">
            <v>0</v>
          </cell>
          <cell r="AO102">
            <v>2</v>
          </cell>
          <cell r="AP102">
            <v>0</v>
          </cell>
          <cell r="AQ102">
            <v>0</v>
          </cell>
          <cell r="AR102">
            <v>0</v>
          </cell>
          <cell r="AS102">
            <v>3</v>
          </cell>
        </row>
        <row r="103">
          <cell r="F103" t="str">
            <v>E.D</v>
          </cell>
        </row>
        <row r="104">
          <cell r="B104">
            <v>11214</v>
          </cell>
          <cell r="C104" t="str">
            <v>M LAXMINARAYANA</v>
          </cell>
          <cell r="D104">
            <v>11140</v>
          </cell>
          <cell r="E104" t="str">
            <v>MASON</v>
          </cell>
          <cell r="F104" t="str">
            <v>Duty</v>
          </cell>
          <cell r="G104" t="str">
            <v>G</v>
          </cell>
          <cell r="H104" t="str">
            <v>G</v>
          </cell>
          <cell r="I104" t="str">
            <v>G</v>
          </cell>
          <cell r="J104" t="str">
            <v>G</v>
          </cell>
          <cell r="K104" t="str">
            <v>G</v>
          </cell>
          <cell r="L104" t="str">
            <v>W</v>
          </cell>
          <cell r="M104" t="str">
            <v>G</v>
          </cell>
          <cell r="N104" t="str">
            <v>G</v>
          </cell>
          <cell r="O104" t="str">
            <v>G</v>
          </cell>
          <cell r="P104" t="str">
            <v>G</v>
          </cell>
          <cell r="Q104" t="str">
            <v>G</v>
          </cell>
          <cell r="R104" t="str">
            <v>G</v>
          </cell>
          <cell r="S104" t="str">
            <v>W</v>
          </cell>
          <cell r="T104" t="str">
            <v>G</v>
          </cell>
          <cell r="U104" t="str">
            <v>G</v>
          </cell>
          <cell r="V104" t="str">
            <v>G</v>
          </cell>
          <cell r="W104" t="str">
            <v>G</v>
          </cell>
          <cell r="X104" t="str">
            <v>G</v>
          </cell>
          <cell r="Y104" t="str">
            <v>G</v>
          </cell>
          <cell r="Z104" t="str">
            <v>W</v>
          </cell>
          <cell r="AA104" t="str">
            <v>G</v>
          </cell>
          <cell r="AB104" t="str">
            <v>G</v>
          </cell>
          <cell r="AC104" t="str">
            <v>G</v>
          </cell>
          <cell r="AD104" t="str">
            <v>G</v>
          </cell>
          <cell r="AE104" t="str">
            <v>G</v>
          </cell>
          <cell r="AF104" t="str">
            <v>G</v>
          </cell>
          <cell r="AG104" t="str">
            <v>W</v>
          </cell>
          <cell r="AH104" t="str">
            <v>G</v>
          </cell>
          <cell r="AI104" t="str">
            <v>G</v>
          </cell>
          <cell r="AJ104" t="str">
            <v>G</v>
          </cell>
          <cell r="AK104" t="str">
            <v>G</v>
          </cell>
          <cell r="AL104">
            <v>0</v>
          </cell>
          <cell r="AM104">
            <v>0</v>
          </cell>
          <cell r="AN104">
            <v>0</v>
          </cell>
          <cell r="AO104">
            <v>27</v>
          </cell>
          <cell r="AP104">
            <v>4</v>
          </cell>
          <cell r="AQ104">
            <v>0</v>
          </cell>
          <cell r="AR104">
            <v>0</v>
          </cell>
          <cell r="AS104">
            <v>31</v>
          </cell>
        </row>
        <row r="105">
          <cell r="F105" t="str">
            <v>E.D</v>
          </cell>
        </row>
        <row r="106">
          <cell r="B106">
            <v>11572</v>
          </cell>
          <cell r="C106" t="str">
            <v>KALLOL SEN</v>
          </cell>
          <cell r="D106">
            <v>11178</v>
          </cell>
          <cell r="E106" t="str">
            <v>PAINTER</v>
          </cell>
          <cell r="F106" t="str">
            <v>Duty</v>
          </cell>
          <cell r="G106" t="str">
            <v>G</v>
          </cell>
          <cell r="H106" t="str">
            <v>G</v>
          </cell>
          <cell r="I106" t="str">
            <v>G</v>
          </cell>
          <cell r="J106" t="str">
            <v>G</v>
          </cell>
          <cell r="K106" t="str">
            <v>G</v>
          </cell>
          <cell r="L106" t="str">
            <v>G</v>
          </cell>
          <cell r="M106" t="str">
            <v>W</v>
          </cell>
          <cell r="N106" t="str">
            <v>G</v>
          </cell>
          <cell r="O106" t="str">
            <v>G</v>
          </cell>
          <cell r="P106" t="str">
            <v>G</v>
          </cell>
          <cell r="Q106" t="str">
            <v>G</v>
          </cell>
          <cell r="R106" t="str">
            <v>G</v>
          </cell>
          <cell r="S106" t="str">
            <v>G</v>
          </cell>
          <cell r="T106" t="str">
            <v>W</v>
          </cell>
          <cell r="U106" t="str">
            <v>G</v>
          </cell>
          <cell r="V106" t="str">
            <v>G</v>
          </cell>
          <cell r="W106" t="str">
            <v>G</v>
          </cell>
          <cell r="X106" t="str">
            <v>G</v>
          </cell>
          <cell r="Y106" t="str">
            <v>G</v>
          </cell>
          <cell r="Z106" t="str">
            <v>G</v>
          </cell>
          <cell r="AA106" t="str">
            <v>W</v>
          </cell>
          <cell r="AB106" t="str">
            <v>G</v>
          </cell>
          <cell r="AC106" t="str">
            <v>G</v>
          </cell>
          <cell r="AD106" t="str">
            <v>G</v>
          </cell>
          <cell r="AE106" t="str">
            <v>G</v>
          </cell>
          <cell r="AF106" t="str">
            <v>G</v>
          </cell>
          <cell r="AG106" t="str">
            <v>G</v>
          </cell>
          <cell r="AH106" t="str">
            <v>W</v>
          </cell>
          <cell r="AI106" t="str">
            <v>G</v>
          </cell>
          <cell r="AJ106" t="str">
            <v>G</v>
          </cell>
          <cell r="AK106" t="str">
            <v>G</v>
          </cell>
          <cell r="AL106">
            <v>0</v>
          </cell>
          <cell r="AM106">
            <v>0</v>
          </cell>
          <cell r="AN106">
            <v>0</v>
          </cell>
          <cell r="AO106">
            <v>27</v>
          </cell>
          <cell r="AP106">
            <v>4</v>
          </cell>
          <cell r="AQ106">
            <v>0</v>
          </cell>
          <cell r="AR106">
            <v>0</v>
          </cell>
          <cell r="AS106">
            <v>31</v>
          </cell>
        </row>
        <row r="107">
          <cell r="F107" t="str">
            <v>E.D</v>
          </cell>
        </row>
        <row r="108">
          <cell r="B108">
            <v>11640</v>
          </cell>
          <cell r="C108" t="str">
            <v>DUNGA BODESH</v>
          </cell>
          <cell r="D108">
            <v>11193</v>
          </cell>
          <cell r="E108" t="str">
            <v>WELDER</v>
          </cell>
          <cell r="F108" t="str">
            <v>Duty</v>
          </cell>
          <cell r="G108" t="str">
            <v>C</v>
          </cell>
          <cell r="H108" t="str">
            <v>W</v>
          </cell>
          <cell r="I108" t="str">
            <v>A</v>
          </cell>
          <cell r="J108" t="str">
            <v>A</v>
          </cell>
          <cell r="K108" t="str">
            <v>B</v>
          </cell>
          <cell r="L108" t="str">
            <v>A</v>
          </cell>
          <cell r="M108" t="str">
            <v>B</v>
          </cell>
          <cell r="N108" t="str">
            <v>B</v>
          </cell>
          <cell r="O108" t="str">
            <v>W</v>
          </cell>
          <cell r="P108" t="str">
            <v>B</v>
          </cell>
          <cell r="Q108" t="str">
            <v>C</v>
          </cell>
          <cell r="R108" t="str">
            <v>C</v>
          </cell>
          <cell r="S108" t="str">
            <v>B</v>
          </cell>
          <cell r="T108" t="str">
            <v>B</v>
          </cell>
          <cell r="U108" t="str">
            <v>A</v>
          </cell>
          <cell r="V108" t="str">
            <v>W</v>
          </cell>
          <cell r="W108" t="str">
            <v>C</v>
          </cell>
          <cell r="X108" t="str">
            <v>B</v>
          </cell>
          <cell r="Y108" t="str">
            <v>C</v>
          </cell>
          <cell r="Z108" t="str">
            <v>B</v>
          </cell>
          <cell r="AA108" t="str">
            <v>A</v>
          </cell>
          <cell r="AB108" t="str">
            <v>A</v>
          </cell>
          <cell r="AC108" t="str">
            <v>W</v>
          </cell>
          <cell r="AD108" t="str">
            <v>A</v>
          </cell>
          <cell r="AE108" t="str">
            <v>C</v>
          </cell>
          <cell r="AF108" t="str">
            <v>C</v>
          </cell>
          <cell r="AG108" t="str">
            <v>B</v>
          </cell>
          <cell r="AH108" t="str">
            <v>B</v>
          </cell>
          <cell r="AI108" t="str">
            <v>B</v>
          </cell>
          <cell r="AJ108" t="str">
            <v>W</v>
          </cell>
          <cell r="AK108" t="str">
            <v>C</v>
          </cell>
          <cell r="AL108">
            <v>7</v>
          </cell>
          <cell r="AM108">
            <v>11</v>
          </cell>
          <cell r="AN108">
            <v>8</v>
          </cell>
          <cell r="AO108">
            <v>0</v>
          </cell>
          <cell r="AP108">
            <v>5</v>
          </cell>
          <cell r="AQ108">
            <v>0</v>
          </cell>
          <cell r="AR108">
            <v>0</v>
          </cell>
          <cell r="AS108">
            <v>31</v>
          </cell>
        </row>
        <row r="109">
          <cell r="F109" t="str">
            <v>E.D</v>
          </cell>
        </row>
        <row r="110">
          <cell r="B110">
            <v>12057</v>
          </cell>
          <cell r="C110" t="str">
            <v>GALLI KIRAN KUMAR</v>
          </cell>
          <cell r="D110">
            <v>11225</v>
          </cell>
          <cell r="E110" t="str">
            <v>FIRE TECHNICIAN</v>
          </cell>
          <cell r="F110" t="str">
            <v>Duty</v>
          </cell>
          <cell r="G110" t="str">
            <v>G</v>
          </cell>
          <cell r="H110" t="str">
            <v>G</v>
          </cell>
          <cell r="I110" t="str">
            <v>G</v>
          </cell>
          <cell r="J110" t="str">
            <v>G</v>
          </cell>
          <cell r="K110" t="str">
            <v>G</v>
          </cell>
          <cell r="L110" t="str">
            <v>G</v>
          </cell>
          <cell r="M110" t="str">
            <v>W</v>
          </cell>
          <cell r="N110" t="str">
            <v>G</v>
          </cell>
          <cell r="O110" t="str">
            <v>G</v>
          </cell>
          <cell r="P110" t="str">
            <v>G</v>
          </cell>
          <cell r="Q110" t="str">
            <v>G</v>
          </cell>
          <cell r="R110" t="str">
            <v>G</v>
          </cell>
          <cell r="S110" t="str">
            <v>G</v>
          </cell>
          <cell r="T110" t="str">
            <v>W</v>
          </cell>
          <cell r="U110" t="str">
            <v>G</v>
          </cell>
          <cell r="V110" t="str">
            <v>G</v>
          </cell>
          <cell r="W110" t="str">
            <v>G</v>
          </cell>
          <cell r="X110" t="str">
            <v>G</v>
          </cell>
          <cell r="Y110" t="str">
            <v>G</v>
          </cell>
          <cell r="Z110" t="str">
            <v>G</v>
          </cell>
          <cell r="AA110" t="str">
            <v>W</v>
          </cell>
          <cell r="AB110" t="str">
            <v>G</v>
          </cell>
          <cell r="AC110" t="str">
            <v>G</v>
          </cell>
          <cell r="AD110" t="str">
            <v>G</v>
          </cell>
          <cell r="AE110" t="str">
            <v>G</v>
          </cell>
          <cell r="AF110" t="str">
            <v>G</v>
          </cell>
          <cell r="AG110" t="str">
            <v>G</v>
          </cell>
          <cell r="AH110" t="str">
            <v>W</v>
          </cell>
          <cell r="AI110" t="str">
            <v>G</v>
          </cell>
          <cell r="AJ110" t="str">
            <v>G</v>
          </cell>
          <cell r="AK110" t="str">
            <v>G</v>
          </cell>
          <cell r="AL110">
            <v>0</v>
          </cell>
          <cell r="AM110">
            <v>0</v>
          </cell>
          <cell r="AN110">
            <v>0</v>
          </cell>
          <cell r="AO110">
            <v>27</v>
          </cell>
          <cell r="AP110">
            <v>4</v>
          </cell>
          <cell r="AQ110">
            <v>0</v>
          </cell>
          <cell r="AR110">
            <v>0</v>
          </cell>
          <cell r="AS110">
            <v>31</v>
          </cell>
        </row>
        <row r="111">
          <cell r="F111" t="str">
            <v>E.D</v>
          </cell>
        </row>
        <row r="112">
          <cell r="B112">
            <v>12141</v>
          </cell>
          <cell r="C112" t="str">
            <v>BANDARI DHAN RAJ</v>
          </cell>
          <cell r="D112">
            <v>11226</v>
          </cell>
          <cell r="E112" t="str">
            <v>CARPENTER</v>
          </cell>
          <cell r="F112" t="str">
            <v>Duty</v>
          </cell>
          <cell r="G112" t="str">
            <v>G</v>
          </cell>
          <cell r="H112" t="str">
            <v>G</v>
          </cell>
          <cell r="I112" t="str">
            <v>G</v>
          </cell>
          <cell r="J112" t="str">
            <v>G</v>
          </cell>
          <cell r="K112" t="str">
            <v>W</v>
          </cell>
          <cell r="L112" t="str">
            <v>G</v>
          </cell>
          <cell r="M112" t="str">
            <v>L</v>
          </cell>
          <cell r="N112" t="str">
            <v>G</v>
          </cell>
          <cell r="O112" t="str">
            <v>G</v>
          </cell>
          <cell r="P112" t="str">
            <v>G</v>
          </cell>
          <cell r="Q112" t="str">
            <v>G</v>
          </cell>
          <cell r="R112" t="str">
            <v>W</v>
          </cell>
          <cell r="S112" t="str">
            <v>L</v>
          </cell>
          <cell r="T112" t="str">
            <v>G</v>
          </cell>
          <cell r="U112" t="str">
            <v>G</v>
          </cell>
          <cell r="V112" t="str">
            <v>G</v>
          </cell>
          <cell r="W112" t="str">
            <v>L</v>
          </cell>
          <cell r="X112" t="str">
            <v>L</v>
          </cell>
          <cell r="Y112" t="str">
            <v>W</v>
          </cell>
          <cell r="Z112" t="str">
            <v>G</v>
          </cell>
          <cell r="AA112" t="str">
            <v>G</v>
          </cell>
          <cell r="AB112" t="str">
            <v>G</v>
          </cell>
          <cell r="AC112" t="str">
            <v>G</v>
          </cell>
          <cell r="AD112" t="str">
            <v>G</v>
          </cell>
          <cell r="AE112" t="str">
            <v>G</v>
          </cell>
          <cell r="AF112" t="str">
            <v>W</v>
          </cell>
          <cell r="AG112" t="str">
            <v>L</v>
          </cell>
          <cell r="AH112" t="str">
            <v>G</v>
          </cell>
          <cell r="AI112" t="str">
            <v>G</v>
          </cell>
          <cell r="AJ112" t="str">
            <v>G</v>
          </cell>
          <cell r="AK112" t="str">
            <v>G</v>
          </cell>
          <cell r="AL112">
            <v>0</v>
          </cell>
          <cell r="AM112">
            <v>0</v>
          </cell>
          <cell r="AN112">
            <v>0</v>
          </cell>
          <cell r="AO112">
            <v>22</v>
          </cell>
          <cell r="AP112">
            <v>4</v>
          </cell>
          <cell r="AQ112">
            <v>0</v>
          </cell>
          <cell r="AR112">
            <v>0</v>
          </cell>
          <cell r="AS112">
            <v>26</v>
          </cell>
        </row>
        <row r="113">
          <cell r="F113" t="str">
            <v>E.D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"/>
      <sheetName val="BANT STMT"/>
      <sheetName val="Sheet1"/>
      <sheetName val="PF ESI REPORT"/>
      <sheetName val="INVOICE BREAKUP"/>
    </sheetNames>
    <sheetDataSet>
      <sheetData sheetId="0" refreshError="1"/>
      <sheetData sheetId="1">
        <row r="4">
          <cell r="C4">
            <v>10265</v>
          </cell>
          <cell r="D4" t="str">
            <v>PONAMANTI SANTHOSH</v>
          </cell>
          <cell r="E4" t="str">
            <v>SUPERVISIOR</v>
          </cell>
          <cell r="F4" t="str">
            <v>SHIFT</v>
          </cell>
          <cell r="G4" t="str">
            <v>A</v>
          </cell>
          <cell r="H4" t="str">
            <v>C</v>
          </cell>
          <cell r="I4" t="str">
            <v>W/O</v>
          </cell>
          <cell r="J4" t="str">
            <v>G</v>
          </cell>
          <cell r="K4" t="str">
            <v>A</v>
          </cell>
          <cell r="L4" t="str">
            <v>B</v>
          </cell>
          <cell r="M4" t="str">
            <v>A</v>
          </cell>
          <cell r="N4" t="str">
            <v>C</v>
          </cell>
          <cell r="O4" t="str">
            <v>C</v>
          </cell>
          <cell r="P4" t="str">
            <v>W/O</v>
          </cell>
          <cell r="Q4" t="str">
            <v>C</v>
          </cell>
          <cell r="R4" t="str">
            <v>G</v>
          </cell>
          <cell r="S4" t="str">
            <v>G</v>
          </cell>
          <cell r="T4" t="str">
            <v>C</v>
          </cell>
          <cell r="U4" t="str">
            <v>C</v>
          </cell>
          <cell r="V4" t="str">
            <v>A</v>
          </cell>
          <cell r="W4" t="str">
            <v>W/O</v>
          </cell>
          <cell r="X4" t="str">
            <v>G</v>
          </cell>
          <cell r="Y4" t="str">
            <v>C</v>
          </cell>
          <cell r="Z4" t="str">
            <v>A</v>
          </cell>
          <cell r="AA4" t="str">
            <v>C</v>
          </cell>
          <cell r="AB4" t="str">
            <v>C</v>
          </cell>
          <cell r="AC4" t="str">
            <v>C</v>
          </cell>
          <cell r="AD4" t="str">
            <v>W/O</v>
          </cell>
          <cell r="AE4" t="str">
            <v>G</v>
          </cell>
          <cell r="AF4" t="str">
            <v>C</v>
          </cell>
          <cell r="AG4" t="str">
            <v>A</v>
          </cell>
          <cell r="AH4" t="str">
            <v>B</v>
          </cell>
          <cell r="AI4" t="str">
            <v>C</v>
          </cell>
          <cell r="AJ4" t="str">
            <v>C</v>
          </cell>
          <cell r="AK4" t="str">
            <v>W/O</v>
          </cell>
          <cell r="AL4">
            <v>0</v>
          </cell>
          <cell r="AM4">
            <v>0</v>
          </cell>
          <cell r="AN4">
            <v>26</v>
          </cell>
          <cell r="AO4">
            <v>5</v>
          </cell>
          <cell r="AP4">
            <v>31</v>
          </cell>
          <cell r="AQ4">
            <v>0</v>
          </cell>
          <cell r="AR4">
            <v>31</v>
          </cell>
        </row>
        <row r="5">
          <cell r="F5" t="str">
            <v>ED</v>
          </cell>
        </row>
        <row r="6">
          <cell r="C6">
            <v>11658</v>
          </cell>
          <cell r="D6" t="str">
            <v>YAKKALA PULLARAO</v>
          </cell>
          <cell r="E6" t="str">
            <v>SUPERVISIOR</v>
          </cell>
          <cell r="F6" t="str">
            <v>SHIFT</v>
          </cell>
          <cell r="G6" t="str">
            <v>W/O</v>
          </cell>
          <cell r="H6" t="str">
            <v>L</v>
          </cell>
          <cell r="I6" t="str">
            <v>C</v>
          </cell>
          <cell r="J6" t="str">
            <v>C</v>
          </cell>
          <cell r="K6" t="str">
            <v>A</v>
          </cell>
          <cell r="L6" t="str">
            <v>A</v>
          </cell>
          <cell r="M6" t="str">
            <v>C</v>
          </cell>
          <cell r="N6" t="str">
            <v>W/O</v>
          </cell>
          <cell r="O6" t="str">
            <v>A</v>
          </cell>
          <cell r="P6" t="str">
            <v>A</v>
          </cell>
          <cell r="Q6" t="str">
            <v>G</v>
          </cell>
          <cell r="R6" t="str">
            <v>A</v>
          </cell>
          <cell r="S6" t="str">
            <v>L</v>
          </cell>
          <cell r="T6" t="str">
            <v>L</v>
          </cell>
          <cell r="U6" t="str">
            <v>L</v>
          </cell>
          <cell r="V6" t="str">
            <v>L</v>
          </cell>
          <cell r="W6" t="str">
            <v>L</v>
          </cell>
          <cell r="X6" t="str">
            <v>L</v>
          </cell>
          <cell r="Y6" t="str">
            <v>L</v>
          </cell>
          <cell r="Z6" t="str">
            <v>L</v>
          </cell>
          <cell r="AA6" t="str">
            <v>L</v>
          </cell>
          <cell r="AB6" t="str">
            <v>L</v>
          </cell>
          <cell r="AC6" t="str">
            <v>L</v>
          </cell>
          <cell r="AD6" t="str">
            <v>C</v>
          </cell>
          <cell r="AE6" t="str">
            <v>A</v>
          </cell>
          <cell r="AF6" t="str">
            <v>A</v>
          </cell>
          <cell r="AG6" t="str">
            <v>C</v>
          </cell>
          <cell r="AH6" t="str">
            <v>A</v>
          </cell>
          <cell r="AI6" t="str">
            <v>W/O</v>
          </cell>
          <cell r="AJ6" t="str">
            <v>A</v>
          </cell>
          <cell r="AK6" t="str">
            <v>A</v>
          </cell>
          <cell r="AL6">
            <v>12</v>
          </cell>
          <cell r="AM6">
            <v>0</v>
          </cell>
          <cell r="AN6">
            <v>16</v>
          </cell>
          <cell r="AO6">
            <v>3</v>
          </cell>
          <cell r="AP6">
            <v>19</v>
          </cell>
          <cell r="AQ6">
            <v>0</v>
          </cell>
          <cell r="AR6">
            <v>19</v>
          </cell>
        </row>
        <row r="7">
          <cell r="F7" t="str">
            <v>ED</v>
          </cell>
        </row>
        <row r="8">
          <cell r="C8">
            <v>10375</v>
          </cell>
          <cell r="D8" t="str">
            <v>VYKUNTHA</v>
          </cell>
          <cell r="E8" t="str">
            <v>SUPERVISIOR</v>
          </cell>
          <cell r="F8" t="str">
            <v>SHIFT</v>
          </cell>
          <cell r="G8" t="str">
            <v>B</v>
          </cell>
          <cell r="H8" t="str">
            <v>A</v>
          </cell>
          <cell r="I8" t="str">
            <v>B</v>
          </cell>
          <cell r="J8" t="str">
            <v>B</v>
          </cell>
          <cell r="K8" t="str">
            <v>W/O</v>
          </cell>
          <cell r="L8" t="str">
            <v>A</v>
          </cell>
          <cell r="M8" t="str">
            <v>C</v>
          </cell>
          <cell r="N8" t="str">
            <v>B</v>
          </cell>
          <cell r="O8" t="str">
            <v>B</v>
          </cell>
          <cell r="P8" t="str">
            <v>C</v>
          </cell>
          <cell r="Q8" t="str">
            <v>B</v>
          </cell>
          <cell r="R8" t="str">
            <v>W/O</v>
          </cell>
          <cell r="S8" t="str">
            <v>A</v>
          </cell>
          <cell r="T8" t="str">
            <v>B</v>
          </cell>
          <cell r="U8" t="str">
            <v>G</v>
          </cell>
          <cell r="V8" t="str">
            <v>B</v>
          </cell>
          <cell r="W8" t="str">
            <v>C</v>
          </cell>
          <cell r="X8" t="str">
            <v>C</v>
          </cell>
          <cell r="Y8" t="str">
            <v>W/O</v>
          </cell>
          <cell r="Z8" t="str">
            <v>C</v>
          </cell>
          <cell r="AA8" t="str">
            <v>A</v>
          </cell>
          <cell r="AB8" t="str">
            <v>A</v>
          </cell>
          <cell r="AC8" t="str">
            <v>B</v>
          </cell>
          <cell r="AD8" t="str">
            <v>B</v>
          </cell>
          <cell r="AE8" t="str">
            <v>C</v>
          </cell>
          <cell r="AF8" t="str">
            <v>W/O</v>
          </cell>
          <cell r="AG8" t="str">
            <v>B</v>
          </cell>
          <cell r="AH8" t="str">
            <v>B</v>
          </cell>
          <cell r="AI8" t="str">
            <v>B</v>
          </cell>
          <cell r="AJ8" t="str">
            <v>B</v>
          </cell>
          <cell r="AK8" t="str">
            <v>C</v>
          </cell>
          <cell r="AL8">
            <v>0</v>
          </cell>
          <cell r="AM8">
            <v>0</v>
          </cell>
          <cell r="AN8">
            <v>27</v>
          </cell>
          <cell r="AO8">
            <v>4</v>
          </cell>
          <cell r="AP8">
            <v>31</v>
          </cell>
          <cell r="AQ8">
            <v>0</v>
          </cell>
          <cell r="AR8">
            <v>31</v>
          </cell>
        </row>
        <row r="9">
          <cell r="F9" t="str">
            <v>ED</v>
          </cell>
        </row>
        <row r="10">
          <cell r="C10">
            <v>11990</v>
          </cell>
          <cell r="D10" t="str">
            <v>MUKKERA SADANANDAM</v>
          </cell>
          <cell r="E10" t="str">
            <v>SUPERVISIOR</v>
          </cell>
          <cell r="F10" t="str">
            <v>SHIFT</v>
          </cell>
          <cell r="G10" t="str">
            <v>L</v>
          </cell>
          <cell r="H10" t="str">
            <v>L</v>
          </cell>
          <cell r="I10" t="str">
            <v>L</v>
          </cell>
          <cell r="J10" t="str">
            <v>L</v>
          </cell>
          <cell r="K10" t="str">
            <v>L</v>
          </cell>
          <cell r="L10" t="str">
            <v>C</v>
          </cell>
          <cell r="M10" t="str">
            <v>B</v>
          </cell>
          <cell r="N10" t="str">
            <v>A</v>
          </cell>
          <cell r="O10" t="str">
            <v>W/O</v>
          </cell>
          <cell r="P10" t="str">
            <v>B</v>
          </cell>
          <cell r="Q10" t="str">
            <v>A</v>
          </cell>
          <cell r="R10" t="str">
            <v>C</v>
          </cell>
          <cell r="S10" t="str">
            <v>B</v>
          </cell>
          <cell r="T10" t="str">
            <v>G</v>
          </cell>
          <cell r="U10" t="str">
            <v>B</v>
          </cell>
          <cell r="V10" t="str">
            <v>W/O</v>
          </cell>
          <cell r="W10" t="str">
            <v>B</v>
          </cell>
          <cell r="X10" t="str">
            <v>B</v>
          </cell>
          <cell r="Y10" t="str">
            <v>B</v>
          </cell>
          <cell r="Z10" t="str">
            <v>B</v>
          </cell>
          <cell r="AA10" t="str">
            <v>B</v>
          </cell>
          <cell r="AB10" t="str">
            <v>B</v>
          </cell>
          <cell r="AC10" t="str">
            <v>W/O</v>
          </cell>
          <cell r="AD10" t="str">
            <v>A</v>
          </cell>
          <cell r="AE10" t="str">
            <v>G</v>
          </cell>
          <cell r="AF10" t="str">
            <v>B</v>
          </cell>
          <cell r="AG10" t="str">
            <v>G</v>
          </cell>
          <cell r="AH10" t="str">
            <v>C</v>
          </cell>
          <cell r="AI10" t="str">
            <v>A</v>
          </cell>
          <cell r="AJ10" t="str">
            <v>W/O</v>
          </cell>
          <cell r="AK10" t="str">
            <v>B</v>
          </cell>
          <cell r="AL10">
            <v>5</v>
          </cell>
          <cell r="AM10">
            <v>0</v>
          </cell>
          <cell r="AN10">
            <v>22</v>
          </cell>
          <cell r="AO10">
            <v>4</v>
          </cell>
          <cell r="AP10">
            <v>26</v>
          </cell>
          <cell r="AQ10">
            <v>0</v>
          </cell>
          <cell r="AR10">
            <v>26</v>
          </cell>
        </row>
        <row r="11">
          <cell r="F11" t="str">
            <v>ED</v>
          </cell>
        </row>
        <row r="12">
          <cell r="C12">
            <v>11391</v>
          </cell>
          <cell r="D12" t="str">
            <v>MADDURI ANIL</v>
          </cell>
          <cell r="E12" t="str">
            <v>SUPERVISIOR</v>
          </cell>
          <cell r="F12" t="str">
            <v>SHIFT</v>
          </cell>
          <cell r="G12" t="str">
            <v>L</v>
          </cell>
          <cell r="H12" t="str">
            <v>L</v>
          </cell>
          <cell r="I12" t="str">
            <v>A</v>
          </cell>
          <cell r="J12" t="str">
            <v>A</v>
          </cell>
          <cell r="K12" t="str">
            <v>L</v>
          </cell>
          <cell r="L12" t="str">
            <v>L</v>
          </cell>
          <cell r="M12" t="str">
            <v>L</v>
          </cell>
          <cell r="N12" t="str">
            <v>L</v>
          </cell>
          <cell r="O12" t="str">
            <v>L</v>
          </cell>
          <cell r="P12" t="str">
            <v>L</v>
          </cell>
          <cell r="Q12" t="str">
            <v>L</v>
          </cell>
          <cell r="R12" t="str">
            <v>L</v>
          </cell>
          <cell r="S12" t="str">
            <v>L</v>
          </cell>
          <cell r="T12" t="str">
            <v>A</v>
          </cell>
          <cell r="U12" t="str">
            <v>A</v>
          </cell>
          <cell r="V12" t="str">
            <v>W/O</v>
          </cell>
          <cell r="W12" t="str">
            <v>A</v>
          </cell>
          <cell r="X12" t="str">
            <v>A</v>
          </cell>
          <cell r="Y12" t="str">
            <v>A</v>
          </cell>
          <cell r="Z12" t="str">
            <v>L</v>
          </cell>
          <cell r="AA12" t="str">
            <v>L</v>
          </cell>
          <cell r="AB12" t="str">
            <v>L</v>
          </cell>
          <cell r="AC12" t="str">
            <v>L</v>
          </cell>
          <cell r="AD12" t="str">
            <v>L</v>
          </cell>
          <cell r="AE12" t="str">
            <v>L</v>
          </cell>
          <cell r="AF12" t="str">
            <v>L</v>
          </cell>
          <cell r="AG12" t="str">
            <v>L</v>
          </cell>
          <cell r="AH12" t="str">
            <v>L</v>
          </cell>
          <cell r="AI12" t="str">
            <v>L</v>
          </cell>
          <cell r="AJ12" t="str">
            <v>L</v>
          </cell>
          <cell r="AK12" t="str">
            <v>L</v>
          </cell>
          <cell r="AL12">
            <v>23</v>
          </cell>
          <cell r="AM12">
            <v>0</v>
          </cell>
          <cell r="AN12">
            <v>7</v>
          </cell>
          <cell r="AO12">
            <v>1</v>
          </cell>
          <cell r="AP12">
            <v>8</v>
          </cell>
          <cell r="AQ12">
            <v>0</v>
          </cell>
          <cell r="AR12">
            <v>8</v>
          </cell>
        </row>
        <row r="13">
          <cell r="F13" t="str">
            <v>ED</v>
          </cell>
        </row>
        <row r="14">
          <cell r="C14">
            <v>12104</v>
          </cell>
          <cell r="D14" t="str">
            <v>P.GANESH</v>
          </cell>
          <cell r="E14" t="str">
            <v>ELECTRICIAN</v>
          </cell>
          <cell r="F14" t="str">
            <v>SHIFT</v>
          </cell>
          <cell r="G14" t="str">
            <v>NEW JOINING</v>
          </cell>
          <cell r="T14" t="str">
            <v>B</v>
          </cell>
          <cell r="U14" t="str">
            <v>G</v>
          </cell>
          <cell r="V14" t="str">
            <v>G</v>
          </cell>
          <cell r="W14" t="str">
            <v>G</v>
          </cell>
          <cell r="X14" t="str">
            <v>G</v>
          </cell>
          <cell r="Y14" t="str">
            <v>G</v>
          </cell>
          <cell r="Z14" t="str">
            <v>G</v>
          </cell>
          <cell r="AA14" t="str">
            <v>G</v>
          </cell>
          <cell r="AB14" t="str">
            <v>G</v>
          </cell>
          <cell r="AC14" t="str">
            <v>W/O</v>
          </cell>
          <cell r="AD14" t="str">
            <v>G</v>
          </cell>
          <cell r="AE14" t="str">
            <v>G</v>
          </cell>
          <cell r="AF14" t="str">
            <v>G</v>
          </cell>
          <cell r="AG14" t="str">
            <v>G</v>
          </cell>
          <cell r="AH14" t="str">
            <v>G</v>
          </cell>
          <cell r="AI14" t="str">
            <v>G</v>
          </cell>
          <cell r="AJ14" t="str">
            <v>W/O</v>
          </cell>
          <cell r="AK14" t="str">
            <v>G</v>
          </cell>
          <cell r="AL14">
            <v>0</v>
          </cell>
          <cell r="AM14">
            <v>0</v>
          </cell>
          <cell r="AN14">
            <v>16</v>
          </cell>
          <cell r="AO14">
            <v>2</v>
          </cell>
          <cell r="AP14">
            <v>18</v>
          </cell>
          <cell r="AQ14">
            <v>0</v>
          </cell>
          <cell r="AR14">
            <v>18</v>
          </cell>
        </row>
        <row r="15">
          <cell r="F15" t="str">
            <v>ED</v>
          </cell>
        </row>
        <row r="16">
          <cell r="C16">
            <v>11194</v>
          </cell>
          <cell r="D16" t="str">
            <v>MUKALLA BALAKRUSHNA</v>
          </cell>
          <cell r="E16" t="str">
            <v>ELECTRICIAN</v>
          </cell>
          <cell r="F16" t="str">
            <v>SHIFT</v>
          </cell>
          <cell r="G16" t="str">
            <v>W/O</v>
          </cell>
          <cell r="H16" t="str">
            <v>B</v>
          </cell>
          <cell r="I16" t="str">
            <v>G</v>
          </cell>
          <cell r="J16" t="str">
            <v>A</v>
          </cell>
          <cell r="K16" t="str">
            <v>C</v>
          </cell>
          <cell r="L16" t="str">
            <v>C</v>
          </cell>
          <cell r="M16" t="str">
            <v>C</v>
          </cell>
          <cell r="N16" t="str">
            <v>W/O</v>
          </cell>
          <cell r="O16" t="str">
            <v>B</v>
          </cell>
          <cell r="P16" t="str">
            <v>G</v>
          </cell>
          <cell r="Q16" t="str">
            <v>A</v>
          </cell>
          <cell r="R16" t="str">
            <v>C</v>
          </cell>
          <cell r="S16" t="str">
            <v>C</v>
          </cell>
          <cell r="T16" t="str">
            <v>C</v>
          </cell>
          <cell r="U16" t="str">
            <v>W/O</v>
          </cell>
          <cell r="V16" t="str">
            <v>B</v>
          </cell>
          <cell r="W16" t="str">
            <v>G</v>
          </cell>
          <cell r="X16" t="str">
            <v>A</v>
          </cell>
          <cell r="Y16" t="str">
            <v>C</v>
          </cell>
          <cell r="Z16" t="str">
            <v>C</v>
          </cell>
          <cell r="AA16" t="str">
            <v>C</v>
          </cell>
          <cell r="AB16" t="str">
            <v>W/O</v>
          </cell>
          <cell r="AC16" t="str">
            <v>B</v>
          </cell>
          <cell r="AD16" t="str">
            <v>G</v>
          </cell>
          <cell r="AE16" t="str">
            <v>A</v>
          </cell>
          <cell r="AF16" t="str">
            <v>C</v>
          </cell>
          <cell r="AG16" t="str">
            <v>C</v>
          </cell>
          <cell r="AH16" t="str">
            <v>C</v>
          </cell>
          <cell r="AI16" t="str">
            <v>W/O</v>
          </cell>
          <cell r="AJ16" t="str">
            <v>B</v>
          </cell>
          <cell r="AK16" t="str">
            <v>G</v>
          </cell>
          <cell r="AL16">
            <v>0</v>
          </cell>
          <cell r="AM16">
            <v>0</v>
          </cell>
          <cell r="AN16">
            <v>26</v>
          </cell>
          <cell r="AO16">
            <v>5</v>
          </cell>
          <cell r="AP16">
            <v>31</v>
          </cell>
          <cell r="AQ16">
            <v>0</v>
          </cell>
          <cell r="AR16">
            <v>31</v>
          </cell>
        </row>
        <row r="17">
          <cell r="F17" t="str">
            <v>ED</v>
          </cell>
        </row>
        <row r="18">
          <cell r="C18">
            <v>11654</v>
          </cell>
          <cell r="D18" t="str">
            <v>BOOKA NARASIMHA</v>
          </cell>
          <cell r="E18" t="str">
            <v>ELECTRICIAN</v>
          </cell>
          <cell r="F18" t="str">
            <v>SHIFT</v>
          </cell>
          <cell r="G18" t="str">
            <v>C</v>
          </cell>
          <cell r="H18" t="str">
            <v>C</v>
          </cell>
          <cell r="I18" t="str">
            <v>W/O</v>
          </cell>
          <cell r="J18" t="str">
            <v>B</v>
          </cell>
          <cell r="K18" t="str">
            <v>G</v>
          </cell>
          <cell r="L18" t="str">
            <v>A</v>
          </cell>
          <cell r="M18" t="str">
            <v>B</v>
          </cell>
          <cell r="N18" t="str">
            <v>C</v>
          </cell>
          <cell r="O18" t="str">
            <v>C</v>
          </cell>
          <cell r="P18" t="str">
            <v>W/O</v>
          </cell>
          <cell r="Q18" t="str">
            <v>B</v>
          </cell>
          <cell r="R18" t="str">
            <v>A</v>
          </cell>
          <cell r="S18" t="str">
            <v>A</v>
          </cell>
          <cell r="T18" t="str">
            <v>B</v>
          </cell>
          <cell r="U18" t="str">
            <v>C</v>
          </cell>
          <cell r="V18" t="str">
            <v>A</v>
          </cell>
          <cell r="W18" t="str">
            <v>W/O</v>
          </cell>
          <cell r="X18" t="str">
            <v>B</v>
          </cell>
          <cell r="Y18" t="str">
            <v>G</v>
          </cell>
          <cell r="Z18" t="str">
            <v>A</v>
          </cell>
          <cell r="AA18" t="str">
            <v>A</v>
          </cell>
          <cell r="AB18" t="str">
            <v>C</v>
          </cell>
          <cell r="AC18" t="str">
            <v>C</v>
          </cell>
          <cell r="AD18" t="str">
            <v>W/O</v>
          </cell>
          <cell r="AE18" t="str">
            <v>B</v>
          </cell>
          <cell r="AF18" t="str">
            <v>G</v>
          </cell>
          <cell r="AG18" t="str">
            <v>A</v>
          </cell>
          <cell r="AH18" t="str">
            <v>B</v>
          </cell>
          <cell r="AI18" t="str">
            <v>C</v>
          </cell>
          <cell r="AJ18" t="str">
            <v>A</v>
          </cell>
          <cell r="AK18" t="str">
            <v>W/O</v>
          </cell>
          <cell r="AL18">
            <v>0</v>
          </cell>
          <cell r="AM18">
            <v>0</v>
          </cell>
          <cell r="AN18">
            <v>26</v>
          </cell>
          <cell r="AO18">
            <v>5</v>
          </cell>
          <cell r="AP18">
            <v>31</v>
          </cell>
          <cell r="AQ18">
            <v>0</v>
          </cell>
          <cell r="AR18">
            <v>31</v>
          </cell>
        </row>
        <row r="19">
          <cell r="F19" t="str">
            <v>ED</v>
          </cell>
        </row>
        <row r="20">
          <cell r="C20">
            <v>11216</v>
          </cell>
          <cell r="D20" t="str">
            <v>MENDA DILLESWARA RAO</v>
          </cell>
          <cell r="E20" t="str">
            <v>ELECTRICIAN</v>
          </cell>
          <cell r="F20" t="str">
            <v>SHIFT</v>
          </cell>
          <cell r="G20" t="str">
            <v>B</v>
          </cell>
          <cell r="H20" t="str">
            <v>A</v>
          </cell>
          <cell r="I20" t="str">
            <v>C</v>
          </cell>
          <cell r="J20" t="str">
            <v>C</v>
          </cell>
          <cell r="K20" t="str">
            <v>W/O</v>
          </cell>
          <cell r="L20" t="str">
            <v>B</v>
          </cell>
          <cell r="M20" t="str">
            <v>A</v>
          </cell>
          <cell r="N20" t="str">
            <v>G</v>
          </cell>
          <cell r="O20" t="str">
            <v>A</v>
          </cell>
          <cell r="P20" t="str">
            <v>C</v>
          </cell>
          <cell r="Q20" t="str">
            <v>C</v>
          </cell>
          <cell r="R20" t="str">
            <v>W/O</v>
          </cell>
          <cell r="S20" t="str">
            <v>B</v>
          </cell>
          <cell r="T20" t="str">
            <v>A</v>
          </cell>
          <cell r="U20" t="str">
            <v>G</v>
          </cell>
          <cell r="V20" t="str">
            <v>C</v>
          </cell>
          <cell r="W20" t="str">
            <v>C</v>
          </cell>
          <cell r="X20" t="str">
            <v>C</v>
          </cell>
          <cell r="Y20" t="str">
            <v>W/O</v>
          </cell>
          <cell r="Z20" t="str">
            <v>B</v>
          </cell>
          <cell r="AA20" t="str">
            <v>B</v>
          </cell>
          <cell r="AB20" t="str">
            <v>G</v>
          </cell>
          <cell r="AC20" t="str">
            <v>A</v>
          </cell>
          <cell r="AD20" t="str">
            <v>C</v>
          </cell>
          <cell r="AE20" t="str">
            <v>C</v>
          </cell>
          <cell r="AF20" t="str">
            <v>W/O</v>
          </cell>
          <cell r="AG20" t="str">
            <v>B</v>
          </cell>
          <cell r="AH20" t="str">
            <v>A</v>
          </cell>
          <cell r="AI20" t="str">
            <v>G</v>
          </cell>
          <cell r="AJ20" t="str">
            <v>C</v>
          </cell>
          <cell r="AK20" t="str">
            <v>C</v>
          </cell>
          <cell r="AL20">
            <v>0</v>
          </cell>
          <cell r="AM20">
            <v>0</v>
          </cell>
          <cell r="AN20">
            <v>27</v>
          </cell>
          <cell r="AO20">
            <v>4</v>
          </cell>
          <cell r="AP20">
            <v>31</v>
          </cell>
          <cell r="AQ20">
            <v>0</v>
          </cell>
          <cell r="AR20">
            <v>31</v>
          </cell>
        </row>
        <row r="21">
          <cell r="F21" t="str">
            <v>ED</v>
          </cell>
        </row>
        <row r="22">
          <cell r="C22">
            <v>11514</v>
          </cell>
          <cell r="D22" t="str">
            <v>BADANA JAGAN MOHAN RAO</v>
          </cell>
          <cell r="E22" t="str">
            <v>HVAC</v>
          </cell>
          <cell r="F22" t="str">
            <v>SHIFT</v>
          </cell>
          <cell r="G22" t="str">
            <v>C</v>
          </cell>
          <cell r="H22" t="str">
            <v>A</v>
          </cell>
          <cell r="I22" t="str">
            <v>W/O</v>
          </cell>
          <cell r="J22" t="str">
            <v>G</v>
          </cell>
          <cell r="K22" t="str">
            <v>B</v>
          </cell>
          <cell r="L22" t="str">
            <v>A</v>
          </cell>
          <cell r="M22" t="str">
            <v>C</v>
          </cell>
          <cell r="N22" t="str">
            <v>C</v>
          </cell>
          <cell r="O22" t="str">
            <v>C</v>
          </cell>
          <cell r="P22" t="str">
            <v>W/O</v>
          </cell>
          <cell r="Q22" t="str">
            <v>G</v>
          </cell>
          <cell r="R22" t="str">
            <v>B</v>
          </cell>
          <cell r="S22" t="str">
            <v>C</v>
          </cell>
          <cell r="T22" t="str">
            <v>C</v>
          </cell>
          <cell r="U22" t="str">
            <v>C</v>
          </cell>
          <cell r="V22" t="str">
            <v>C</v>
          </cell>
          <cell r="W22" t="str">
            <v>W/O</v>
          </cell>
          <cell r="X22" t="str">
            <v>A</v>
          </cell>
          <cell r="Y22" t="str">
            <v>G</v>
          </cell>
          <cell r="Z22" t="str">
            <v>B</v>
          </cell>
          <cell r="AA22" t="str">
            <v>C</v>
          </cell>
          <cell r="AB22" t="str">
            <v>C</v>
          </cell>
          <cell r="AC22" t="str">
            <v>B</v>
          </cell>
          <cell r="AD22" t="str">
            <v>W/O</v>
          </cell>
          <cell r="AE22" t="str">
            <v>G</v>
          </cell>
          <cell r="AF22" t="str">
            <v>C</v>
          </cell>
          <cell r="AG22" t="str">
            <v>A</v>
          </cell>
          <cell r="AH22" t="str">
            <v>A</v>
          </cell>
          <cell r="AI22" t="str">
            <v>C</v>
          </cell>
          <cell r="AJ22" t="str">
            <v>B</v>
          </cell>
          <cell r="AK22" t="str">
            <v>W/O</v>
          </cell>
          <cell r="AL22">
            <v>0</v>
          </cell>
          <cell r="AM22">
            <v>0</v>
          </cell>
          <cell r="AN22">
            <v>26</v>
          </cell>
          <cell r="AO22">
            <v>5</v>
          </cell>
          <cell r="AP22">
            <v>31</v>
          </cell>
          <cell r="AQ22">
            <v>0</v>
          </cell>
          <cell r="AR22">
            <v>31</v>
          </cell>
        </row>
        <row r="23">
          <cell r="F23" t="str">
            <v>ED</v>
          </cell>
        </row>
        <row r="24">
          <cell r="C24">
            <v>10222</v>
          </cell>
          <cell r="D24" t="str">
            <v>ANAGANDULA SRINIVAS</v>
          </cell>
          <cell r="E24" t="str">
            <v>HVAC</v>
          </cell>
          <cell r="F24" t="str">
            <v>SHIFT</v>
          </cell>
          <cell r="G24" t="str">
            <v>W/O</v>
          </cell>
          <cell r="H24" t="str">
            <v>B</v>
          </cell>
          <cell r="I24" t="str">
            <v>B</v>
          </cell>
          <cell r="J24" t="str">
            <v>A</v>
          </cell>
          <cell r="K24" t="str">
            <v>A</v>
          </cell>
          <cell r="L24" t="str">
            <v>C</v>
          </cell>
          <cell r="M24" t="str">
            <v>A</v>
          </cell>
          <cell r="N24" t="str">
            <v>W/O</v>
          </cell>
          <cell r="O24" t="str">
            <v>B</v>
          </cell>
          <cell r="P24" t="str">
            <v>B</v>
          </cell>
          <cell r="Q24" t="str">
            <v>B</v>
          </cell>
          <cell r="R24" t="str">
            <v>A</v>
          </cell>
          <cell r="S24" t="str">
            <v>C</v>
          </cell>
          <cell r="T24" t="str">
            <v>A</v>
          </cell>
          <cell r="U24" t="str">
            <v>W/O</v>
          </cell>
          <cell r="V24" t="str">
            <v>B</v>
          </cell>
          <cell r="W24" t="str">
            <v>B</v>
          </cell>
          <cell r="X24" t="str">
            <v>L</v>
          </cell>
          <cell r="Y24" t="str">
            <v>L</v>
          </cell>
          <cell r="Z24" t="str">
            <v>C</v>
          </cell>
          <cell r="AA24" t="str">
            <v>A</v>
          </cell>
          <cell r="AB24" t="str">
            <v>W/O</v>
          </cell>
          <cell r="AC24" t="str">
            <v>C</v>
          </cell>
          <cell r="AD24" t="str">
            <v>B</v>
          </cell>
          <cell r="AE24" t="str">
            <v>A</v>
          </cell>
          <cell r="AF24" t="str">
            <v>A</v>
          </cell>
          <cell r="AG24" t="str">
            <v>C</v>
          </cell>
          <cell r="AH24" t="str">
            <v>C</v>
          </cell>
          <cell r="AI24" t="str">
            <v>W/O</v>
          </cell>
          <cell r="AJ24" t="str">
            <v>C</v>
          </cell>
          <cell r="AK24" t="str">
            <v>C</v>
          </cell>
          <cell r="AL24">
            <v>2</v>
          </cell>
          <cell r="AM24">
            <v>0</v>
          </cell>
          <cell r="AN24">
            <v>24</v>
          </cell>
          <cell r="AO24">
            <v>5</v>
          </cell>
          <cell r="AP24">
            <v>29</v>
          </cell>
          <cell r="AQ24">
            <v>0</v>
          </cell>
          <cell r="AR24">
            <v>29</v>
          </cell>
        </row>
        <row r="25">
          <cell r="F25" t="str">
            <v>ED</v>
          </cell>
        </row>
        <row r="26">
          <cell r="C26">
            <v>11573</v>
          </cell>
          <cell r="D26" t="str">
            <v>VANAPATLA RAMCHARAN</v>
          </cell>
          <cell r="E26" t="str">
            <v>HVAC</v>
          </cell>
          <cell r="F26" t="str">
            <v>SHIFT</v>
          </cell>
          <cell r="G26" t="str">
            <v>L</v>
          </cell>
          <cell r="H26" t="str">
            <v>L</v>
          </cell>
          <cell r="I26" t="str">
            <v>L</v>
          </cell>
          <cell r="J26" t="str">
            <v>L</v>
          </cell>
          <cell r="K26" t="str">
            <v>C</v>
          </cell>
          <cell r="L26" t="str">
            <v>L</v>
          </cell>
          <cell r="M26" t="str">
            <v>B</v>
          </cell>
          <cell r="N26" t="str">
            <v>B</v>
          </cell>
          <cell r="O26" t="str">
            <v>G</v>
          </cell>
          <cell r="P26" t="str">
            <v>A</v>
          </cell>
          <cell r="Q26" t="str">
            <v>A</v>
          </cell>
          <cell r="R26" t="str">
            <v>B</v>
          </cell>
          <cell r="S26" t="str">
            <v>W/O</v>
          </cell>
          <cell r="T26" t="str">
            <v>B</v>
          </cell>
          <cell r="U26" t="str">
            <v>A</v>
          </cell>
          <cell r="V26" t="str">
            <v>B</v>
          </cell>
          <cell r="W26" t="str">
            <v>A</v>
          </cell>
          <cell r="X26" t="str">
            <v>C</v>
          </cell>
          <cell r="Y26" t="str">
            <v>C</v>
          </cell>
          <cell r="Z26" t="str">
            <v>W/O</v>
          </cell>
          <cell r="AA26" t="str">
            <v>B</v>
          </cell>
          <cell r="AB26" t="str">
            <v>A</v>
          </cell>
          <cell r="AC26" t="str">
            <v>B</v>
          </cell>
          <cell r="AD26" t="str">
            <v>A</v>
          </cell>
          <cell r="AE26" t="str">
            <v>C</v>
          </cell>
          <cell r="AF26" t="str">
            <v>B</v>
          </cell>
          <cell r="AG26" t="str">
            <v>W/O</v>
          </cell>
          <cell r="AH26" t="str">
            <v>B</v>
          </cell>
          <cell r="AI26" t="str">
            <v>B</v>
          </cell>
          <cell r="AJ26" t="str">
            <v>G</v>
          </cell>
          <cell r="AK26" t="str">
            <v>A</v>
          </cell>
          <cell r="AL26">
            <v>5</v>
          </cell>
          <cell r="AM26">
            <v>0</v>
          </cell>
          <cell r="AN26">
            <v>23</v>
          </cell>
          <cell r="AO26">
            <v>3</v>
          </cell>
          <cell r="AP26">
            <v>26</v>
          </cell>
          <cell r="AQ26">
            <v>0</v>
          </cell>
          <cell r="AR26">
            <v>26</v>
          </cell>
        </row>
        <row r="27">
          <cell r="F27" t="str">
            <v>ED</v>
          </cell>
        </row>
        <row r="28">
          <cell r="C28">
            <v>11163</v>
          </cell>
          <cell r="D28" t="str">
            <v>M AKHIL</v>
          </cell>
          <cell r="E28" t="str">
            <v>DG Operator</v>
          </cell>
          <cell r="F28" t="str">
            <v>SHIFT</v>
          </cell>
          <cell r="G28" t="str">
            <v>B</v>
          </cell>
          <cell r="H28" t="str">
            <v>A</v>
          </cell>
          <cell r="I28" t="str">
            <v>W/O</v>
          </cell>
          <cell r="J28" t="str">
            <v>B</v>
          </cell>
          <cell r="K28" t="str">
            <v>B</v>
          </cell>
          <cell r="L28" t="str">
            <v>G</v>
          </cell>
          <cell r="M28" t="str">
            <v>B</v>
          </cell>
          <cell r="N28" t="str">
            <v>A</v>
          </cell>
          <cell r="O28" t="str">
            <v>C</v>
          </cell>
          <cell r="P28" t="str">
            <v>W/O</v>
          </cell>
          <cell r="Q28" t="str">
            <v>B</v>
          </cell>
          <cell r="R28" t="str">
            <v>B</v>
          </cell>
          <cell r="S28" t="str">
            <v>G</v>
          </cell>
          <cell r="T28" t="str">
            <v>B</v>
          </cell>
          <cell r="U28" t="str">
            <v>C</v>
          </cell>
          <cell r="V28" t="str">
            <v>C</v>
          </cell>
          <cell r="W28" t="str">
            <v>W/O</v>
          </cell>
          <cell r="X28" t="str">
            <v>C</v>
          </cell>
          <cell r="Y28" t="str">
            <v>B</v>
          </cell>
          <cell r="Z28" t="str">
            <v>C</v>
          </cell>
          <cell r="AA28" t="str">
            <v>B</v>
          </cell>
          <cell r="AB28" t="str">
            <v>A</v>
          </cell>
          <cell r="AC28" t="str">
            <v>A</v>
          </cell>
          <cell r="AD28" t="str">
            <v>W/O</v>
          </cell>
          <cell r="AE28" t="str">
            <v>B</v>
          </cell>
          <cell r="AF28" t="str">
            <v>B</v>
          </cell>
          <cell r="AG28" t="str">
            <v>G</v>
          </cell>
          <cell r="AH28" t="str">
            <v>B</v>
          </cell>
          <cell r="AI28" t="str">
            <v>C</v>
          </cell>
          <cell r="AJ28" t="str">
            <v>C</v>
          </cell>
          <cell r="AK28" t="str">
            <v>W/O</v>
          </cell>
          <cell r="AL28">
            <v>0</v>
          </cell>
          <cell r="AM28">
            <v>0</v>
          </cell>
          <cell r="AN28">
            <v>26</v>
          </cell>
          <cell r="AO28">
            <v>5</v>
          </cell>
          <cell r="AP28">
            <v>31</v>
          </cell>
          <cell r="AQ28">
            <v>0</v>
          </cell>
          <cell r="AR28">
            <v>31</v>
          </cell>
        </row>
        <row r="29">
          <cell r="F29" t="str">
            <v>ED</v>
          </cell>
        </row>
        <row r="30">
          <cell r="C30">
            <v>10459</v>
          </cell>
          <cell r="D30" t="str">
            <v>ANISETTI SIVA KRISHNA</v>
          </cell>
          <cell r="E30" t="str">
            <v>DG Operator</v>
          </cell>
          <cell r="F30" t="str">
            <v>SHIFT</v>
          </cell>
          <cell r="G30" t="str">
            <v>C</v>
          </cell>
          <cell r="H30" t="str">
            <v>C</v>
          </cell>
          <cell r="I30" t="str">
            <v>C</v>
          </cell>
          <cell r="J30" t="str">
            <v>C</v>
          </cell>
          <cell r="K30" t="str">
            <v>W/O</v>
          </cell>
          <cell r="L30" t="str">
            <v>A</v>
          </cell>
          <cell r="M30" t="str">
            <v>A</v>
          </cell>
          <cell r="N30" t="str">
            <v>L</v>
          </cell>
          <cell r="O30" t="str">
            <v>L</v>
          </cell>
          <cell r="P30" t="str">
            <v>C</v>
          </cell>
          <cell r="Q30" t="str">
            <v>C</v>
          </cell>
          <cell r="R30" t="str">
            <v>W/O</v>
          </cell>
          <cell r="S30" t="str">
            <v>B</v>
          </cell>
          <cell r="T30" t="str">
            <v>A</v>
          </cell>
          <cell r="U30" t="str">
            <v>A</v>
          </cell>
          <cell r="V30" t="str">
            <v>A</v>
          </cell>
          <cell r="W30" t="str">
            <v>A</v>
          </cell>
          <cell r="X30" t="str">
            <v>A</v>
          </cell>
          <cell r="Y30" t="str">
            <v>W/O</v>
          </cell>
          <cell r="Z30" t="str">
            <v>A</v>
          </cell>
          <cell r="AA30" t="str">
            <v>C</v>
          </cell>
          <cell r="AB30" t="str">
            <v>C</v>
          </cell>
          <cell r="AC30" t="str">
            <v>C</v>
          </cell>
          <cell r="AD30" t="str">
            <v>B</v>
          </cell>
          <cell r="AE30" t="str">
            <v>A</v>
          </cell>
          <cell r="AF30" t="str">
            <v>W/O</v>
          </cell>
          <cell r="AG30" t="str">
            <v>A</v>
          </cell>
          <cell r="AH30" t="str">
            <v>A</v>
          </cell>
          <cell r="AI30" t="str">
            <v>A</v>
          </cell>
          <cell r="AJ30" t="str">
            <v>A</v>
          </cell>
          <cell r="AK30" t="str">
            <v>C</v>
          </cell>
          <cell r="AL30">
            <v>2</v>
          </cell>
          <cell r="AM30">
            <v>0</v>
          </cell>
          <cell r="AN30">
            <v>25</v>
          </cell>
          <cell r="AO30">
            <v>4</v>
          </cell>
          <cell r="AP30">
            <v>29</v>
          </cell>
          <cell r="AQ30">
            <v>0</v>
          </cell>
          <cell r="AR30">
            <v>29</v>
          </cell>
        </row>
        <row r="31">
          <cell r="F31" t="str">
            <v>ED</v>
          </cell>
        </row>
        <row r="32">
          <cell r="C32">
            <v>11786</v>
          </cell>
          <cell r="D32" t="str">
            <v>BORA YOGESWARA RAO</v>
          </cell>
          <cell r="E32" t="str">
            <v>DG Operator</v>
          </cell>
          <cell r="F32" t="str">
            <v>SHIFT</v>
          </cell>
          <cell r="G32" t="str">
            <v>A</v>
          </cell>
          <cell r="H32" t="str">
            <v>G</v>
          </cell>
          <cell r="I32" t="str">
            <v>A</v>
          </cell>
          <cell r="J32" t="str">
            <v>A</v>
          </cell>
          <cell r="K32" t="str">
            <v>C</v>
          </cell>
          <cell r="L32" t="str">
            <v>B</v>
          </cell>
          <cell r="M32" t="str">
            <v>W/O</v>
          </cell>
          <cell r="N32" t="str">
            <v>B</v>
          </cell>
          <cell r="O32" t="str">
            <v>A</v>
          </cell>
          <cell r="P32" t="str">
            <v>A</v>
          </cell>
          <cell r="Q32" t="str">
            <v>A</v>
          </cell>
          <cell r="R32" t="str">
            <v>C</v>
          </cell>
          <cell r="S32" t="str">
            <v>C</v>
          </cell>
          <cell r="T32" t="str">
            <v>W/O</v>
          </cell>
          <cell r="U32" t="str">
            <v>B</v>
          </cell>
          <cell r="V32" t="str">
            <v>C</v>
          </cell>
          <cell r="W32" t="str">
            <v>C</v>
          </cell>
          <cell r="X32" t="str">
            <v>B</v>
          </cell>
          <cell r="Y32" t="str">
            <v>C</v>
          </cell>
          <cell r="Z32" t="str">
            <v>B</v>
          </cell>
          <cell r="AA32" t="str">
            <v>W/O</v>
          </cell>
          <cell r="AB32" t="str">
            <v>B</v>
          </cell>
          <cell r="AC32" t="str">
            <v>B</v>
          </cell>
          <cell r="AD32" t="str">
            <v>A</v>
          </cell>
          <cell r="AE32" t="str">
            <v>G</v>
          </cell>
          <cell r="AF32" t="str">
            <v>A</v>
          </cell>
          <cell r="AG32" t="str">
            <v>C</v>
          </cell>
          <cell r="AH32" t="str">
            <v>W/O</v>
          </cell>
          <cell r="AI32" t="str">
            <v>B</v>
          </cell>
          <cell r="AJ32" t="str">
            <v>G</v>
          </cell>
          <cell r="AK32" t="str">
            <v>A</v>
          </cell>
          <cell r="AL32">
            <v>0</v>
          </cell>
          <cell r="AM32">
            <v>0</v>
          </cell>
          <cell r="AN32">
            <v>27</v>
          </cell>
          <cell r="AO32">
            <v>4</v>
          </cell>
          <cell r="AP32">
            <v>31</v>
          </cell>
          <cell r="AQ32">
            <v>0</v>
          </cell>
          <cell r="AR32">
            <v>31</v>
          </cell>
        </row>
        <row r="33">
          <cell r="F33" t="str">
            <v>ED</v>
          </cell>
        </row>
        <row r="34">
          <cell r="C34">
            <v>10552</v>
          </cell>
          <cell r="D34" t="str">
            <v>VIJAY KUMAR</v>
          </cell>
          <cell r="E34" t="str">
            <v>DG Operator</v>
          </cell>
          <cell r="F34" t="str">
            <v>SHIFT</v>
          </cell>
          <cell r="G34" t="str">
            <v>W/O</v>
          </cell>
          <cell r="H34" t="str">
            <v>B</v>
          </cell>
          <cell r="I34" t="str">
            <v>B</v>
          </cell>
          <cell r="J34" t="str">
            <v>G</v>
          </cell>
          <cell r="K34" t="str">
            <v>A</v>
          </cell>
          <cell r="L34" t="str">
            <v>C</v>
          </cell>
          <cell r="M34" t="str">
            <v>C</v>
          </cell>
          <cell r="N34" t="str">
            <v>W/O</v>
          </cell>
          <cell r="O34" t="str">
            <v>B</v>
          </cell>
          <cell r="P34" t="str">
            <v>B</v>
          </cell>
          <cell r="Q34" t="str">
            <v>G</v>
          </cell>
          <cell r="R34" t="str">
            <v>A</v>
          </cell>
          <cell r="S34" t="str">
            <v>A</v>
          </cell>
          <cell r="T34" t="str">
            <v>C</v>
          </cell>
          <cell r="U34" t="str">
            <v>W/O</v>
          </cell>
          <cell r="V34" t="str">
            <v>B</v>
          </cell>
          <cell r="W34" t="str">
            <v>B</v>
          </cell>
          <cell r="X34" t="str">
            <v>G</v>
          </cell>
          <cell r="Y34" t="str">
            <v>A</v>
          </cell>
          <cell r="Z34" t="str">
            <v>G</v>
          </cell>
          <cell r="AA34" t="str">
            <v>A</v>
          </cell>
          <cell r="AB34" t="str">
            <v>W/O</v>
          </cell>
          <cell r="AC34" t="str">
            <v>L</v>
          </cell>
          <cell r="AD34" t="str">
            <v>C</v>
          </cell>
          <cell r="AE34" t="str">
            <v>C</v>
          </cell>
          <cell r="AF34" t="str">
            <v>C</v>
          </cell>
          <cell r="AG34" t="str">
            <v>B</v>
          </cell>
          <cell r="AH34" t="str">
            <v>C</v>
          </cell>
          <cell r="AI34" t="str">
            <v>W/O</v>
          </cell>
          <cell r="AJ34" t="str">
            <v>B</v>
          </cell>
          <cell r="AK34" t="str">
            <v>B</v>
          </cell>
          <cell r="AL34">
            <v>1</v>
          </cell>
          <cell r="AM34">
            <v>0</v>
          </cell>
          <cell r="AN34">
            <v>25</v>
          </cell>
          <cell r="AO34">
            <v>5</v>
          </cell>
          <cell r="AP34">
            <v>30</v>
          </cell>
          <cell r="AQ34">
            <v>0</v>
          </cell>
          <cell r="AR34">
            <v>30</v>
          </cell>
        </row>
        <row r="35">
          <cell r="F35" t="str">
            <v>ED</v>
          </cell>
        </row>
        <row r="36">
          <cell r="C36">
            <v>12071</v>
          </cell>
          <cell r="D36" t="str">
            <v>P.ABHINAY KUMAR</v>
          </cell>
          <cell r="E36" t="str">
            <v>BMS</v>
          </cell>
          <cell r="F36" t="str">
            <v>SHIFT</v>
          </cell>
          <cell r="G36" t="str">
            <v>C</v>
          </cell>
          <cell r="H36" t="str">
            <v>W/O</v>
          </cell>
          <cell r="I36" t="str">
            <v>B</v>
          </cell>
          <cell r="J36" t="str">
            <v>A</v>
          </cell>
          <cell r="K36" t="str">
            <v>L</v>
          </cell>
          <cell r="L36" t="str">
            <v>B</v>
          </cell>
          <cell r="M36" t="str">
            <v>B</v>
          </cell>
          <cell r="N36" t="str">
            <v>B</v>
          </cell>
          <cell r="O36" t="str">
            <v>W/O</v>
          </cell>
          <cell r="P36" t="str">
            <v>A</v>
          </cell>
          <cell r="Q36" t="str">
            <v>B</v>
          </cell>
          <cell r="R36" t="str">
            <v>A</v>
          </cell>
          <cell r="S36" t="str">
            <v>B</v>
          </cell>
          <cell r="T36" t="str">
            <v>B</v>
          </cell>
          <cell r="U36" t="str">
            <v>A</v>
          </cell>
          <cell r="V36" t="str">
            <v>W/O</v>
          </cell>
          <cell r="W36" t="str">
            <v>G</v>
          </cell>
          <cell r="X36" t="str">
            <v>B</v>
          </cell>
          <cell r="Y36" t="str">
            <v>A</v>
          </cell>
          <cell r="Z36" t="str">
            <v>A</v>
          </cell>
          <cell r="AA36" t="str">
            <v>C</v>
          </cell>
          <cell r="AB36" t="str">
            <v>B</v>
          </cell>
          <cell r="AC36" t="str">
            <v>W/O</v>
          </cell>
          <cell r="AD36" t="str">
            <v>B</v>
          </cell>
          <cell r="AE36" t="str">
            <v>A</v>
          </cell>
          <cell r="AF36" t="str">
            <v>B</v>
          </cell>
          <cell r="AG36" t="str">
            <v>A</v>
          </cell>
          <cell r="AH36" t="str">
            <v>B</v>
          </cell>
          <cell r="AI36" t="str">
            <v>C</v>
          </cell>
          <cell r="AJ36" t="str">
            <v>W/O</v>
          </cell>
          <cell r="AK36" t="str">
            <v>G</v>
          </cell>
          <cell r="AL36">
            <v>1</v>
          </cell>
          <cell r="AM36">
            <v>0</v>
          </cell>
          <cell r="AN36">
            <v>25</v>
          </cell>
          <cell r="AO36">
            <v>5</v>
          </cell>
          <cell r="AP36">
            <v>30</v>
          </cell>
          <cell r="AQ36">
            <v>0</v>
          </cell>
          <cell r="AR36">
            <v>30</v>
          </cell>
        </row>
        <row r="37">
          <cell r="F37" t="str">
            <v>ED</v>
          </cell>
        </row>
        <row r="38">
          <cell r="C38">
            <v>1</v>
          </cell>
          <cell r="D38" t="str">
            <v>SUBHRAMANYAM</v>
          </cell>
          <cell r="E38" t="str">
            <v>BMS</v>
          </cell>
          <cell r="F38" t="str">
            <v>SHIFT</v>
          </cell>
          <cell r="G38" t="str">
            <v>G</v>
          </cell>
          <cell r="H38" t="str">
            <v>G</v>
          </cell>
          <cell r="I38" t="str">
            <v>G</v>
          </cell>
          <cell r="J38" t="str">
            <v>G</v>
          </cell>
          <cell r="K38" t="str">
            <v>G</v>
          </cell>
          <cell r="L38" t="str">
            <v>G</v>
          </cell>
          <cell r="M38" t="str">
            <v>W/O</v>
          </cell>
          <cell r="N38" t="str">
            <v>C</v>
          </cell>
          <cell r="O38" t="str">
            <v>C</v>
          </cell>
          <cell r="P38" t="str">
            <v>B</v>
          </cell>
          <cell r="Q38" t="str">
            <v>C</v>
          </cell>
          <cell r="R38" t="str">
            <v>B</v>
          </cell>
          <cell r="S38" t="str">
            <v>B</v>
          </cell>
          <cell r="T38" t="str">
            <v>W/O</v>
          </cell>
          <cell r="U38" t="str">
            <v>B</v>
          </cell>
          <cell r="V38" t="str">
            <v>C</v>
          </cell>
          <cell r="W38" t="str">
            <v>B</v>
          </cell>
          <cell r="X38" t="str">
            <v>G</v>
          </cell>
          <cell r="Y38" t="str">
            <v>C</v>
          </cell>
          <cell r="Z38" t="str">
            <v>C</v>
          </cell>
          <cell r="AA38" t="str">
            <v>W/O</v>
          </cell>
          <cell r="AB38" t="str">
            <v>A</v>
          </cell>
          <cell r="AC38" t="str">
            <v>C</v>
          </cell>
          <cell r="AD38" t="str">
            <v>B</v>
          </cell>
          <cell r="AE38" t="str">
            <v>G</v>
          </cell>
          <cell r="AF38" t="str">
            <v>C</v>
          </cell>
          <cell r="AG38" t="str">
            <v>B</v>
          </cell>
          <cell r="AH38" t="str">
            <v>W/O</v>
          </cell>
          <cell r="AI38" t="str">
            <v>A</v>
          </cell>
          <cell r="AJ38" t="str">
            <v>C</v>
          </cell>
          <cell r="AK38" t="str">
            <v>B</v>
          </cell>
          <cell r="AL38">
            <v>0</v>
          </cell>
          <cell r="AM38">
            <v>0</v>
          </cell>
          <cell r="AN38">
            <v>27</v>
          </cell>
          <cell r="AO38">
            <v>4</v>
          </cell>
          <cell r="AP38">
            <v>31</v>
          </cell>
          <cell r="AQ38">
            <v>0</v>
          </cell>
          <cell r="AR38">
            <v>31</v>
          </cell>
        </row>
        <row r="39">
          <cell r="F39" t="str">
            <v>ED</v>
          </cell>
        </row>
        <row r="40">
          <cell r="C40">
            <v>11833</v>
          </cell>
          <cell r="D40" t="str">
            <v>PAMIDIPATI SURYA</v>
          </cell>
          <cell r="E40" t="str">
            <v>BMS</v>
          </cell>
          <cell r="F40" t="str">
            <v>SHIFT</v>
          </cell>
          <cell r="G40" t="str">
            <v>W/O</v>
          </cell>
          <cell r="H40" t="str">
            <v>C</v>
          </cell>
          <cell r="I40" t="str">
            <v>A</v>
          </cell>
          <cell r="J40" t="str">
            <v>B</v>
          </cell>
          <cell r="K40" t="str">
            <v>A</v>
          </cell>
          <cell r="L40" t="str">
            <v>C</v>
          </cell>
          <cell r="M40" t="str">
            <v>C</v>
          </cell>
          <cell r="N40" t="str">
            <v>W/O</v>
          </cell>
          <cell r="O40" t="str">
            <v>B</v>
          </cell>
          <cell r="P40" t="str">
            <v>A</v>
          </cell>
          <cell r="Q40" t="str">
            <v>A</v>
          </cell>
          <cell r="R40" t="str">
            <v>C</v>
          </cell>
          <cell r="S40" t="str">
            <v>C</v>
          </cell>
          <cell r="T40" t="str">
            <v>A</v>
          </cell>
          <cell r="U40" t="str">
            <v>W/O</v>
          </cell>
          <cell r="V40" t="str">
            <v>B</v>
          </cell>
          <cell r="W40" t="str">
            <v>A</v>
          </cell>
          <cell r="X40" t="str">
            <v>A</v>
          </cell>
          <cell r="Y40" t="str">
            <v>B</v>
          </cell>
          <cell r="Z40" t="str">
            <v>C</v>
          </cell>
          <cell r="AA40" t="str">
            <v>A</v>
          </cell>
          <cell r="AB40" t="str">
            <v>W/O</v>
          </cell>
          <cell r="AC40" t="str">
            <v>B</v>
          </cell>
          <cell r="AD40" t="str">
            <v>A</v>
          </cell>
          <cell r="AE40" t="str">
            <v>C</v>
          </cell>
          <cell r="AF40" t="str">
            <v>B</v>
          </cell>
          <cell r="AG40" t="str">
            <v>A</v>
          </cell>
          <cell r="AH40" t="str">
            <v>A</v>
          </cell>
          <cell r="AI40" t="str">
            <v>W/O</v>
          </cell>
          <cell r="AJ40" t="str">
            <v>A</v>
          </cell>
          <cell r="AK40" t="str">
            <v>A</v>
          </cell>
          <cell r="AL40">
            <v>0</v>
          </cell>
          <cell r="AM40">
            <v>0</v>
          </cell>
          <cell r="AN40">
            <v>26</v>
          </cell>
          <cell r="AO40">
            <v>5</v>
          </cell>
          <cell r="AP40">
            <v>31</v>
          </cell>
          <cell r="AQ40">
            <v>0</v>
          </cell>
          <cell r="AR40">
            <v>31</v>
          </cell>
        </row>
        <row r="41">
          <cell r="F41" t="str">
            <v>ED</v>
          </cell>
        </row>
        <row r="42">
          <cell r="C42">
            <v>12055</v>
          </cell>
          <cell r="D42" t="str">
            <v>BORA ANIL KUMAR</v>
          </cell>
          <cell r="E42" t="str">
            <v>BMS</v>
          </cell>
          <cell r="F42" t="str">
            <v>SHIFT</v>
          </cell>
          <cell r="G42" t="str">
            <v>G</v>
          </cell>
          <cell r="H42" t="str">
            <v>G</v>
          </cell>
          <cell r="I42" t="str">
            <v>C</v>
          </cell>
          <cell r="J42" t="str">
            <v>C</v>
          </cell>
          <cell r="K42" t="str">
            <v>W/O</v>
          </cell>
          <cell r="L42" t="str">
            <v>A</v>
          </cell>
          <cell r="M42" t="str">
            <v>A</v>
          </cell>
          <cell r="N42" t="str">
            <v>A</v>
          </cell>
          <cell r="O42" t="str">
            <v>A</v>
          </cell>
          <cell r="P42" t="str">
            <v>C</v>
          </cell>
          <cell r="Q42" t="str">
            <v>C</v>
          </cell>
          <cell r="R42" t="str">
            <v>W/O</v>
          </cell>
          <cell r="S42" t="str">
            <v>A</v>
          </cell>
          <cell r="T42" t="str">
            <v>C</v>
          </cell>
          <cell r="U42" t="str">
            <v>C</v>
          </cell>
          <cell r="V42" t="str">
            <v>A</v>
          </cell>
          <cell r="W42" t="str">
            <v>C</v>
          </cell>
          <cell r="X42" t="str">
            <v>C</v>
          </cell>
          <cell r="Y42" t="str">
            <v>W/O</v>
          </cell>
          <cell r="Z42" t="str">
            <v>B</v>
          </cell>
          <cell r="AA42" t="str">
            <v>B</v>
          </cell>
          <cell r="AB42" t="str">
            <v>C</v>
          </cell>
          <cell r="AC42" t="str">
            <v>A</v>
          </cell>
          <cell r="AD42" t="str">
            <v>C</v>
          </cell>
          <cell r="AE42" t="str">
            <v>B</v>
          </cell>
          <cell r="AF42" t="str">
            <v>W/O</v>
          </cell>
          <cell r="AG42" t="str">
            <v>G</v>
          </cell>
          <cell r="AH42" t="str">
            <v>C</v>
          </cell>
          <cell r="AI42" t="str">
            <v>B</v>
          </cell>
          <cell r="AJ42" t="str">
            <v>B</v>
          </cell>
          <cell r="AK42" t="str">
            <v>C</v>
          </cell>
          <cell r="AL42">
            <v>0</v>
          </cell>
          <cell r="AM42">
            <v>0</v>
          </cell>
          <cell r="AN42">
            <v>27</v>
          </cell>
          <cell r="AO42">
            <v>4</v>
          </cell>
          <cell r="AP42">
            <v>31</v>
          </cell>
          <cell r="AQ42">
            <v>0</v>
          </cell>
          <cell r="AR42">
            <v>31</v>
          </cell>
        </row>
        <row r="43">
          <cell r="F43" t="str">
            <v>ED</v>
          </cell>
        </row>
        <row r="44">
          <cell r="C44">
            <v>10202</v>
          </cell>
          <cell r="D44" t="str">
            <v xml:space="preserve">SRIKANT MALIK </v>
          </cell>
          <cell r="E44" t="str">
            <v>PLUMBER</v>
          </cell>
          <cell r="F44" t="str">
            <v>SHIFT</v>
          </cell>
          <cell r="G44" t="str">
            <v>A</v>
          </cell>
          <cell r="H44" t="str">
            <v>C</v>
          </cell>
          <cell r="I44" t="str">
            <v>W/O</v>
          </cell>
          <cell r="J44" t="str">
            <v>B</v>
          </cell>
          <cell r="K44" t="str">
            <v>B</v>
          </cell>
          <cell r="L44" t="str">
            <v>A</v>
          </cell>
          <cell r="M44" t="str">
            <v>A</v>
          </cell>
          <cell r="N44" t="str">
            <v>C</v>
          </cell>
          <cell r="O44" t="str">
            <v>C</v>
          </cell>
          <cell r="P44" t="str">
            <v>W/O</v>
          </cell>
          <cell r="Q44" t="str">
            <v>B</v>
          </cell>
          <cell r="R44" t="str">
            <v>B</v>
          </cell>
          <cell r="S44" t="str">
            <v>A</v>
          </cell>
          <cell r="T44" t="str">
            <v>A</v>
          </cell>
          <cell r="U44" t="str">
            <v>A</v>
          </cell>
          <cell r="V44" t="str">
            <v>L</v>
          </cell>
          <cell r="W44" t="str">
            <v>L</v>
          </cell>
          <cell r="X44" t="str">
            <v>L</v>
          </cell>
          <cell r="Y44" t="str">
            <v>L</v>
          </cell>
          <cell r="Z44" t="str">
            <v>L</v>
          </cell>
          <cell r="AA44" t="str">
            <v>L</v>
          </cell>
          <cell r="AB44" t="str">
            <v>L</v>
          </cell>
          <cell r="AC44" t="str">
            <v>L</v>
          </cell>
          <cell r="AD44" t="str">
            <v>L</v>
          </cell>
          <cell r="AE44" t="str">
            <v>L</v>
          </cell>
          <cell r="AF44" t="str">
            <v>L</v>
          </cell>
          <cell r="AG44" t="str">
            <v>L</v>
          </cell>
          <cell r="AH44" t="str">
            <v>L</v>
          </cell>
          <cell r="AI44" t="str">
            <v>L</v>
          </cell>
          <cell r="AJ44" t="str">
            <v>L</v>
          </cell>
          <cell r="AK44" t="str">
            <v>L</v>
          </cell>
          <cell r="AL44">
            <v>16</v>
          </cell>
          <cell r="AM44">
            <v>0</v>
          </cell>
          <cell r="AN44">
            <v>13</v>
          </cell>
          <cell r="AO44">
            <v>2</v>
          </cell>
          <cell r="AP44">
            <v>15</v>
          </cell>
          <cell r="AQ44">
            <v>0</v>
          </cell>
          <cell r="AR44">
            <v>15</v>
          </cell>
        </row>
        <row r="45">
          <cell r="F45" t="str">
            <v>ED</v>
          </cell>
        </row>
        <row r="46">
          <cell r="C46">
            <v>10272</v>
          </cell>
          <cell r="D46" t="str">
            <v>NATHI ANANDARAJU</v>
          </cell>
          <cell r="E46" t="str">
            <v>PLUMBER</v>
          </cell>
          <cell r="F46" t="str">
            <v>SHIFT</v>
          </cell>
          <cell r="G46" t="str">
            <v>C</v>
          </cell>
          <cell r="H46" t="str">
            <v>A</v>
          </cell>
          <cell r="I46" t="str">
            <v>C</v>
          </cell>
          <cell r="J46" t="str">
            <v>C</v>
          </cell>
          <cell r="K46" t="str">
            <v>W/O</v>
          </cell>
          <cell r="L46" t="str">
            <v>B</v>
          </cell>
          <cell r="M46" t="str">
            <v>C</v>
          </cell>
          <cell r="N46" t="str">
            <v>A</v>
          </cell>
          <cell r="O46" t="str">
            <v>L</v>
          </cell>
          <cell r="P46" t="str">
            <v>L</v>
          </cell>
          <cell r="Q46" t="str">
            <v>L</v>
          </cell>
          <cell r="R46" t="str">
            <v>W/O</v>
          </cell>
          <cell r="S46" t="str">
            <v>B</v>
          </cell>
          <cell r="T46" t="str">
            <v>C</v>
          </cell>
          <cell r="U46" t="str">
            <v>C</v>
          </cell>
          <cell r="V46" t="str">
            <v>C</v>
          </cell>
          <cell r="W46" t="str">
            <v>C</v>
          </cell>
          <cell r="X46" t="str">
            <v>C</v>
          </cell>
          <cell r="Y46" t="str">
            <v>W/O</v>
          </cell>
          <cell r="Z46" t="str">
            <v>B</v>
          </cell>
          <cell r="AA46" t="str">
            <v>C</v>
          </cell>
          <cell r="AB46" t="str">
            <v>A</v>
          </cell>
          <cell r="AC46" t="str">
            <v>C</v>
          </cell>
          <cell r="AD46" t="str">
            <v>C</v>
          </cell>
          <cell r="AE46" t="str">
            <v>C</v>
          </cell>
          <cell r="AF46" t="str">
            <v>W/O</v>
          </cell>
          <cell r="AG46" t="str">
            <v>B</v>
          </cell>
          <cell r="AH46" t="str">
            <v>C</v>
          </cell>
          <cell r="AI46" t="str">
            <v>B</v>
          </cell>
          <cell r="AJ46" t="str">
            <v>C</v>
          </cell>
          <cell r="AK46" t="str">
            <v>C</v>
          </cell>
          <cell r="AL46">
            <v>3</v>
          </cell>
          <cell r="AM46">
            <v>0</v>
          </cell>
          <cell r="AN46">
            <v>24</v>
          </cell>
          <cell r="AO46">
            <v>4</v>
          </cell>
          <cell r="AP46">
            <v>28</v>
          </cell>
          <cell r="AQ46">
            <v>0</v>
          </cell>
          <cell r="AR46">
            <v>28</v>
          </cell>
        </row>
        <row r="47">
          <cell r="F47" t="str">
            <v>ED</v>
          </cell>
        </row>
        <row r="48">
          <cell r="C48">
            <v>12079</v>
          </cell>
          <cell r="D48" t="str">
            <v>AKASH MALIK</v>
          </cell>
          <cell r="E48" t="str">
            <v>PLUMBER</v>
          </cell>
          <cell r="F48" t="str">
            <v>SHIFT</v>
          </cell>
          <cell r="G48" t="str">
            <v>G</v>
          </cell>
          <cell r="H48" t="str">
            <v>W/O</v>
          </cell>
          <cell r="I48" t="str">
            <v>G</v>
          </cell>
          <cell r="J48" t="str">
            <v>G</v>
          </cell>
          <cell r="K48" t="str">
            <v>C</v>
          </cell>
          <cell r="L48" t="str">
            <v>C</v>
          </cell>
          <cell r="M48" t="str">
            <v>B</v>
          </cell>
          <cell r="N48" t="str">
            <v>B</v>
          </cell>
          <cell r="O48" t="str">
            <v>W/O</v>
          </cell>
          <cell r="P48" t="str">
            <v>C</v>
          </cell>
          <cell r="Q48" t="str">
            <v>B</v>
          </cell>
          <cell r="R48" t="str">
            <v>A</v>
          </cell>
          <cell r="S48" t="str">
            <v>C</v>
          </cell>
          <cell r="T48" t="str">
            <v>B</v>
          </cell>
          <cell r="U48" t="str">
            <v>C</v>
          </cell>
          <cell r="V48" t="str">
            <v>W/O</v>
          </cell>
          <cell r="W48" t="str">
            <v>B</v>
          </cell>
          <cell r="X48" t="str">
            <v>B</v>
          </cell>
          <cell r="Y48" t="str">
            <v>B</v>
          </cell>
          <cell r="Z48" t="str">
            <v>A</v>
          </cell>
          <cell r="AA48" t="str">
            <v>A</v>
          </cell>
          <cell r="AB48" t="str">
            <v>C</v>
          </cell>
          <cell r="AC48" t="str">
            <v>W/O</v>
          </cell>
          <cell r="AD48" t="str">
            <v>A</v>
          </cell>
          <cell r="AE48" t="str">
            <v>B</v>
          </cell>
          <cell r="AF48" t="str">
            <v>B</v>
          </cell>
          <cell r="AG48" t="str">
            <v>B</v>
          </cell>
          <cell r="AH48" t="str">
            <v>G</v>
          </cell>
          <cell r="AI48" t="str">
            <v>C</v>
          </cell>
          <cell r="AJ48" t="str">
            <v>W/O</v>
          </cell>
          <cell r="AK48" t="str">
            <v>B</v>
          </cell>
          <cell r="AL48">
            <v>0</v>
          </cell>
          <cell r="AM48">
            <v>0</v>
          </cell>
          <cell r="AN48">
            <v>26</v>
          </cell>
          <cell r="AO48">
            <v>5</v>
          </cell>
          <cell r="AP48">
            <v>31</v>
          </cell>
          <cell r="AQ48">
            <v>0</v>
          </cell>
          <cell r="AR48">
            <v>31</v>
          </cell>
        </row>
        <row r="49">
          <cell r="F49" t="str">
            <v>ED</v>
          </cell>
        </row>
        <row r="50">
          <cell r="C50">
            <v>11138</v>
          </cell>
          <cell r="D50" t="str">
            <v>DEEPAK DAS</v>
          </cell>
          <cell r="E50" t="str">
            <v>PLUMBER</v>
          </cell>
          <cell r="F50" t="str">
            <v>SHIFT</v>
          </cell>
          <cell r="G50" t="str">
            <v>W/O</v>
          </cell>
          <cell r="H50" t="str">
            <v>B</v>
          </cell>
          <cell r="I50" t="str">
            <v>B</v>
          </cell>
          <cell r="J50" t="str">
            <v>A</v>
          </cell>
          <cell r="K50" t="str">
            <v>A</v>
          </cell>
          <cell r="L50" t="str">
            <v>C</v>
          </cell>
          <cell r="M50" t="str">
            <v>B</v>
          </cell>
          <cell r="N50" t="str">
            <v>W/O</v>
          </cell>
          <cell r="O50" t="str">
            <v>B</v>
          </cell>
          <cell r="P50" t="str">
            <v>B</v>
          </cell>
          <cell r="Q50" t="str">
            <v>A</v>
          </cell>
          <cell r="R50" t="str">
            <v>A</v>
          </cell>
          <cell r="S50" t="str">
            <v>C</v>
          </cell>
          <cell r="T50" t="str">
            <v>B</v>
          </cell>
          <cell r="U50" t="str">
            <v>W/O</v>
          </cell>
          <cell r="V50" t="str">
            <v>B</v>
          </cell>
          <cell r="W50" t="str">
            <v>B</v>
          </cell>
          <cell r="X50" t="str">
            <v>B</v>
          </cell>
          <cell r="Y50" t="str">
            <v>A</v>
          </cell>
          <cell r="Z50" t="str">
            <v>C</v>
          </cell>
          <cell r="AA50" t="str">
            <v>B</v>
          </cell>
          <cell r="AB50" t="str">
            <v>W/O</v>
          </cell>
          <cell r="AC50" t="str">
            <v>B</v>
          </cell>
          <cell r="AD50" t="str">
            <v>B</v>
          </cell>
          <cell r="AE50" t="str">
            <v>A</v>
          </cell>
          <cell r="AF50" t="str">
            <v>A</v>
          </cell>
          <cell r="AG50" t="str">
            <v>C</v>
          </cell>
          <cell r="AH50" t="str">
            <v>B</v>
          </cell>
          <cell r="AI50" t="str">
            <v>W/O</v>
          </cell>
          <cell r="AJ50" t="str">
            <v>B</v>
          </cell>
          <cell r="AK50" t="str">
            <v>B</v>
          </cell>
          <cell r="AL50">
            <v>0</v>
          </cell>
          <cell r="AM50">
            <v>0</v>
          </cell>
          <cell r="AN50">
            <v>26</v>
          </cell>
          <cell r="AO50">
            <v>5</v>
          </cell>
          <cell r="AP50">
            <v>31</v>
          </cell>
          <cell r="AQ50">
            <v>0</v>
          </cell>
          <cell r="AR50">
            <v>31</v>
          </cell>
        </row>
        <row r="51">
          <cell r="F51" t="str">
            <v>ED</v>
          </cell>
        </row>
        <row r="52">
          <cell r="C52">
            <v>11745</v>
          </cell>
          <cell r="D52" t="str">
            <v>PRANAYA KUMAR MALIK</v>
          </cell>
          <cell r="E52" t="str">
            <v>PLUMBER</v>
          </cell>
          <cell r="F52" t="str">
            <v>SHIFT</v>
          </cell>
          <cell r="G52" t="str">
            <v>B</v>
          </cell>
          <cell r="H52" t="str">
            <v>A</v>
          </cell>
          <cell r="I52" t="str">
            <v>A</v>
          </cell>
          <cell r="J52" t="str">
            <v>L</v>
          </cell>
          <cell r="K52" t="str">
            <v>G</v>
          </cell>
          <cell r="L52" t="str">
            <v>A</v>
          </cell>
          <cell r="M52" t="str">
            <v>W/O</v>
          </cell>
          <cell r="N52" t="str">
            <v>B</v>
          </cell>
          <cell r="O52" t="str">
            <v>A</v>
          </cell>
          <cell r="P52" t="str">
            <v>A</v>
          </cell>
          <cell r="Q52" t="str">
            <v>C</v>
          </cell>
          <cell r="R52" t="str">
            <v>C</v>
          </cell>
          <cell r="S52" t="str">
            <v>B</v>
          </cell>
          <cell r="T52" t="str">
            <v>W/O</v>
          </cell>
          <cell r="U52" t="str">
            <v>B</v>
          </cell>
          <cell r="V52" t="str">
            <v>A</v>
          </cell>
          <cell r="W52" t="str">
            <v>A</v>
          </cell>
          <cell r="X52" t="str">
            <v>A</v>
          </cell>
          <cell r="Y52" t="str">
            <v>C</v>
          </cell>
          <cell r="Z52" t="str">
            <v>A</v>
          </cell>
          <cell r="AA52" t="str">
            <v>W/O</v>
          </cell>
          <cell r="AB52" t="str">
            <v>B</v>
          </cell>
          <cell r="AC52" t="str">
            <v>A</v>
          </cell>
          <cell r="AD52" t="str">
            <v>A</v>
          </cell>
          <cell r="AE52" t="str">
            <v>A</v>
          </cell>
          <cell r="AF52" t="str">
            <v>L</v>
          </cell>
          <cell r="AG52" t="str">
            <v>A</v>
          </cell>
          <cell r="AH52" t="str">
            <v>W/O</v>
          </cell>
          <cell r="AI52" t="str">
            <v>A</v>
          </cell>
          <cell r="AJ52" t="str">
            <v>A</v>
          </cell>
          <cell r="AK52" t="str">
            <v>A</v>
          </cell>
          <cell r="AL52">
            <v>2</v>
          </cell>
          <cell r="AM52">
            <v>0</v>
          </cell>
          <cell r="AN52">
            <v>25</v>
          </cell>
          <cell r="AO52">
            <v>4</v>
          </cell>
          <cell r="AP52">
            <v>29</v>
          </cell>
          <cell r="AQ52">
            <v>0</v>
          </cell>
          <cell r="AR52">
            <v>29</v>
          </cell>
        </row>
        <row r="53">
          <cell r="F53" t="str">
            <v>ED</v>
          </cell>
        </row>
        <row r="54">
          <cell r="C54">
            <v>12084</v>
          </cell>
          <cell r="D54" t="str">
            <v>SUSHANTA MALIK</v>
          </cell>
          <cell r="E54" t="str">
            <v>PLUMBER</v>
          </cell>
          <cell r="F54" t="str">
            <v>SHIFT</v>
          </cell>
          <cell r="G54" t="str">
            <v>L</v>
          </cell>
          <cell r="H54" t="str">
            <v>L</v>
          </cell>
          <cell r="I54" t="str">
            <v>L</v>
          </cell>
          <cell r="J54" t="str">
            <v>G</v>
          </cell>
          <cell r="K54" t="str">
            <v>G</v>
          </cell>
          <cell r="L54" t="str">
            <v>G</v>
          </cell>
          <cell r="M54" t="str">
            <v>A</v>
          </cell>
          <cell r="N54" t="str">
            <v>A</v>
          </cell>
          <cell r="O54" t="str">
            <v>G</v>
          </cell>
          <cell r="P54" t="str">
            <v>W/O</v>
          </cell>
          <cell r="Q54" t="str">
            <v>B</v>
          </cell>
          <cell r="R54" t="str">
            <v>A</v>
          </cell>
          <cell r="S54" t="str">
            <v>A</v>
          </cell>
          <cell r="T54" t="str">
            <v>A</v>
          </cell>
          <cell r="U54" t="str">
            <v>A</v>
          </cell>
          <cell r="V54" t="str">
            <v>A</v>
          </cell>
          <cell r="W54" t="str">
            <v>A</v>
          </cell>
          <cell r="X54" t="str">
            <v>W/O</v>
          </cell>
          <cell r="Y54" t="str">
            <v>A</v>
          </cell>
          <cell r="Z54" t="str">
            <v>C</v>
          </cell>
          <cell r="AA54" t="str">
            <v>B</v>
          </cell>
          <cell r="AB54" t="str">
            <v>A</v>
          </cell>
          <cell r="AC54" t="str">
            <v>A</v>
          </cell>
          <cell r="AD54" t="str">
            <v>B</v>
          </cell>
          <cell r="AE54" t="str">
            <v>W/O</v>
          </cell>
          <cell r="AF54" t="str">
            <v>G</v>
          </cell>
          <cell r="AG54" t="str">
            <v>C</v>
          </cell>
          <cell r="AH54" t="str">
            <v>A</v>
          </cell>
          <cell r="AI54" t="str">
            <v>A</v>
          </cell>
          <cell r="AJ54" t="str">
            <v>G</v>
          </cell>
          <cell r="AK54" t="str">
            <v>A</v>
          </cell>
          <cell r="AL54">
            <v>3</v>
          </cell>
          <cell r="AM54">
            <v>0</v>
          </cell>
          <cell r="AN54">
            <v>25</v>
          </cell>
          <cell r="AO54">
            <v>3</v>
          </cell>
          <cell r="AP54">
            <v>28</v>
          </cell>
          <cell r="AQ54">
            <v>0</v>
          </cell>
          <cell r="AR54">
            <v>28</v>
          </cell>
        </row>
        <row r="55">
          <cell r="F55" t="str">
            <v>ED</v>
          </cell>
        </row>
        <row r="56">
          <cell r="C56">
            <v>10751</v>
          </cell>
          <cell r="D56" t="str">
            <v>GUNDIMALLA SATHISH</v>
          </cell>
          <cell r="E56" t="str">
            <v>MASON</v>
          </cell>
          <cell r="F56" t="str">
            <v>SHIFT</v>
          </cell>
          <cell r="G56" t="str">
            <v>G</v>
          </cell>
          <cell r="H56" t="str">
            <v>G</v>
          </cell>
          <cell r="I56" t="str">
            <v>G</v>
          </cell>
          <cell r="J56" t="str">
            <v>G</v>
          </cell>
          <cell r="K56" t="str">
            <v>G</v>
          </cell>
          <cell r="L56" t="str">
            <v>G</v>
          </cell>
          <cell r="M56" t="str">
            <v>W/O</v>
          </cell>
          <cell r="N56" t="str">
            <v>L</v>
          </cell>
          <cell r="O56" t="str">
            <v>G</v>
          </cell>
          <cell r="P56" t="str">
            <v>G</v>
          </cell>
          <cell r="Q56" t="str">
            <v>G</v>
          </cell>
          <cell r="R56" t="str">
            <v>G</v>
          </cell>
          <cell r="S56" t="str">
            <v>G</v>
          </cell>
          <cell r="T56" t="str">
            <v>W/O</v>
          </cell>
          <cell r="U56" t="str">
            <v>G</v>
          </cell>
          <cell r="V56" t="str">
            <v>G</v>
          </cell>
          <cell r="W56" t="str">
            <v>G</v>
          </cell>
          <cell r="X56" t="str">
            <v>G</v>
          </cell>
          <cell r="Y56" t="str">
            <v>G</v>
          </cell>
          <cell r="Z56" t="str">
            <v>G</v>
          </cell>
          <cell r="AA56" t="str">
            <v>W/O</v>
          </cell>
          <cell r="AB56" t="str">
            <v>G</v>
          </cell>
          <cell r="AC56" t="str">
            <v>G</v>
          </cell>
          <cell r="AD56" t="str">
            <v>G</v>
          </cell>
          <cell r="AE56" t="str">
            <v>G</v>
          </cell>
          <cell r="AF56" t="str">
            <v>G</v>
          </cell>
          <cell r="AG56" t="str">
            <v>G</v>
          </cell>
          <cell r="AH56" t="str">
            <v>W/O</v>
          </cell>
          <cell r="AI56" t="str">
            <v>G</v>
          </cell>
          <cell r="AJ56" t="str">
            <v>G</v>
          </cell>
          <cell r="AK56" t="str">
            <v>G</v>
          </cell>
          <cell r="AL56">
            <v>1</v>
          </cell>
          <cell r="AM56">
            <v>0</v>
          </cell>
          <cell r="AN56">
            <v>26</v>
          </cell>
          <cell r="AO56">
            <v>4</v>
          </cell>
          <cell r="AP56">
            <v>30</v>
          </cell>
          <cell r="AQ56">
            <v>0</v>
          </cell>
          <cell r="AR56">
            <v>30</v>
          </cell>
        </row>
        <row r="57">
          <cell r="F57" t="str">
            <v>ED</v>
          </cell>
        </row>
        <row r="58">
          <cell r="C58">
            <v>12081</v>
          </cell>
          <cell r="D58" t="str">
            <v>MD TASHIN KHAN</v>
          </cell>
          <cell r="E58" t="str">
            <v>HVAC</v>
          </cell>
          <cell r="F58" t="str">
            <v>SHIFT</v>
          </cell>
          <cell r="G58" t="str">
            <v>G</v>
          </cell>
          <cell r="H58" t="str">
            <v>C</v>
          </cell>
          <cell r="I58" t="str">
            <v>B</v>
          </cell>
          <cell r="J58" t="str">
            <v>C</v>
          </cell>
          <cell r="K58" t="str">
            <v>W/O</v>
          </cell>
          <cell r="L58" t="str">
            <v>B</v>
          </cell>
          <cell r="M58" t="str">
            <v>G</v>
          </cell>
          <cell r="N58" t="str">
            <v>A</v>
          </cell>
          <cell r="O58" t="str">
            <v>A</v>
          </cell>
          <cell r="P58" t="str">
            <v>C</v>
          </cell>
          <cell r="Q58" t="str">
            <v>B</v>
          </cell>
          <cell r="R58" t="str">
            <v>W/O</v>
          </cell>
          <cell r="S58" t="str">
            <v>B</v>
          </cell>
          <cell r="T58" t="str">
            <v>C</v>
          </cell>
          <cell r="U58" t="str">
            <v>B</v>
          </cell>
          <cell r="V58" t="str">
            <v>A</v>
          </cell>
          <cell r="W58" t="str">
            <v>C</v>
          </cell>
          <cell r="X58" t="str">
            <v>B</v>
          </cell>
          <cell r="Y58" t="str">
            <v>W/O</v>
          </cell>
          <cell r="Z58" t="str">
            <v>A</v>
          </cell>
          <cell r="AA58" t="str">
            <v>C</v>
          </cell>
          <cell r="AB58" t="str">
            <v>B</v>
          </cell>
          <cell r="AC58" t="str">
            <v>A</v>
          </cell>
          <cell r="AD58" t="str">
            <v>C</v>
          </cell>
          <cell r="AE58" t="str">
            <v>B</v>
          </cell>
          <cell r="AF58" t="str">
            <v>W/O</v>
          </cell>
          <cell r="AG58" t="str">
            <v>B</v>
          </cell>
          <cell r="AH58" t="str">
            <v>G</v>
          </cell>
          <cell r="AI58" t="str">
            <v>A</v>
          </cell>
          <cell r="AJ58" t="str">
            <v>A</v>
          </cell>
          <cell r="AK58" t="str">
            <v>C</v>
          </cell>
          <cell r="AL58">
            <v>0</v>
          </cell>
          <cell r="AM58">
            <v>0</v>
          </cell>
          <cell r="AN58">
            <v>27</v>
          </cell>
          <cell r="AO58">
            <v>4</v>
          </cell>
          <cell r="AP58">
            <v>31</v>
          </cell>
          <cell r="AQ58">
            <v>0</v>
          </cell>
          <cell r="AR58">
            <v>31</v>
          </cell>
        </row>
        <row r="59">
          <cell r="F59" t="str">
            <v>ED</v>
          </cell>
        </row>
        <row r="60">
          <cell r="C60">
            <v>10525</v>
          </cell>
          <cell r="D60" t="str">
            <v>GUNTREDDI TIRUPATHI NAIDU</v>
          </cell>
          <cell r="E60" t="str">
            <v>PAINTER</v>
          </cell>
          <cell r="F60" t="str">
            <v>SHIFT</v>
          </cell>
          <cell r="G60" t="str">
            <v>G</v>
          </cell>
          <cell r="H60" t="str">
            <v>L</v>
          </cell>
          <cell r="I60" t="str">
            <v>G</v>
          </cell>
          <cell r="J60" t="str">
            <v>G</v>
          </cell>
          <cell r="K60" t="str">
            <v>G</v>
          </cell>
          <cell r="L60" t="str">
            <v>W/O</v>
          </cell>
          <cell r="M60" t="str">
            <v>G</v>
          </cell>
          <cell r="N60" t="str">
            <v>G</v>
          </cell>
          <cell r="O60" t="str">
            <v>G</v>
          </cell>
          <cell r="P60" t="str">
            <v>G</v>
          </cell>
          <cell r="Q60" t="str">
            <v>G</v>
          </cell>
          <cell r="R60" t="str">
            <v>W/O</v>
          </cell>
          <cell r="S60" t="str">
            <v>G</v>
          </cell>
          <cell r="T60" t="str">
            <v>G</v>
          </cell>
          <cell r="U60" t="str">
            <v>G</v>
          </cell>
          <cell r="V60" t="str">
            <v>G</v>
          </cell>
          <cell r="W60" t="str">
            <v>G</v>
          </cell>
          <cell r="X60" t="str">
            <v>G</v>
          </cell>
          <cell r="Y60" t="str">
            <v>G</v>
          </cell>
          <cell r="Z60" t="str">
            <v>W/O</v>
          </cell>
          <cell r="AA60" t="str">
            <v>G</v>
          </cell>
          <cell r="AB60" t="str">
            <v>G</v>
          </cell>
          <cell r="AC60" t="str">
            <v>G</v>
          </cell>
          <cell r="AD60" t="str">
            <v>G</v>
          </cell>
          <cell r="AE60" t="str">
            <v>G</v>
          </cell>
          <cell r="AF60" t="str">
            <v>G</v>
          </cell>
          <cell r="AG60" t="str">
            <v>W/O</v>
          </cell>
          <cell r="AH60" t="str">
            <v>G</v>
          </cell>
          <cell r="AI60" t="str">
            <v>G</v>
          </cell>
          <cell r="AJ60" t="str">
            <v>G</v>
          </cell>
          <cell r="AK60" t="str">
            <v>G</v>
          </cell>
          <cell r="AL60">
            <v>1</v>
          </cell>
          <cell r="AM60">
            <v>0</v>
          </cell>
          <cell r="AN60">
            <v>26</v>
          </cell>
          <cell r="AO60">
            <v>4</v>
          </cell>
          <cell r="AP60">
            <v>30</v>
          </cell>
          <cell r="AQ60">
            <v>0</v>
          </cell>
          <cell r="AR60">
            <v>30</v>
          </cell>
        </row>
        <row r="61">
          <cell r="F61" t="str">
            <v>ED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"/>
      <sheetName val="BANK STMT"/>
      <sheetName val="PF ESI REPORT"/>
      <sheetName val="INVOICE BREAKUP"/>
    </sheetNames>
    <sheetDataSet>
      <sheetData sheetId="0" refreshError="1"/>
      <sheetData sheetId="1">
        <row r="4">
          <cell r="C4">
            <v>10311</v>
          </cell>
          <cell r="D4" t="str">
            <v xml:space="preserve">RAVI KUMAR BS </v>
          </cell>
          <cell r="E4" t="str">
            <v>SUPERVISIOR</v>
          </cell>
          <cell r="F4" t="str">
            <v>SHIFT</v>
          </cell>
          <cell r="G4" t="str">
            <v>C</v>
          </cell>
          <cell r="H4" t="str">
            <v>C</v>
          </cell>
          <cell r="I4" t="str">
            <v>C</v>
          </cell>
          <cell r="J4" t="str">
            <v>B</v>
          </cell>
          <cell r="K4" t="str">
            <v>B</v>
          </cell>
          <cell r="L4" t="str">
            <v>B</v>
          </cell>
          <cell r="M4" t="str">
            <v>W/O</v>
          </cell>
          <cell r="N4" t="str">
            <v>B</v>
          </cell>
          <cell r="O4" t="str">
            <v>A</v>
          </cell>
          <cell r="P4" t="str">
            <v>B</v>
          </cell>
          <cell r="Q4" t="str">
            <v>A</v>
          </cell>
          <cell r="R4" t="str">
            <v>C</v>
          </cell>
          <cell r="S4" t="str">
            <v>C</v>
          </cell>
          <cell r="T4" t="str">
            <v>W/O</v>
          </cell>
          <cell r="U4" t="str">
            <v>B</v>
          </cell>
          <cell r="V4" t="str">
            <v>A</v>
          </cell>
          <cell r="W4" t="str">
            <v>B</v>
          </cell>
          <cell r="X4" t="str">
            <v>A</v>
          </cell>
          <cell r="Y4" t="str">
            <v>C</v>
          </cell>
          <cell r="Z4" t="str">
            <v>C</v>
          </cell>
          <cell r="AA4" t="str">
            <v>W/O</v>
          </cell>
          <cell r="AB4" t="str">
            <v>B</v>
          </cell>
          <cell r="AC4" t="str">
            <v>A</v>
          </cell>
          <cell r="AD4" t="str">
            <v>B</v>
          </cell>
          <cell r="AE4" t="str">
            <v>A</v>
          </cell>
          <cell r="AF4" t="str">
            <v>C</v>
          </cell>
          <cell r="AG4" t="str">
            <v>C</v>
          </cell>
          <cell r="AH4" t="str">
            <v>W/O</v>
          </cell>
          <cell r="AI4" t="str">
            <v>B</v>
          </cell>
          <cell r="AJ4" t="str">
            <v>A</v>
          </cell>
          <cell r="AK4" t="str">
            <v>B</v>
          </cell>
          <cell r="AL4">
            <v>0</v>
          </cell>
          <cell r="AM4">
            <v>0</v>
          </cell>
          <cell r="AN4">
            <v>27</v>
          </cell>
          <cell r="AO4">
            <v>4</v>
          </cell>
          <cell r="AP4">
            <v>31</v>
          </cell>
          <cell r="AQ4">
            <v>0</v>
          </cell>
          <cell r="AR4">
            <v>31</v>
          </cell>
        </row>
        <row r="5">
          <cell r="F5" t="str">
            <v>ED</v>
          </cell>
        </row>
        <row r="6">
          <cell r="C6">
            <v>10422</v>
          </cell>
          <cell r="D6" t="str">
            <v>MENDA SIMHACHALAM</v>
          </cell>
          <cell r="E6" t="str">
            <v>SUPERVISIOR</v>
          </cell>
          <cell r="F6" t="str">
            <v>SHIFT</v>
          </cell>
          <cell r="G6" t="str">
            <v>L</v>
          </cell>
          <cell r="H6" t="str">
            <v>L</v>
          </cell>
          <cell r="I6" t="str">
            <v>L</v>
          </cell>
          <cell r="J6" t="str">
            <v>L</v>
          </cell>
          <cell r="K6" t="str">
            <v>L</v>
          </cell>
          <cell r="L6" t="str">
            <v>L</v>
          </cell>
          <cell r="M6" t="str">
            <v>L</v>
          </cell>
          <cell r="N6" t="str">
            <v>L</v>
          </cell>
          <cell r="O6" t="str">
            <v>B</v>
          </cell>
          <cell r="P6" t="str">
            <v>A</v>
          </cell>
          <cell r="Q6" t="str">
            <v>B</v>
          </cell>
          <cell r="R6" t="str">
            <v>B</v>
          </cell>
          <cell r="S6" t="str">
            <v>B</v>
          </cell>
          <cell r="T6" t="str">
            <v>C</v>
          </cell>
          <cell r="U6" t="str">
            <v>W/O</v>
          </cell>
          <cell r="V6" t="str">
            <v>B</v>
          </cell>
          <cell r="W6" t="str">
            <v>A</v>
          </cell>
          <cell r="X6" t="str">
            <v>B</v>
          </cell>
          <cell r="Y6" t="str">
            <v>G</v>
          </cell>
          <cell r="Z6" t="str">
            <v>A</v>
          </cell>
          <cell r="AA6" t="str">
            <v>C</v>
          </cell>
          <cell r="AB6" t="str">
            <v>W/O</v>
          </cell>
          <cell r="AC6" t="str">
            <v>A</v>
          </cell>
          <cell r="AD6" t="str">
            <v>A</v>
          </cell>
          <cell r="AE6" t="str">
            <v>B</v>
          </cell>
          <cell r="AF6" t="str">
            <v>G</v>
          </cell>
          <cell r="AG6" t="str">
            <v>A</v>
          </cell>
          <cell r="AH6" t="str">
            <v>C</v>
          </cell>
          <cell r="AI6" t="str">
            <v>W/O</v>
          </cell>
          <cell r="AJ6" t="str">
            <v>C</v>
          </cell>
          <cell r="AK6" t="str">
            <v>B</v>
          </cell>
          <cell r="AL6">
            <v>8</v>
          </cell>
          <cell r="AM6">
            <v>0</v>
          </cell>
          <cell r="AN6">
            <v>20</v>
          </cell>
          <cell r="AO6">
            <v>3</v>
          </cell>
          <cell r="AP6">
            <v>23</v>
          </cell>
          <cell r="AQ6">
            <v>0</v>
          </cell>
          <cell r="AR6">
            <v>23</v>
          </cell>
        </row>
        <row r="7">
          <cell r="F7" t="str">
            <v>ED</v>
          </cell>
        </row>
        <row r="8">
          <cell r="C8">
            <v>11351</v>
          </cell>
          <cell r="D8" t="str">
            <v>MYLA SUDHAKAR</v>
          </cell>
          <cell r="E8" t="str">
            <v>SUPERVISIOR</v>
          </cell>
          <cell r="F8" t="str">
            <v>SHIFT</v>
          </cell>
          <cell r="G8" t="str">
            <v>A</v>
          </cell>
          <cell r="H8" t="str">
            <v>W/O</v>
          </cell>
          <cell r="I8" t="str">
            <v>B</v>
          </cell>
          <cell r="J8" t="str">
            <v>A</v>
          </cell>
          <cell r="K8" t="str">
            <v>B</v>
          </cell>
          <cell r="L8" t="str">
            <v>B</v>
          </cell>
          <cell r="M8" t="str">
            <v>A</v>
          </cell>
          <cell r="N8" t="str">
            <v>A</v>
          </cell>
          <cell r="O8" t="str">
            <v>W/O</v>
          </cell>
          <cell r="P8" t="str">
            <v>C</v>
          </cell>
          <cell r="Q8" t="str">
            <v>C</v>
          </cell>
          <cell r="R8" t="str">
            <v>B</v>
          </cell>
          <cell r="S8" t="str">
            <v>A</v>
          </cell>
          <cell r="T8" t="str">
            <v>B</v>
          </cell>
          <cell r="U8" t="str">
            <v>A</v>
          </cell>
          <cell r="V8" t="str">
            <v>W/O</v>
          </cell>
          <cell r="W8" t="str">
            <v>C</v>
          </cell>
          <cell r="X8" t="str">
            <v>C</v>
          </cell>
          <cell r="Y8" t="str">
            <v>B</v>
          </cell>
          <cell r="Z8" t="str">
            <v>B</v>
          </cell>
          <cell r="AA8" t="str">
            <v>A</v>
          </cell>
          <cell r="AB8" t="str">
            <v>A</v>
          </cell>
          <cell r="AC8" t="str">
            <v>W/O</v>
          </cell>
          <cell r="AD8" t="str">
            <v>C</v>
          </cell>
          <cell r="AE8" t="str">
            <v>C</v>
          </cell>
          <cell r="AF8" t="str">
            <v>B</v>
          </cell>
          <cell r="AG8" t="str">
            <v>B</v>
          </cell>
          <cell r="AH8" t="str">
            <v>B</v>
          </cell>
          <cell r="AI8" t="str">
            <v>A</v>
          </cell>
          <cell r="AJ8" t="str">
            <v>W/O</v>
          </cell>
          <cell r="AK8" t="str">
            <v>C</v>
          </cell>
          <cell r="AL8">
            <v>0</v>
          </cell>
          <cell r="AM8">
            <v>0</v>
          </cell>
          <cell r="AN8">
            <v>26</v>
          </cell>
          <cell r="AO8">
            <v>5</v>
          </cell>
          <cell r="AP8">
            <v>31</v>
          </cell>
          <cell r="AQ8">
            <v>0</v>
          </cell>
          <cell r="AR8">
            <v>31</v>
          </cell>
        </row>
        <row r="9">
          <cell r="F9" t="str">
            <v>ED</v>
          </cell>
        </row>
        <row r="10">
          <cell r="C10">
            <v>11192</v>
          </cell>
          <cell r="D10" t="str">
            <v>MALLEPOGU NIKHIL</v>
          </cell>
          <cell r="E10" t="str">
            <v>SUPERVISIOR</v>
          </cell>
          <cell r="F10" t="str">
            <v>SHIFT</v>
          </cell>
          <cell r="G10" t="str">
            <v>B</v>
          </cell>
          <cell r="H10" t="str">
            <v>A</v>
          </cell>
          <cell r="I10" t="str">
            <v>W/O</v>
          </cell>
          <cell r="J10" t="str">
            <v>C</v>
          </cell>
          <cell r="K10" t="str">
            <v>C</v>
          </cell>
          <cell r="L10" t="str">
            <v>C</v>
          </cell>
          <cell r="M10" t="str">
            <v>B</v>
          </cell>
          <cell r="N10" t="str">
            <v>C</v>
          </cell>
          <cell r="O10" t="str">
            <v>C</v>
          </cell>
          <cell r="P10" t="str">
            <v>W/O</v>
          </cell>
          <cell r="Q10" t="str">
            <v>G</v>
          </cell>
          <cell r="R10" t="str">
            <v>A</v>
          </cell>
          <cell r="S10" t="str">
            <v>G</v>
          </cell>
          <cell r="T10" t="str">
            <v>A</v>
          </cell>
          <cell r="U10" t="str">
            <v>C</v>
          </cell>
          <cell r="V10" t="str">
            <v>C</v>
          </cell>
          <cell r="W10" t="str">
            <v>W/O</v>
          </cell>
          <cell r="X10" t="str">
            <v>G</v>
          </cell>
          <cell r="Y10" t="str">
            <v>A</v>
          </cell>
          <cell r="Z10" t="str">
            <v>G</v>
          </cell>
          <cell r="AA10" t="str">
            <v>B</v>
          </cell>
          <cell r="AB10" t="str">
            <v>C</v>
          </cell>
          <cell r="AC10" t="str">
            <v>C</v>
          </cell>
          <cell r="AD10" t="str">
            <v>W/O</v>
          </cell>
          <cell r="AE10" t="str">
            <v>B</v>
          </cell>
          <cell r="AF10" t="str">
            <v>A</v>
          </cell>
          <cell r="AG10" t="str">
            <v>G</v>
          </cell>
          <cell r="AH10" t="str">
            <v>A</v>
          </cell>
          <cell r="AI10" t="str">
            <v>C</v>
          </cell>
          <cell r="AJ10" t="str">
            <v>B</v>
          </cell>
          <cell r="AK10" t="str">
            <v>W/O</v>
          </cell>
          <cell r="AL10">
            <v>0</v>
          </cell>
          <cell r="AM10">
            <v>0</v>
          </cell>
          <cell r="AN10">
            <v>26</v>
          </cell>
          <cell r="AO10">
            <v>5</v>
          </cell>
          <cell r="AP10">
            <v>31</v>
          </cell>
          <cell r="AQ10">
            <v>0</v>
          </cell>
          <cell r="AR10">
            <v>31</v>
          </cell>
        </row>
        <row r="11">
          <cell r="F11" t="str">
            <v>ED</v>
          </cell>
        </row>
        <row r="12">
          <cell r="C12">
            <v>10476</v>
          </cell>
          <cell r="D12" t="str">
            <v>KALINGA LEELA KRISHNA DURGA PAVAN KALYAN</v>
          </cell>
          <cell r="E12" t="str">
            <v>ELECTRICIAN</v>
          </cell>
          <cell r="F12" t="str">
            <v>SHIFT</v>
          </cell>
          <cell r="G12" t="str">
            <v>B</v>
          </cell>
          <cell r="H12" t="str">
            <v>A</v>
          </cell>
          <cell r="I12" t="str">
            <v>W/O</v>
          </cell>
          <cell r="J12" t="str">
            <v>C</v>
          </cell>
          <cell r="K12" t="str">
            <v>C</v>
          </cell>
          <cell r="L12" t="str">
            <v>B</v>
          </cell>
          <cell r="M12" t="str">
            <v>A</v>
          </cell>
          <cell r="N12" t="str">
            <v>A</v>
          </cell>
          <cell r="O12" t="str">
            <v>C</v>
          </cell>
          <cell r="P12" t="str">
            <v>W/O</v>
          </cell>
          <cell r="Q12" t="str">
            <v>B</v>
          </cell>
          <cell r="R12" t="str">
            <v>A</v>
          </cell>
          <cell r="S12" t="str">
            <v>B</v>
          </cell>
          <cell r="T12" t="str">
            <v>C</v>
          </cell>
          <cell r="U12" t="str">
            <v>B</v>
          </cell>
          <cell r="V12" t="str">
            <v>B</v>
          </cell>
          <cell r="W12" t="str">
            <v>W/O</v>
          </cell>
          <cell r="X12" t="str">
            <v>B</v>
          </cell>
          <cell r="Y12" t="str">
            <v>A</v>
          </cell>
          <cell r="Z12" t="str">
            <v>A</v>
          </cell>
          <cell r="AA12" t="str">
            <v>A</v>
          </cell>
          <cell r="AB12" t="str">
            <v>G</v>
          </cell>
          <cell r="AC12" t="str">
            <v>G</v>
          </cell>
          <cell r="AD12" t="str">
            <v>W/O</v>
          </cell>
          <cell r="AE12" t="str">
            <v>B</v>
          </cell>
          <cell r="AF12" t="str">
            <v>A</v>
          </cell>
          <cell r="AG12" t="str">
            <v>B</v>
          </cell>
          <cell r="AH12" t="str">
            <v>A</v>
          </cell>
          <cell r="AI12" t="str">
            <v>A</v>
          </cell>
          <cell r="AJ12" t="str">
            <v>A</v>
          </cell>
          <cell r="AK12" t="str">
            <v>W/O</v>
          </cell>
          <cell r="AL12">
            <v>0</v>
          </cell>
          <cell r="AM12">
            <v>0</v>
          </cell>
          <cell r="AN12">
            <v>26</v>
          </cell>
          <cell r="AO12">
            <v>5</v>
          </cell>
          <cell r="AP12">
            <v>31</v>
          </cell>
          <cell r="AQ12">
            <v>0</v>
          </cell>
          <cell r="AR12">
            <v>31</v>
          </cell>
        </row>
        <row r="13">
          <cell r="F13" t="str">
            <v>ED</v>
          </cell>
        </row>
        <row r="14">
          <cell r="C14">
            <v>12107</v>
          </cell>
          <cell r="D14" t="str">
            <v>ASHOK</v>
          </cell>
          <cell r="E14" t="str">
            <v>ELECTRICIAN</v>
          </cell>
          <cell r="F14" t="str">
            <v>SHIFT</v>
          </cell>
          <cell r="G14" t="str">
            <v>NEW JOINING</v>
          </cell>
          <cell r="Z14" t="str">
            <v>G</v>
          </cell>
          <cell r="AA14" t="str">
            <v>G</v>
          </cell>
          <cell r="AB14" t="str">
            <v>LEFT</v>
          </cell>
          <cell r="AL14">
            <v>0</v>
          </cell>
          <cell r="AM14">
            <v>0</v>
          </cell>
          <cell r="AN14">
            <v>2</v>
          </cell>
          <cell r="AO14">
            <v>0</v>
          </cell>
          <cell r="AP14">
            <v>2</v>
          </cell>
          <cell r="AQ14">
            <v>0</v>
          </cell>
          <cell r="AR14">
            <v>2</v>
          </cell>
        </row>
        <row r="15">
          <cell r="F15" t="str">
            <v>ED</v>
          </cell>
        </row>
        <row r="16">
          <cell r="C16">
            <v>12120</v>
          </cell>
          <cell r="D16" t="str">
            <v>SHAIK SAMMER</v>
          </cell>
          <cell r="E16" t="str">
            <v>ELECTRICIAN</v>
          </cell>
          <cell r="F16" t="str">
            <v>SHIFT</v>
          </cell>
          <cell r="G16" t="str">
            <v>NEW JOINING</v>
          </cell>
          <cell r="AG16" t="str">
            <v>B</v>
          </cell>
          <cell r="AH16" t="str">
            <v>G</v>
          </cell>
          <cell r="AI16" t="str">
            <v>B</v>
          </cell>
          <cell r="AJ16" t="str">
            <v>B</v>
          </cell>
          <cell r="AK16" t="str">
            <v>A</v>
          </cell>
          <cell r="AL16">
            <v>0</v>
          </cell>
          <cell r="AM16">
            <v>0</v>
          </cell>
          <cell r="AN16">
            <v>5</v>
          </cell>
          <cell r="AO16">
            <v>0</v>
          </cell>
          <cell r="AP16">
            <v>5</v>
          </cell>
          <cell r="AQ16">
            <v>0</v>
          </cell>
          <cell r="AR16">
            <v>5</v>
          </cell>
        </row>
        <row r="17">
          <cell r="F17" t="str">
            <v>ED</v>
          </cell>
        </row>
        <row r="18">
          <cell r="C18" t="str">
            <v>new</v>
          </cell>
          <cell r="D18" t="str">
            <v>NAVEEN</v>
          </cell>
          <cell r="E18" t="str">
            <v>ELECTRICIAN</v>
          </cell>
          <cell r="F18" t="str">
            <v>SHIFT</v>
          </cell>
          <cell r="G18" t="str">
            <v>A</v>
          </cell>
          <cell r="H18" t="str">
            <v>C</v>
          </cell>
          <cell r="I18" t="str">
            <v>L</v>
          </cell>
          <cell r="J18" t="str">
            <v>L</v>
          </cell>
          <cell r="K18" t="str">
            <v>L</v>
          </cell>
          <cell r="L18" t="str">
            <v>L</v>
          </cell>
          <cell r="M18" t="str">
            <v>G</v>
          </cell>
          <cell r="N18" t="str">
            <v>B</v>
          </cell>
          <cell r="O18" t="str">
            <v>LEFT</v>
          </cell>
          <cell r="AL18">
            <v>4</v>
          </cell>
          <cell r="AM18">
            <v>0</v>
          </cell>
          <cell r="AN18">
            <v>4</v>
          </cell>
          <cell r="AO18">
            <v>0</v>
          </cell>
          <cell r="AP18">
            <v>4</v>
          </cell>
          <cell r="AQ18">
            <v>0</v>
          </cell>
          <cell r="AR18">
            <v>4</v>
          </cell>
        </row>
        <row r="19">
          <cell r="F19" t="str">
            <v>ED</v>
          </cell>
        </row>
        <row r="20">
          <cell r="C20">
            <v>12074</v>
          </cell>
          <cell r="D20" t="str">
            <v>CHINNAM MATSYAGIRI</v>
          </cell>
          <cell r="E20" t="str">
            <v>ELECTRICIAN</v>
          </cell>
          <cell r="F20" t="str">
            <v>SHIFT</v>
          </cell>
          <cell r="G20" t="str">
            <v>W/O</v>
          </cell>
          <cell r="H20" t="str">
            <v>B</v>
          </cell>
          <cell r="I20" t="str">
            <v>A</v>
          </cell>
          <cell r="J20" t="str">
            <v>A</v>
          </cell>
          <cell r="K20" t="str">
            <v>A</v>
          </cell>
          <cell r="L20" t="str">
            <v>C</v>
          </cell>
          <cell r="M20" t="str">
            <v>B</v>
          </cell>
          <cell r="N20" t="str">
            <v>W/O</v>
          </cell>
          <cell r="O20" t="str">
            <v>B</v>
          </cell>
          <cell r="P20" t="str">
            <v>A</v>
          </cell>
          <cell r="Q20" t="str">
            <v>A</v>
          </cell>
          <cell r="R20" t="str">
            <v>C</v>
          </cell>
          <cell r="S20" t="str">
            <v>C</v>
          </cell>
          <cell r="T20" t="str">
            <v>B</v>
          </cell>
          <cell r="U20" t="str">
            <v>W/O</v>
          </cell>
          <cell r="V20" t="str">
            <v>A</v>
          </cell>
          <cell r="W20" t="str">
            <v>G</v>
          </cell>
          <cell r="X20" t="str">
            <v>C</v>
          </cell>
          <cell r="Y20" t="str">
            <v>C</v>
          </cell>
          <cell r="Z20" t="str">
            <v>C</v>
          </cell>
          <cell r="AA20" t="str">
            <v>B</v>
          </cell>
          <cell r="AB20" t="str">
            <v>W/O</v>
          </cell>
          <cell r="AC20" t="str">
            <v>C</v>
          </cell>
          <cell r="AD20" t="str">
            <v>C</v>
          </cell>
          <cell r="AE20" t="str">
            <v>C</v>
          </cell>
          <cell r="AF20" t="str">
            <v>C</v>
          </cell>
          <cell r="AG20" t="str">
            <v>C</v>
          </cell>
          <cell r="AH20" t="str">
            <v>B</v>
          </cell>
          <cell r="AI20" t="str">
            <v>W/O</v>
          </cell>
          <cell r="AJ20" t="str">
            <v>C</v>
          </cell>
          <cell r="AK20" t="str">
            <v>C</v>
          </cell>
          <cell r="AL20">
            <v>0</v>
          </cell>
          <cell r="AM20">
            <v>0</v>
          </cell>
          <cell r="AN20">
            <v>26</v>
          </cell>
          <cell r="AO20">
            <v>5</v>
          </cell>
          <cell r="AP20">
            <v>31</v>
          </cell>
          <cell r="AQ20">
            <v>0</v>
          </cell>
          <cell r="AR20">
            <v>31</v>
          </cell>
        </row>
        <row r="21">
          <cell r="F21" t="str">
            <v>ED</v>
          </cell>
        </row>
        <row r="22">
          <cell r="C22">
            <v>12083</v>
          </cell>
          <cell r="D22" t="str">
            <v>ALAVALA MAHESH</v>
          </cell>
          <cell r="E22" t="str">
            <v>ELECTRICIAN</v>
          </cell>
          <cell r="F22" t="str">
            <v>SHIFT</v>
          </cell>
          <cell r="G22" t="str">
            <v>C</v>
          </cell>
          <cell r="H22" t="str">
            <v>W/O</v>
          </cell>
          <cell r="I22" t="str">
            <v>B</v>
          </cell>
          <cell r="J22" t="str">
            <v>B</v>
          </cell>
          <cell r="K22" t="str">
            <v>B</v>
          </cell>
          <cell r="L22" t="str">
            <v>A</v>
          </cell>
          <cell r="M22" t="str">
            <v>C</v>
          </cell>
          <cell r="N22" t="str">
            <v>C</v>
          </cell>
          <cell r="O22" t="str">
            <v>W/O</v>
          </cell>
          <cell r="P22" t="str">
            <v>C</v>
          </cell>
          <cell r="Q22" t="str">
            <v>C</v>
          </cell>
          <cell r="R22" t="str">
            <v>B</v>
          </cell>
          <cell r="S22" t="str">
            <v>A</v>
          </cell>
          <cell r="T22" t="str">
            <v>A</v>
          </cell>
          <cell r="U22" t="str">
            <v>A</v>
          </cell>
          <cell r="V22" t="str">
            <v>W/O</v>
          </cell>
          <cell r="W22" t="str">
            <v>C</v>
          </cell>
          <cell r="X22" t="str">
            <v>A</v>
          </cell>
          <cell r="Y22" t="str">
            <v>L</v>
          </cell>
          <cell r="Z22" t="str">
            <v>B</v>
          </cell>
          <cell r="AA22" t="str">
            <v>C</v>
          </cell>
          <cell r="AB22" t="str">
            <v>C</v>
          </cell>
          <cell r="AC22" t="str">
            <v>W/O</v>
          </cell>
          <cell r="AD22" t="str">
            <v>G</v>
          </cell>
          <cell r="AE22" t="str">
            <v>A</v>
          </cell>
          <cell r="AF22" t="str">
            <v>B</v>
          </cell>
          <cell r="AG22" t="str">
            <v>A</v>
          </cell>
          <cell r="AH22" t="str">
            <v>C</v>
          </cell>
          <cell r="AI22" t="str">
            <v>C</v>
          </cell>
          <cell r="AJ22" t="str">
            <v>W/O</v>
          </cell>
          <cell r="AK22" t="str">
            <v>B</v>
          </cell>
          <cell r="AL22">
            <v>1</v>
          </cell>
          <cell r="AM22">
            <v>0</v>
          </cell>
          <cell r="AN22">
            <v>25</v>
          </cell>
          <cell r="AO22">
            <v>5</v>
          </cell>
          <cell r="AP22">
            <v>30</v>
          </cell>
          <cell r="AQ22">
            <v>0</v>
          </cell>
          <cell r="AR22">
            <v>30</v>
          </cell>
        </row>
        <row r="23">
          <cell r="F23" t="str">
            <v>ED</v>
          </cell>
          <cell r="AD23" t="str">
            <v xml:space="preserve">  </v>
          </cell>
        </row>
        <row r="24">
          <cell r="C24">
            <v>10209</v>
          </cell>
          <cell r="D24" t="str">
            <v>BHUBAN MALIK</v>
          </cell>
          <cell r="E24" t="str">
            <v>BMS</v>
          </cell>
          <cell r="F24" t="str">
            <v>SHIFT</v>
          </cell>
          <cell r="G24" t="str">
            <v>W/O</v>
          </cell>
          <cell r="H24" t="str">
            <v>B</v>
          </cell>
          <cell r="I24" t="str">
            <v>B</v>
          </cell>
          <cell r="J24" t="str">
            <v>A</v>
          </cell>
          <cell r="K24" t="str">
            <v>A</v>
          </cell>
          <cell r="L24" t="str">
            <v>A</v>
          </cell>
          <cell r="M24" t="str">
            <v>C</v>
          </cell>
          <cell r="N24" t="str">
            <v>W/O</v>
          </cell>
          <cell r="O24" t="str">
            <v>B</v>
          </cell>
          <cell r="P24" t="str">
            <v>B</v>
          </cell>
          <cell r="Q24" t="str">
            <v>A</v>
          </cell>
          <cell r="R24" t="str">
            <v>A</v>
          </cell>
          <cell r="S24" t="str">
            <v>A</v>
          </cell>
          <cell r="T24" t="str">
            <v>C</v>
          </cell>
          <cell r="U24" t="str">
            <v>W/O</v>
          </cell>
          <cell r="V24" t="str">
            <v>B</v>
          </cell>
          <cell r="W24" t="str">
            <v>A</v>
          </cell>
          <cell r="X24" t="str">
            <v>A</v>
          </cell>
          <cell r="Y24" t="str">
            <v>A</v>
          </cell>
          <cell r="Z24" t="str">
            <v>A</v>
          </cell>
          <cell r="AA24" t="str">
            <v>C</v>
          </cell>
          <cell r="AB24" t="str">
            <v>W/O</v>
          </cell>
          <cell r="AC24" t="str">
            <v>B</v>
          </cell>
          <cell r="AD24" t="str">
            <v>B</v>
          </cell>
          <cell r="AE24" t="str">
            <v>A</v>
          </cell>
          <cell r="AF24" t="str">
            <v>A</v>
          </cell>
          <cell r="AG24" t="str">
            <v>C</v>
          </cell>
          <cell r="AH24" t="str">
            <v>C</v>
          </cell>
          <cell r="AI24" t="str">
            <v>W/O</v>
          </cell>
          <cell r="AJ24" t="str">
            <v>B</v>
          </cell>
          <cell r="AK24" t="str">
            <v>B</v>
          </cell>
          <cell r="AL24">
            <v>0</v>
          </cell>
          <cell r="AM24">
            <v>0</v>
          </cell>
          <cell r="AN24">
            <v>26</v>
          </cell>
          <cell r="AO24">
            <v>5</v>
          </cell>
          <cell r="AP24">
            <v>31</v>
          </cell>
          <cell r="AQ24">
            <v>0</v>
          </cell>
          <cell r="AR24">
            <v>31</v>
          </cell>
        </row>
        <row r="25">
          <cell r="F25" t="str">
            <v>ED</v>
          </cell>
        </row>
        <row r="26">
          <cell r="C26">
            <v>10936</v>
          </cell>
          <cell r="D26" t="str">
            <v>AKULA.PURNA CHANDRA RAO</v>
          </cell>
          <cell r="E26" t="str">
            <v>BMS</v>
          </cell>
          <cell r="F26" t="str">
            <v>SHIFT</v>
          </cell>
          <cell r="G26" t="str">
            <v>C</v>
          </cell>
          <cell r="H26" t="str">
            <v>C</v>
          </cell>
          <cell r="I26" t="str">
            <v>W/O</v>
          </cell>
          <cell r="J26" t="str">
            <v>B</v>
          </cell>
          <cell r="K26" t="str">
            <v>B</v>
          </cell>
          <cell r="L26" t="str">
            <v>B</v>
          </cell>
          <cell r="M26" t="str">
            <v>A</v>
          </cell>
          <cell r="N26" t="str">
            <v>B</v>
          </cell>
          <cell r="O26" t="str">
            <v>A</v>
          </cell>
          <cell r="P26" t="str">
            <v>W/O</v>
          </cell>
          <cell r="Q26" t="str">
            <v>L</v>
          </cell>
          <cell r="R26" t="str">
            <v>L</v>
          </cell>
          <cell r="S26" t="str">
            <v>L</v>
          </cell>
          <cell r="T26" t="str">
            <v>L</v>
          </cell>
          <cell r="U26" t="str">
            <v>C</v>
          </cell>
          <cell r="V26" t="str">
            <v>C</v>
          </cell>
          <cell r="W26" t="str">
            <v>B</v>
          </cell>
          <cell r="X26" t="str">
            <v>B</v>
          </cell>
          <cell r="Y26" t="str">
            <v>C</v>
          </cell>
          <cell r="Z26" t="str">
            <v>B</v>
          </cell>
          <cell r="AA26" t="str">
            <v>A</v>
          </cell>
          <cell r="AB26" t="str">
            <v>C</v>
          </cell>
          <cell r="AC26" t="str">
            <v>C</v>
          </cell>
          <cell r="AD26" t="str">
            <v>W/O</v>
          </cell>
          <cell r="AE26" t="str">
            <v>B</v>
          </cell>
          <cell r="AF26" t="str">
            <v>A</v>
          </cell>
          <cell r="AG26" t="str">
            <v>B</v>
          </cell>
          <cell r="AH26" t="str">
            <v>A</v>
          </cell>
          <cell r="AI26" t="str">
            <v>C</v>
          </cell>
          <cell r="AJ26" t="str">
            <v>C</v>
          </cell>
          <cell r="AK26" t="str">
            <v>W/O</v>
          </cell>
          <cell r="AL26">
            <v>4</v>
          </cell>
          <cell r="AM26">
            <v>0</v>
          </cell>
          <cell r="AN26">
            <v>23</v>
          </cell>
          <cell r="AO26">
            <v>4</v>
          </cell>
          <cell r="AP26">
            <v>27</v>
          </cell>
          <cell r="AQ26">
            <v>0</v>
          </cell>
          <cell r="AR26">
            <v>27</v>
          </cell>
        </row>
        <row r="27">
          <cell r="F27" t="str">
            <v>ED</v>
          </cell>
        </row>
        <row r="28">
          <cell r="C28">
            <v>11853</v>
          </cell>
          <cell r="D28" t="str">
            <v>MALLADHI VENKATESWARARAO</v>
          </cell>
          <cell r="E28" t="str">
            <v>BMS</v>
          </cell>
          <cell r="F28" t="str">
            <v>SHIFT</v>
          </cell>
          <cell r="G28" t="str">
            <v>G</v>
          </cell>
          <cell r="H28" t="str">
            <v>A</v>
          </cell>
          <cell r="I28" t="str">
            <v>C</v>
          </cell>
          <cell r="J28" t="str">
            <v>C</v>
          </cell>
          <cell r="K28" t="str">
            <v>C</v>
          </cell>
          <cell r="L28" t="str">
            <v>W/O</v>
          </cell>
          <cell r="M28" t="str">
            <v>G</v>
          </cell>
          <cell r="N28" t="str">
            <v>C</v>
          </cell>
          <cell r="O28" t="str">
            <v>C</v>
          </cell>
          <cell r="P28" t="str">
            <v>C</v>
          </cell>
          <cell r="Q28" t="str">
            <v>B</v>
          </cell>
          <cell r="R28" t="str">
            <v>B</v>
          </cell>
          <cell r="S28" t="str">
            <v>W/O</v>
          </cell>
          <cell r="T28" t="str">
            <v>G</v>
          </cell>
          <cell r="U28" t="str">
            <v>G</v>
          </cell>
          <cell r="V28" t="str">
            <v>A</v>
          </cell>
          <cell r="W28" t="str">
            <v>C</v>
          </cell>
          <cell r="X28" t="str">
            <v>C</v>
          </cell>
          <cell r="Y28" t="str">
            <v>B</v>
          </cell>
          <cell r="Z28" t="str">
            <v>W/O</v>
          </cell>
          <cell r="AA28" t="str">
            <v>B</v>
          </cell>
          <cell r="AB28" t="str">
            <v>B</v>
          </cell>
          <cell r="AC28" t="str">
            <v>A</v>
          </cell>
          <cell r="AD28" t="str">
            <v>C</v>
          </cell>
          <cell r="AE28" t="str">
            <v>C</v>
          </cell>
          <cell r="AF28" t="str">
            <v>C</v>
          </cell>
          <cell r="AG28" t="str">
            <v>W/O</v>
          </cell>
          <cell r="AH28" t="str">
            <v>B</v>
          </cell>
          <cell r="AI28" t="str">
            <v>B</v>
          </cell>
          <cell r="AJ28" t="str">
            <v>A</v>
          </cell>
          <cell r="AK28" t="str">
            <v>C</v>
          </cell>
          <cell r="AL28">
            <v>0</v>
          </cell>
          <cell r="AM28">
            <v>0</v>
          </cell>
          <cell r="AN28">
            <v>27</v>
          </cell>
          <cell r="AO28">
            <v>4</v>
          </cell>
          <cell r="AP28">
            <v>31</v>
          </cell>
          <cell r="AQ28">
            <v>0</v>
          </cell>
          <cell r="AR28">
            <v>31</v>
          </cell>
        </row>
        <row r="29">
          <cell r="F29" t="str">
            <v>ED</v>
          </cell>
        </row>
        <row r="30">
          <cell r="C30">
            <v>708</v>
          </cell>
          <cell r="D30" t="str">
            <v>G.JAGADEESH</v>
          </cell>
          <cell r="E30" t="str">
            <v>BMS</v>
          </cell>
          <cell r="F30" t="str">
            <v>SHIFT</v>
          </cell>
          <cell r="G30" t="str">
            <v>NEW JOINING</v>
          </cell>
          <cell r="Z30" t="str">
            <v>G</v>
          </cell>
          <cell r="AA30" t="str">
            <v>G</v>
          </cell>
          <cell r="AB30" t="str">
            <v>G</v>
          </cell>
          <cell r="AC30" t="str">
            <v>G</v>
          </cell>
          <cell r="AD30" t="str">
            <v>G</v>
          </cell>
          <cell r="AE30" t="str">
            <v>G</v>
          </cell>
          <cell r="AF30" t="str">
            <v>G</v>
          </cell>
          <cell r="AG30" t="str">
            <v>G</v>
          </cell>
          <cell r="AH30" t="str">
            <v>G</v>
          </cell>
          <cell r="AI30" t="str">
            <v>G</v>
          </cell>
          <cell r="AJ30" t="str">
            <v>W/O</v>
          </cell>
          <cell r="AK30" t="str">
            <v>G</v>
          </cell>
          <cell r="AL30">
            <v>0</v>
          </cell>
          <cell r="AM30">
            <v>0</v>
          </cell>
          <cell r="AN30">
            <v>11</v>
          </cell>
          <cell r="AO30">
            <v>1</v>
          </cell>
          <cell r="AP30">
            <v>12</v>
          </cell>
          <cell r="AQ30">
            <v>0</v>
          </cell>
          <cell r="AR30">
            <v>12</v>
          </cell>
        </row>
        <row r="31">
          <cell r="F31" t="str">
            <v>ED</v>
          </cell>
        </row>
        <row r="32">
          <cell r="C32">
            <v>12031</v>
          </cell>
          <cell r="D32" t="str">
            <v>KONDAPALLI MAHESH</v>
          </cell>
          <cell r="E32" t="str">
            <v>BMS</v>
          </cell>
          <cell r="F32" t="str">
            <v>SHIFT</v>
          </cell>
          <cell r="G32" t="str">
            <v>L</v>
          </cell>
          <cell r="H32" t="str">
            <v>G</v>
          </cell>
          <cell r="I32" t="str">
            <v>A</v>
          </cell>
          <cell r="J32" t="str">
            <v>G</v>
          </cell>
          <cell r="K32" t="str">
            <v>C</v>
          </cell>
          <cell r="L32" t="str">
            <v>C</v>
          </cell>
          <cell r="M32" t="str">
            <v>B</v>
          </cell>
          <cell r="N32" t="str">
            <v>A</v>
          </cell>
          <cell r="O32" t="str">
            <v>W/O</v>
          </cell>
          <cell r="P32" t="str">
            <v>LEFT</v>
          </cell>
          <cell r="AL32">
            <v>1</v>
          </cell>
          <cell r="AM32">
            <v>0</v>
          </cell>
          <cell r="AN32">
            <v>7</v>
          </cell>
          <cell r="AO32">
            <v>1</v>
          </cell>
          <cell r="AP32">
            <v>8</v>
          </cell>
          <cell r="AQ32">
            <v>0</v>
          </cell>
          <cell r="AR32">
            <v>8</v>
          </cell>
        </row>
        <row r="33">
          <cell r="F33" t="str">
            <v>ED</v>
          </cell>
        </row>
        <row r="34">
          <cell r="C34">
            <v>11678</v>
          </cell>
          <cell r="D34" t="str">
            <v>MANTRI UMAMAHESH</v>
          </cell>
          <cell r="E34" t="str">
            <v>HVAC</v>
          </cell>
          <cell r="F34" t="str">
            <v>SHIFT</v>
          </cell>
          <cell r="G34" t="str">
            <v>A</v>
          </cell>
          <cell r="H34" t="str">
            <v>C</v>
          </cell>
          <cell r="I34" t="str">
            <v>W/O</v>
          </cell>
          <cell r="J34" t="str">
            <v>B</v>
          </cell>
          <cell r="K34" t="str">
            <v>A</v>
          </cell>
          <cell r="L34" t="str">
            <v>B</v>
          </cell>
          <cell r="M34" t="str">
            <v>A</v>
          </cell>
          <cell r="N34" t="str">
            <v>C</v>
          </cell>
          <cell r="O34" t="str">
            <v>C</v>
          </cell>
          <cell r="P34" t="str">
            <v>W/O</v>
          </cell>
          <cell r="Q34" t="str">
            <v>C</v>
          </cell>
          <cell r="R34" t="str">
            <v>C</v>
          </cell>
          <cell r="S34" t="str">
            <v>A</v>
          </cell>
          <cell r="T34" t="str">
            <v>A</v>
          </cell>
          <cell r="U34" t="str">
            <v>C</v>
          </cell>
          <cell r="V34" t="str">
            <v>C</v>
          </cell>
          <cell r="W34" t="str">
            <v>W/O</v>
          </cell>
          <cell r="X34" t="str">
            <v>B</v>
          </cell>
          <cell r="Y34" t="str">
            <v>A</v>
          </cell>
          <cell r="Z34" t="str">
            <v>B</v>
          </cell>
          <cell r="AA34" t="str">
            <v>A</v>
          </cell>
          <cell r="AB34" t="str">
            <v>C</v>
          </cell>
          <cell r="AC34" t="str">
            <v>C</v>
          </cell>
          <cell r="AD34" t="str">
            <v>W/O</v>
          </cell>
          <cell r="AE34" t="str">
            <v>B</v>
          </cell>
          <cell r="AF34" t="str">
            <v>L</v>
          </cell>
          <cell r="AG34" t="str">
            <v>B</v>
          </cell>
          <cell r="AH34" t="str">
            <v>A</v>
          </cell>
          <cell r="AI34" t="str">
            <v>C</v>
          </cell>
          <cell r="AJ34" t="str">
            <v>B</v>
          </cell>
          <cell r="AK34" t="str">
            <v>W/O</v>
          </cell>
          <cell r="AL34">
            <v>1</v>
          </cell>
          <cell r="AM34">
            <v>0</v>
          </cell>
          <cell r="AN34">
            <v>25</v>
          </cell>
          <cell r="AO34">
            <v>5</v>
          </cell>
          <cell r="AP34">
            <v>30</v>
          </cell>
          <cell r="AQ34">
            <v>0</v>
          </cell>
          <cell r="AR34">
            <v>30</v>
          </cell>
        </row>
        <row r="35">
          <cell r="F35" t="str">
            <v>ED</v>
          </cell>
        </row>
        <row r="36">
          <cell r="C36">
            <v>11268</v>
          </cell>
          <cell r="D36" t="str">
            <v>GADDAM RUSHIKESH</v>
          </cell>
          <cell r="E36" t="str">
            <v>HVAC</v>
          </cell>
          <cell r="F36" t="str">
            <v>SHIFT</v>
          </cell>
          <cell r="G36" t="str">
            <v>B</v>
          </cell>
          <cell r="H36" t="str">
            <v>W/O</v>
          </cell>
          <cell r="I36" t="str">
            <v>A</v>
          </cell>
          <cell r="J36" t="str">
            <v>A</v>
          </cell>
          <cell r="K36" t="str">
            <v>C</v>
          </cell>
          <cell r="L36" t="str">
            <v>C</v>
          </cell>
          <cell r="M36" t="str">
            <v>C</v>
          </cell>
          <cell r="N36" t="str">
            <v>W/O</v>
          </cell>
          <cell r="O36" t="str">
            <v>B</v>
          </cell>
          <cell r="P36" t="str">
            <v>A</v>
          </cell>
          <cell r="Q36" t="str">
            <v>L</v>
          </cell>
          <cell r="R36" t="str">
            <v>C</v>
          </cell>
          <cell r="S36" t="str">
            <v>L</v>
          </cell>
          <cell r="T36" t="str">
            <v>L</v>
          </cell>
          <cell r="U36" t="str">
            <v>L</v>
          </cell>
          <cell r="V36" t="str">
            <v>L</v>
          </cell>
          <cell r="W36" t="str">
            <v>L</v>
          </cell>
          <cell r="X36" t="str">
            <v>L</v>
          </cell>
          <cell r="Y36" t="str">
            <v>L</v>
          </cell>
          <cell r="Z36" t="str">
            <v>L</v>
          </cell>
          <cell r="AA36" t="str">
            <v>L</v>
          </cell>
          <cell r="AB36" t="str">
            <v>L</v>
          </cell>
          <cell r="AC36" t="str">
            <v>L</v>
          </cell>
          <cell r="AD36" t="str">
            <v>L</v>
          </cell>
          <cell r="AE36" t="str">
            <v>L</v>
          </cell>
          <cell r="AF36" t="str">
            <v>C</v>
          </cell>
          <cell r="AG36" t="str">
            <v>C</v>
          </cell>
          <cell r="AH36" t="str">
            <v>C</v>
          </cell>
          <cell r="AI36" t="str">
            <v>W/O</v>
          </cell>
          <cell r="AJ36" t="str">
            <v>C</v>
          </cell>
          <cell r="AK36" t="str">
            <v>A</v>
          </cell>
          <cell r="AL36">
            <v>14</v>
          </cell>
          <cell r="AM36">
            <v>0</v>
          </cell>
          <cell r="AN36">
            <v>14</v>
          </cell>
          <cell r="AO36">
            <v>3</v>
          </cell>
          <cell r="AP36">
            <v>17</v>
          </cell>
          <cell r="AQ36">
            <v>0</v>
          </cell>
          <cell r="AR36">
            <v>17</v>
          </cell>
        </row>
        <row r="37">
          <cell r="F37" t="str">
            <v>ED</v>
          </cell>
        </row>
        <row r="38">
          <cell r="C38">
            <v>12077</v>
          </cell>
          <cell r="D38" t="str">
            <v>MAHMAD SOHEL</v>
          </cell>
          <cell r="E38" t="str">
            <v>HVAC</v>
          </cell>
          <cell r="F38" t="str">
            <v>SHIFT</v>
          </cell>
          <cell r="G38" t="str">
            <v>C</v>
          </cell>
          <cell r="H38" t="str">
            <v>B</v>
          </cell>
          <cell r="I38" t="str">
            <v>C</v>
          </cell>
          <cell r="J38" t="str">
            <v>C</v>
          </cell>
          <cell r="K38" t="str">
            <v>B</v>
          </cell>
          <cell r="L38" t="str">
            <v>G</v>
          </cell>
          <cell r="M38" t="str">
            <v>W/O</v>
          </cell>
          <cell r="N38" t="str">
            <v>B</v>
          </cell>
          <cell r="O38" t="str">
            <v>A</v>
          </cell>
          <cell r="P38" t="str">
            <v>C</v>
          </cell>
          <cell r="Q38" t="str">
            <v>C</v>
          </cell>
          <cell r="R38" t="str">
            <v>C</v>
          </cell>
          <cell r="S38" t="str">
            <v>B</v>
          </cell>
          <cell r="T38" t="str">
            <v>W/O</v>
          </cell>
          <cell r="U38" t="str">
            <v>B</v>
          </cell>
          <cell r="V38" t="str">
            <v>A</v>
          </cell>
          <cell r="W38" t="str">
            <v>C</v>
          </cell>
          <cell r="X38" t="str">
            <v>C</v>
          </cell>
          <cell r="Y38" t="str">
            <v>B</v>
          </cell>
          <cell r="Z38" t="str">
            <v>A</v>
          </cell>
          <cell r="AA38" t="str">
            <v>W/O</v>
          </cell>
          <cell r="AB38" t="str">
            <v>B</v>
          </cell>
          <cell r="AC38" t="str">
            <v>A</v>
          </cell>
          <cell r="AD38" t="str">
            <v>C</v>
          </cell>
          <cell r="AE38" t="str">
            <v>C</v>
          </cell>
          <cell r="AF38" t="str">
            <v>B</v>
          </cell>
          <cell r="AG38" t="str">
            <v>G</v>
          </cell>
          <cell r="AH38" t="str">
            <v>W/O</v>
          </cell>
          <cell r="AI38" t="str">
            <v>B</v>
          </cell>
          <cell r="AJ38" t="str">
            <v>A</v>
          </cell>
          <cell r="AK38" t="str">
            <v>C</v>
          </cell>
          <cell r="AL38">
            <v>0</v>
          </cell>
          <cell r="AM38">
            <v>0</v>
          </cell>
          <cell r="AN38">
            <v>27</v>
          </cell>
          <cell r="AO38">
            <v>4</v>
          </cell>
          <cell r="AP38">
            <v>31</v>
          </cell>
          <cell r="AQ38">
            <v>0</v>
          </cell>
          <cell r="AR38">
            <v>31</v>
          </cell>
        </row>
        <row r="39">
          <cell r="F39" t="str">
            <v>ED</v>
          </cell>
        </row>
        <row r="40">
          <cell r="C40">
            <v>12082</v>
          </cell>
          <cell r="D40" t="str">
            <v>ASIF KHAN</v>
          </cell>
          <cell r="E40" t="str">
            <v>HVAC</v>
          </cell>
          <cell r="F40" t="str">
            <v>SHIFT</v>
          </cell>
          <cell r="G40" t="str">
            <v>B</v>
          </cell>
          <cell r="H40" t="str">
            <v>A</v>
          </cell>
          <cell r="I40" t="str">
            <v>B</v>
          </cell>
          <cell r="J40" t="str">
            <v>L</v>
          </cell>
          <cell r="K40" t="str">
            <v>G</v>
          </cell>
          <cell r="L40" t="str">
            <v>A</v>
          </cell>
          <cell r="M40" t="str">
            <v>B</v>
          </cell>
          <cell r="N40" t="str">
            <v>A</v>
          </cell>
          <cell r="O40" t="str">
            <v>W/O</v>
          </cell>
          <cell r="P40" t="str">
            <v>B</v>
          </cell>
          <cell r="Q40" t="str">
            <v>G</v>
          </cell>
          <cell r="R40" t="str">
            <v>A</v>
          </cell>
          <cell r="S40" t="str">
            <v>A</v>
          </cell>
          <cell r="T40" t="str">
            <v>B</v>
          </cell>
          <cell r="U40" t="str">
            <v>A</v>
          </cell>
          <cell r="V40" t="str">
            <v>W/O</v>
          </cell>
          <cell r="W40" t="str">
            <v>G</v>
          </cell>
          <cell r="X40" t="str">
            <v>A</v>
          </cell>
          <cell r="Y40" t="str">
            <v>C</v>
          </cell>
          <cell r="Z40" t="str">
            <v>C</v>
          </cell>
          <cell r="AA40" t="str">
            <v>B</v>
          </cell>
          <cell r="AB40" t="str">
            <v>A</v>
          </cell>
          <cell r="AC40" t="str">
            <v>W/O</v>
          </cell>
          <cell r="AD40" t="str">
            <v>B</v>
          </cell>
          <cell r="AE40" t="str">
            <v>G</v>
          </cell>
          <cell r="AF40" t="str">
            <v>A</v>
          </cell>
          <cell r="AG40" t="str">
            <v>A</v>
          </cell>
          <cell r="AH40" t="str">
            <v>B</v>
          </cell>
          <cell r="AI40" t="str">
            <v>A</v>
          </cell>
          <cell r="AJ40" t="str">
            <v>W/O</v>
          </cell>
          <cell r="AK40" t="str">
            <v>A</v>
          </cell>
          <cell r="AL40">
            <v>1</v>
          </cell>
          <cell r="AM40">
            <v>0</v>
          </cell>
          <cell r="AN40">
            <v>26</v>
          </cell>
          <cell r="AO40">
            <v>4</v>
          </cell>
          <cell r="AP40">
            <v>30</v>
          </cell>
          <cell r="AQ40">
            <v>0</v>
          </cell>
          <cell r="AR40">
            <v>30</v>
          </cell>
        </row>
        <row r="41">
          <cell r="F41" t="str">
            <v>ED</v>
          </cell>
        </row>
        <row r="42">
          <cell r="C42">
            <v>10900</v>
          </cell>
          <cell r="D42" t="str">
            <v>SHASHI KANTA PATRA</v>
          </cell>
          <cell r="E42" t="str">
            <v>PLUMBER</v>
          </cell>
          <cell r="F42" t="str">
            <v>SHIFT</v>
          </cell>
          <cell r="G42" t="str">
            <v>B</v>
          </cell>
          <cell r="H42" t="str">
            <v>A</v>
          </cell>
          <cell r="I42" t="str">
            <v>W/O</v>
          </cell>
          <cell r="J42" t="str">
            <v>C</v>
          </cell>
          <cell r="K42" t="str">
            <v>C</v>
          </cell>
          <cell r="L42" t="str">
            <v>C</v>
          </cell>
          <cell r="M42" t="str">
            <v>C</v>
          </cell>
          <cell r="N42" t="str">
            <v>C</v>
          </cell>
          <cell r="O42" t="str">
            <v>C</v>
          </cell>
          <cell r="P42" t="str">
            <v>W/O</v>
          </cell>
          <cell r="Q42" t="str">
            <v>B</v>
          </cell>
          <cell r="R42" t="str">
            <v>A</v>
          </cell>
          <cell r="S42" t="str">
            <v>A</v>
          </cell>
          <cell r="T42" t="str">
            <v>A</v>
          </cell>
          <cell r="U42" t="str">
            <v>B</v>
          </cell>
          <cell r="V42" t="str">
            <v>A</v>
          </cell>
          <cell r="W42" t="str">
            <v>W/O</v>
          </cell>
          <cell r="X42" t="str">
            <v>B</v>
          </cell>
          <cell r="Y42" t="str">
            <v>A</v>
          </cell>
          <cell r="Z42" t="str">
            <v>A</v>
          </cell>
          <cell r="AA42" t="str">
            <v>A</v>
          </cell>
          <cell r="AB42" t="str">
            <v>B</v>
          </cell>
          <cell r="AC42" t="str">
            <v>C</v>
          </cell>
          <cell r="AD42" t="str">
            <v>W/O</v>
          </cell>
          <cell r="AE42" t="str">
            <v>C</v>
          </cell>
          <cell r="AF42" t="str">
            <v>A</v>
          </cell>
          <cell r="AG42" t="str">
            <v>B</v>
          </cell>
          <cell r="AH42" t="str">
            <v>C</v>
          </cell>
          <cell r="AI42" t="str">
            <v>C</v>
          </cell>
          <cell r="AJ42" t="str">
            <v>C</v>
          </cell>
          <cell r="AK42" t="str">
            <v>W/O</v>
          </cell>
          <cell r="AL42">
            <v>0</v>
          </cell>
          <cell r="AM42">
            <v>0</v>
          </cell>
          <cell r="AN42">
            <v>26</v>
          </cell>
          <cell r="AO42">
            <v>5</v>
          </cell>
          <cell r="AP42">
            <v>31</v>
          </cell>
          <cell r="AQ42">
            <v>0</v>
          </cell>
          <cell r="AR42">
            <v>31</v>
          </cell>
        </row>
        <row r="43">
          <cell r="F43" t="str">
            <v>ED</v>
          </cell>
        </row>
        <row r="44">
          <cell r="C44">
            <v>11719</v>
          </cell>
          <cell r="D44" t="str">
            <v>NISHIKANTA PATRA</v>
          </cell>
          <cell r="E44" t="str">
            <v>PLUMBER</v>
          </cell>
          <cell r="F44" t="str">
            <v>SHIFT</v>
          </cell>
          <cell r="G44" t="str">
            <v>A</v>
          </cell>
          <cell r="H44" t="str">
            <v>L</v>
          </cell>
          <cell r="I44" t="str">
            <v>C</v>
          </cell>
          <cell r="J44" t="str">
            <v>B</v>
          </cell>
          <cell r="K44" t="str">
            <v>B</v>
          </cell>
          <cell r="L44" t="str">
            <v>W/O</v>
          </cell>
          <cell r="M44" t="str">
            <v>C</v>
          </cell>
          <cell r="N44" t="str">
            <v>B</v>
          </cell>
          <cell r="O44" t="str">
            <v>A</v>
          </cell>
          <cell r="P44" t="str">
            <v>C</v>
          </cell>
          <cell r="Q44" t="str">
            <v>C</v>
          </cell>
          <cell r="R44" t="str">
            <v>C</v>
          </cell>
          <cell r="S44" t="str">
            <v>W/O</v>
          </cell>
          <cell r="T44" t="str">
            <v>B</v>
          </cell>
          <cell r="U44" t="str">
            <v>A</v>
          </cell>
          <cell r="V44" t="str">
            <v>C</v>
          </cell>
          <cell r="W44" t="str">
            <v>C</v>
          </cell>
          <cell r="X44" t="str">
            <v>C</v>
          </cell>
          <cell r="Y44" t="str">
            <v>C</v>
          </cell>
          <cell r="Z44" t="str">
            <v>W/O</v>
          </cell>
          <cell r="AA44" t="str">
            <v>B</v>
          </cell>
          <cell r="AB44" t="str">
            <v>A</v>
          </cell>
          <cell r="AC44" t="str">
            <v>A</v>
          </cell>
          <cell r="AD44" t="str">
            <v>C</v>
          </cell>
          <cell r="AE44" t="str">
            <v>B</v>
          </cell>
          <cell r="AF44" t="str">
            <v>C</v>
          </cell>
          <cell r="AG44" t="str">
            <v>W/O</v>
          </cell>
          <cell r="AH44" t="str">
            <v>B</v>
          </cell>
          <cell r="AI44" t="str">
            <v>A</v>
          </cell>
          <cell r="AJ44" t="str">
            <v>A</v>
          </cell>
          <cell r="AK44" t="str">
            <v>C</v>
          </cell>
          <cell r="AL44">
            <v>1</v>
          </cell>
          <cell r="AM44">
            <v>0</v>
          </cell>
          <cell r="AN44">
            <v>26</v>
          </cell>
          <cell r="AO44">
            <v>4</v>
          </cell>
          <cell r="AP44">
            <v>30</v>
          </cell>
          <cell r="AQ44">
            <v>0</v>
          </cell>
          <cell r="AR44">
            <v>30</v>
          </cell>
        </row>
        <row r="45">
          <cell r="F45" t="str">
            <v>ED</v>
          </cell>
        </row>
        <row r="46">
          <cell r="C46">
            <v>11721</v>
          </cell>
          <cell r="D46" t="str">
            <v>CHINMAY MALIK</v>
          </cell>
          <cell r="E46" t="str">
            <v>PLUMBER</v>
          </cell>
          <cell r="F46" t="str">
            <v>SHIFT</v>
          </cell>
          <cell r="G46" t="str">
            <v>W/O</v>
          </cell>
          <cell r="H46" t="str">
            <v>B</v>
          </cell>
          <cell r="I46" t="str">
            <v>A</v>
          </cell>
          <cell r="J46" t="str">
            <v>L</v>
          </cell>
          <cell r="K46" t="str">
            <v>A</v>
          </cell>
          <cell r="L46" t="str">
            <v>A</v>
          </cell>
          <cell r="M46" t="str">
            <v>B</v>
          </cell>
          <cell r="N46" t="str">
            <v>W/O</v>
          </cell>
          <cell r="O46" t="str">
            <v>B</v>
          </cell>
          <cell r="P46" t="str">
            <v>B</v>
          </cell>
          <cell r="Q46" t="str">
            <v>G</v>
          </cell>
          <cell r="R46" t="str">
            <v>B</v>
          </cell>
          <cell r="S46" t="str">
            <v>C</v>
          </cell>
          <cell r="T46" t="str">
            <v>C</v>
          </cell>
          <cell r="U46" t="str">
            <v>W/O</v>
          </cell>
          <cell r="V46" t="str">
            <v>B</v>
          </cell>
          <cell r="W46" t="str">
            <v>A</v>
          </cell>
          <cell r="X46" t="str">
            <v>G</v>
          </cell>
          <cell r="Y46" t="str">
            <v>B</v>
          </cell>
          <cell r="Z46" t="str">
            <v>B</v>
          </cell>
          <cell r="AA46" t="str">
            <v>C</v>
          </cell>
          <cell r="AB46" t="str">
            <v>W/O</v>
          </cell>
          <cell r="AC46" t="str">
            <v>B</v>
          </cell>
          <cell r="AD46" t="str">
            <v>A</v>
          </cell>
          <cell r="AE46" t="str">
            <v>G</v>
          </cell>
          <cell r="AF46" t="str">
            <v>B</v>
          </cell>
          <cell r="AG46" t="str">
            <v>C</v>
          </cell>
          <cell r="AH46" t="str">
            <v>C</v>
          </cell>
          <cell r="AI46" t="str">
            <v>W/O</v>
          </cell>
          <cell r="AJ46" t="str">
            <v>B</v>
          </cell>
          <cell r="AK46" t="str">
            <v>A</v>
          </cell>
          <cell r="AL46">
            <v>1</v>
          </cell>
          <cell r="AM46">
            <v>0</v>
          </cell>
          <cell r="AN46">
            <v>25</v>
          </cell>
          <cell r="AO46">
            <v>5</v>
          </cell>
          <cell r="AP46">
            <v>30</v>
          </cell>
          <cell r="AQ46">
            <v>0</v>
          </cell>
          <cell r="AR46">
            <v>30</v>
          </cell>
        </row>
        <row r="47">
          <cell r="F47" t="str">
            <v>ED</v>
          </cell>
        </row>
        <row r="48">
          <cell r="C48">
            <v>11729</v>
          </cell>
          <cell r="D48" t="str">
            <v>RAHUL DAS</v>
          </cell>
          <cell r="E48" t="str">
            <v>PLUMBER</v>
          </cell>
          <cell r="F48" t="str">
            <v>SHIFT</v>
          </cell>
          <cell r="G48" t="str">
            <v>C</v>
          </cell>
          <cell r="H48" t="str">
            <v>W/O</v>
          </cell>
          <cell r="I48" t="str">
            <v>B</v>
          </cell>
          <cell r="J48" t="str">
            <v>A</v>
          </cell>
          <cell r="K48" t="str">
            <v>G</v>
          </cell>
          <cell r="L48" t="str">
            <v>B</v>
          </cell>
          <cell r="M48" t="str">
            <v>A</v>
          </cell>
          <cell r="N48" t="str">
            <v>A</v>
          </cell>
          <cell r="O48" t="str">
            <v>W/O</v>
          </cell>
          <cell r="P48" t="str">
            <v>A</v>
          </cell>
          <cell r="Q48" t="str">
            <v>A</v>
          </cell>
          <cell r="R48" t="str">
            <v>G</v>
          </cell>
          <cell r="S48" t="str">
            <v>B</v>
          </cell>
          <cell r="T48" t="str">
            <v>C</v>
          </cell>
          <cell r="U48" t="str">
            <v>C</v>
          </cell>
          <cell r="V48" t="str">
            <v>W/O</v>
          </cell>
          <cell r="W48" t="str">
            <v>B</v>
          </cell>
          <cell r="X48" t="str">
            <v>A</v>
          </cell>
          <cell r="Y48" t="str">
            <v>G</v>
          </cell>
          <cell r="Z48" t="str">
            <v>C</v>
          </cell>
          <cell r="AA48" t="str">
            <v>C</v>
          </cell>
          <cell r="AB48" t="str">
            <v>C</v>
          </cell>
          <cell r="AC48" t="str">
            <v>W/O</v>
          </cell>
          <cell r="AD48" t="str">
            <v>B</v>
          </cell>
          <cell r="AE48" t="str">
            <v>A</v>
          </cell>
          <cell r="AF48" t="str">
            <v>G</v>
          </cell>
          <cell r="AG48" t="str">
            <v>A</v>
          </cell>
          <cell r="AH48" t="str">
            <v>A</v>
          </cell>
          <cell r="AI48" t="str">
            <v>B</v>
          </cell>
          <cell r="AJ48" t="str">
            <v>W/O</v>
          </cell>
          <cell r="AK48" t="str">
            <v>B</v>
          </cell>
          <cell r="AL48">
            <v>0</v>
          </cell>
          <cell r="AM48">
            <v>0</v>
          </cell>
          <cell r="AN48">
            <v>26</v>
          </cell>
          <cell r="AO48">
            <v>5</v>
          </cell>
          <cell r="AP48">
            <v>31</v>
          </cell>
          <cell r="AQ48">
            <v>0</v>
          </cell>
          <cell r="AR48">
            <v>31</v>
          </cell>
        </row>
        <row r="49">
          <cell r="F49" t="str">
            <v>ED</v>
          </cell>
        </row>
        <row r="50">
          <cell r="C50">
            <v>11278</v>
          </cell>
          <cell r="D50" t="str">
            <v>SEGGAM.KRISHNA</v>
          </cell>
          <cell r="E50" t="str">
            <v>CARPENTER</v>
          </cell>
          <cell r="F50" t="str">
            <v>SHIFT</v>
          </cell>
          <cell r="G50" t="str">
            <v>G</v>
          </cell>
          <cell r="H50" t="str">
            <v>W/O</v>
          </cell>
          <cell r="I50" t="str">
            <v>G</v>
          </cell>
          <cell r="J50" t="str">
            <v>G</v>
          </cell>
          <cell r="K50" t="str">
            <v>G</v>
          </cell>
          <cell r="L50" t="str">
            <v>G</v>
          </cell>
          <cell r="M50" t="str">
            <v>L</v>
          </cell>
          <cell r="N50" t="str">
            <v>G</v>
          </cell>
          <cell r="O50" t="str">
            <v>W/O</v>
          </cell>
          <cell r="P50" t="str">
            <v>G</v>
          </cell>
          <cell r="Q50" t="str">
            <v>G</v>
          </cell>
          <cell r="R50" t="str">
            <v>A</v>
          </cell>
          <cell r="S50" t="str">
            <v>G</v>
          </cell>
          <cell r="T50" t="str">
            <v>L</v>
          </cell>
          <cell r="U50" t="str">
            <v>G</v>
          </cell>
          <cell r="V50" t="str">
            <v>W/O</v>
          </cell>
          <cell r="W50" t="str">
            <v>G</v>
          </cell>
          <cell r="X50" t="str">
            <v>A</v>
          </cell>
          <cell r="Y50" t="str">
            <v>G</v>
          </cell>
          <cell r="Z50" t="str">
            <v>G</v>
          </cell>
          <cell r="AA50" t="str">
            <v>G</v>
          </cell>
          <cell r="AB50" t="str">
            <v>G</v>
          </cell>
          <cell r="AC50" t="str">
            <v>W/O</v>
          </cell>
          <cell r="AD50" t="str">
            <v>G</v>
          </cell>
          <cell r="AE50" t="str">
            <v>A</v>
          </cell>
          <cell r="AF50" t="str">
            <v>G</v>
          </cell>
          <cell r="AG50" t="str">
            <v>B</v>
          </cell>
          <cell r="AH50" t="str">
            <v>G</v>
          </cell>
          <cell r="AI50" t="str">
            <v>G</v>
          </cell>
          <cell r="AJ50" t="str">
            <v>W/O</v>
          </cell>
          <cell r="AK50" t="str">
            <v>G</v>
          </cell>
          <cell r="AL50">
            <v>2</v>
          </cell>
          <cell r="AM50">
            <v>0</v>
          </cell>
          <cell r="AN50">
            <v>24</v>
          </cell>
          <cell r="AO50">
            <v>5</v>
          </cell>
          <cell r="AP50">
            <v>29</v>
          </cell>
          <cell r="AQ50">
            <v>0</v>
          </cell>
          <cell r="AR50">
            <v>29</v>
          </cell>
        </row>
        <row r="51">
          <cell r="F51" t="str">
            <v>ED</v>
          </cell>
        </row>
        <row r="52">
          <cell r="C52">
            <v>11227</v>
          </cell>
          <cell r="D52" t="str">
            <v>ABHILASH</v>
          </cell>
          <cell r="E52" t="str">
            <v>WELDER</v>
          </cell>
          <cell r="F52" t="str">
            <v>SHIFT</v>
          </cell>
          <cell r="G52" t="str">
            <v>B</v>
          </cell>
          <cell r="H52" t="str">
            <v>G</v>
          </cell>
          <cell r="I52" t="str">
            <v>W/O</v>
          </cell>
          <cell r="J52" t="str">
            <v>G</v>
          </cell>
          <cell r="K52" t="str">
            <v>G</v>
          </cell>
          <cell r="L52" t="str">
            <v>G</v>
          </cell>
          <cell r="M52" t="str">
            <v>G</v>
          </cell>
          <cell r="N52" t="str">
            <v>G</v>
          </cell>
          <cell r="O52" t="str">
            <v>G</v>
          </cell>
          <cell r="P52" t="str">
            <v>W/O</v>
          </cell>
          <cell r="Q52" t="str">
            <v>G</v>
          </cell>
          <cell r="R52" t="str">
            <v>G</v>
          </cell>
          <cell r="S52" t="str">
            <v>G</v>
          </cell>
          <cell r="T52" t="str">
            <v>A</v>
          </cell>
          <cell r="U52" t="str">
            <v>L</v>
          </cell>
          <cell r="V52" t="str">
            <v>L</v>
          </cell>
          <cell r="W52" t="str">
            <v>W/O</v>
          </cell>
          <cell r="X52" t="str">
            <v>G</v>
          </cell>
          <cell r="Y52" t="str">
            <v>G</v>
          </cell>
          <cell r="Z52" t="str">
            <v>G</v>
          </cell>
          <cell r="AA52" t="str">
            <v>G</v>
          </cell>
          <cell r="AB52" t="str">
            <v>G</v>
          </cell>
          <cell r="AC52" t="str">
            <v>G</v>
          </cell>
          <cell r="AD52" t="str">
            <v>W/O</v>
          </cell>
          <cell r="AE52" t="str">
            <v>G</v>
          </cell>
          <cell r="AF52" t="str">
            <v>A</v>
          </cell>
          <cell r="AG52" t="str">
            <v>G</v>
          </cell>
          <cell r="AH52" t="str">
            <v>L</v>
          </cell>
          <cell r="AI52" t="str">
            <v>G</v>
          </cell>
          <cell r="AJ52" t="str">
            <v>G</v>
          </cell>
          <cell r="AK52" t="str">
            <v>W/O</v>
          </cell>
          <cell r="AL52">
            <v>3</v>
          </cell>
          <cell r="AM52">
            <v>0</v>
          </cell>
          <cell r="AN52">
            <v>23</v>
          </cell>
          <cell r="AO52">
            <v>5</v>
          </cell>
          <cell r="AP52">
            <v>28</v>
          </cell>
          <cell r="AQ52">
            <v>0</v>
          </cell>
          <cell r="AR52">
            <v>28</v>
          </cell>
        </row>
        <row r="53">
          <cell r="F53" t="str">
            <v>ED</v>
          </cell>
        </row>
        <row r="54">
          <cell r="C54">
            <v>11142</v>
          </cell>
          <cell r="D54" t="str">
            <v>G. RAKESH</v>
          </cell>
          <cell r="E54" t="str">
            <v>BMS</v>
          </cell>
          <cell r="F54" t="str">
            <v>SHIFT</v>
          </cell>
          <cell r="AG54" t="str">
            <v>C</v>
          </cell>
          <cell r="AL54">
            <v>0</v>
          </cell>
          <cell r="AM54">
            <v>0</v>
          </cell>
          <cell r="AN54">
            <v>1</v>
          </cell>
          <cell r="AO54">
            <v>0</v>
          </cell>
          <cell r="AP54">
            <v>1</v>
          </cell>
          <cell r="AQ54">
            <v>0</v>
          </cell>
          <cell r="AR54">
            <v>1</v>
          </cell>
        </row>
        <row r="55">
          <cell r="F55" t="str">
            <v>ED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"/>
      <sheetName val="BANK STMT"/>
      <sheetName val="PF ESI SUMMARY"/>
      <sheetName val="INVOICE BREAKUP"/>
    </sheetNames>
    <sheetDataSet>
      <sheetData sheetId="0" refreshError="1"/>
      <sheetData sheetId="1">
        <row r="4">
          <cell r="C4">
            <v>10153</v>
          </cell>
          <cell r="D4" t="str">
            <v>LUKULAPU HARI</v>
          </cell>
          <cell r="E4" t="str">
            <v>Supervisor</v>
          </cell>
          <cell r="F4" t="str">
            <v>SHIFT</v>
          </cell>
          <cell r="G4" t="str">
            <v>W</v>
          </cell>
          <cell r="H4" t="str">
            <v>B</v>
          </cell>
          <cell r="I4" t="str">
            <v>A</v>
          </cell>
          <cell r="J4" t="str">
            <v>A</v>
          </cell>
          <cell r="K4" t="str">
            <v>A</v>
          </cell>
          <cell r="L4" t="str">
            <v>A</v>
          </cell>
          <cell r="M4" t="str">
            <v>C</v>
          </cell>
          <cell r="N4" t="str">
            <v>W</v>
          </cell>
          <cell r="O4" t="str">
            <v>A</v>
          </cell>
          <cell r="P4" t="str">
            <v>A</v>
          </cell>
          <cell r="Q4" t="str">
            <v>B</v>
          </cell>
          <cell r="R4" t="str">
            <v>A</v>
          </cell>
          <cell r="S4" t="str">
            <v>A</v>
          </cell>
          <cell r="T4" t="str">
            <v>A</v>
          </cell>
          <cell r="U4" t="str">
            <v>W</v>
          </cell>
          <cell r="V4" t="str">
            <v>B</v>
          </cell>
          <cell r="W4" t="str">
            <v>A</v>
          </cell>
          <cell r="X4" t="str">
            <v>B</v>
          </cell>
          <cell r="Y4" t="str">
            <v>B</v>
          </cell>
          <cell r="Z4" t="str">
            <v>A</v>
          </cell>
          <cell r="AA4" t="str">
            <v>B</v>
          </cell>
          <cell r="AB4" t="str">
            <v>W</v>
          </cell>
          <cell r="AC4" t="str">
            <v>A</v>
          </cell>
          <cell r="AD4" t="str">
            <v>A</v>
          </cell>
          <cell r="AE4" t="str">
            <v>B</v>
          </cell>
          <cell r="AF4" t="str">
            <v>A</v>
          </cell>
          <cell r="AG4" t="str">
            <v>A</v>
          </cell>
          <cell r="AH4" t="str">
            <v>C</v>
          </cell>
          <cell r="AI4" t="str">
            <v>W</v>
          </cell>
          <cell r="AJ4" t="str">
            <v>A</v>
          </cell>
          <cell r="AK4" t="str">
            <v>A</v>
          </cell>
          <cell r="AL4">
            <v>0</v>
          </cell>
          <cell r="AM4">
            <v>0</v>
          </cell>
          <cell r="AN4">
            <v>26</v>
          </cell>
          <cell r="AO4">
            <v>5</v>
          </cell>
          <cell r="AP4">
            <v>31</v>
          </cell>
          <cell r="AQ4">
            <v>0</v>
          </cell>
          <cell r="AR4">
            <v>31</v>
          </cell>
        </row>
        <row r="5">
          <cell r="F5" t="str">
            <v>ED</v>
          </cell>
        </row>
        <row r="6">
          <cell r="C6">
            <v>10517</v>
          </cell>
          <cell r="D6" t="str">
            <v>NITESH</v>
          </cell>
          <cell r="E6" t="str">
            <v>Supervisor</v>
          </cell>
          <cell r="F6" t="str">
            <v>SHIFT</v>
          </cell>
          <cell r="G6" t="str">
            <v>A</v>
          </cell>
          <cell r="H6" t="str">
            <v>A</v>
          </cell>
          <cell r="I6" t="str">
            <v>L</v>
          </cell>
          <cell r="J6" t="str">
            <v>L</v>
          </cell>
          <cell r="K6" t="str">
            <v>L</v>
          </cell>
          <cell r="L6" t="str">
            <v>L</v>
          </cell>
          <cell r="M6" t="str">
            <v>L</v>
          </cell>
          <cell r="N6" t="str">
            <v>B</v>
          </cell>
          <cell r="O6" t="str">
            <v>B</v>
          </cell>
          <cell r="P6" t="str">
            <v>B</v>
          </cell>
          <cell r="Q6" t="str">
            <v>A</v>
          </cell>
          <cell r="R6" t="str">
            <v>B</v>
          </cell>
          <cell r="S6" t="str">
            <v>B</v>
          </cell>
          <cell r="T6" t="str">
            <v>W</v>
          </cell>
          <cell r="U6" t="str">
            <v>A</v>
          </cell>
          <cell r="V6" t="str">
            <v>C</v>
          </cell>
          <cell r="W6" t="str">
            <v>B</v>
          </cell>
          <cell r="X6" t="str">
            <v>A</v>
          </cell>
          <cell r="Y6" t="str">
            <v>C</v>
          </cell>
          <cell r="Z6" t="str">
            <v>C</v>
          </cell>
          <cell r="AA6" t="str">
            <v>W</v>
          </cell>
          <cell r="AB6" t="str">
            <v>C</v>
          </cell>
          <cell r="AC6" t="str">
            <v>C</v>
          </cell>
          <cell r="AD6" t="str">
            <v>B</v>
          </cell>
          <cell r="AE6" t="str">
            <v>A</v>
          </cell>
          <cell r="AF6" t="str">
            <v>C</v>
          </cell>
          <cell r="AG6" t="str">
            <v>C</v>
          </cell>
          <cell r="AH6" t="str">
            <v>W</v>
          </cell>
          <cell r="AI6" t="str">
            <v>C</v>
          </cell>
          <cell r="AJ6" t="str">
            <v>B</v>
          </cell>
          <cell r="AK6" t="str">
            <v>B</v>
          </cell>
          <cell r="AL6">
            <v>5</v>
          </cell>
          <cell r="AM6">
            <v>0</v>
          </cell>
          <cell r="AN6">
            <v>23</v>
          </cell>
          <cell r="AO6">
            <v>3</v>
          </cell>
          <cell r="AP6">
            <v>26</v>
          </cell>
          <cell r="AQ6">
            <v>0</v>
          </cell>
          <cell r="AR6">
            <v>26</v>
          </cell>
        </row>
        <row r="7">
          <cell r="F7" t="str">
            <v>ED</v>
          </cell>
        </row>
        <row r="8">
          <cell r="C8">
            <v>11834</v>
          </cell>
          <cell r="D8" t="str">
            <v>GUGULOTH SAGAR NAIK</v>
          </cell>
          <cell r="E8" t="str">
            <v>Supervisor</v>
          </cell>
          <cell r="F8" t="str">
            <v>SHIFT</v>
          </cell>
          <cell r="G8" t="str">
            <v>C</v>
          </cell>
          <cell r="H8" t="str">
            <v>C</v>
          </cell>
          <cell r="I8" t="str">
            <v>B</v>
          </cell>
          <cell r="J8" t="str">
            <v>C</v>
          </cell>
          <cell r="K8" t="str">
            <v>C</v>
          </cell>
          <cell r="L8" t="str">
            <v>W</v>
          </cell>
          <cell r="M8" t="str">
            <v>A</v>
          </cell>
          <cell r="N8" t="str">
            <v>A</v>
          </cell>
          <cell r="O8" t="str">
            <v>C</v>
          </cell>
          <cell r="P8" t="str">
            <v>C</v>
          </cell>
          <cell r="Q8" t="str">
            <v>L</v>
          </cell>
          <cell r="R8" t="str">
            <v>L</v>
          </cell>
          <cell r="S8" t="str">
            <v>W</v>
          </cell>
          <cell r="T8" t="str">
            <v>C</v>
          </cell>
          <cell r="U8" t="str">
            <v>C</v>
          </cell>
          <cell r="V8" t="str">
            <v>L</v>
          </cell>
          <cell r="W8" t="str">
            <v>L</v>
          </cell>
          <cell r="X8" t="str">
            <v>L</v>
          </cell>
          <cell r="Y8" t="str">
            <v>L</v>
          </cell>
          <cell r="Z8" t="str">
            <v>L</v>
          </cell>
          <cell r="AA8" t="str">
            <v>C</v>
          </cell>
          <cell r="AB8" t="str">
            <v>LEFT</v>
          </cell>
          <cell r="AL8">
            <v>7</v>
          </cell>
          <cell r="AM8">
            <v>0</v>
          </cell>
          <cell r="AN8">
            <v>12</v>
          </cell>
          <cell r="AO8">
            <v>2</v>
          </cell>
          <cell r="AP8">
            <v>14</v>
          </cell>
          <cell r="AQ8">
            <v>0</v>
          </cell>
          <cell r="AR8">
            <v>14</v>
          </cell>
        </row>
        <row r="9">
          <cell r="F9" t="str">
            <v>ED</v>
          </cell>
        </row>
        <row r="10">
          <cell r="C10">
            <v>11886</v>
          </cell>
          <cell r="D10" t="str">
            <v>MUKKERA RAVI</v>
          </cell>
          <cell r="E10" t="str">
            <v>Supervisor</v>
          </cell>
          <cell r="F10" t="str">
            <v>SHIFT</v>
          </cell>
          <cell r="G10" t="str">
            <v>L</v>
          </cell>
          <cell r="H10" t="str">
            <v>L</v>
          </cell>
          <cell r="I10" t="str">
            <v>L</v>
          </cell>
          <cell r="J10" t="str">
            <v>L</v>
          </cell>
          <cell r="K10" t="str">
            <v>L</v>
          </cell>
          <cell r="L10" t="str">
            <v>L</v>
          </cell>
          <cell r="M10" t="str">
            <v>L</v>
          </cell>
          <cell r="N10" t="str">
            <v>L</v>
          </cell>
          <cell r="O10" t="str">
            <v>L</v>
          </cell>
          <cell r="P10" t="str">
            <v>L</v>
          </cell>
          <cell r="Q10" t="str">
            <v>L</v>
          </cell>
          <cell r="R10" t="str">
            <v>L</v>
          </cell>
          <cell r="S10" t="str">
            <v>C</v>
          </cell>
          <cell r="T10" t="str">
            <v>B</v>
          </cell>
          <cell r="U10" t="str">
            <v>B</v>
          </cell>
          <cell r="V10" t="str">
            <v>A</v>
          </cell>
          <cell r="W10" t="str">
            <v>C</v>
          </cell>
          <cell r="X10" t="str">
            <v>W</v>
          </cell>
          <cell r="Y10" t="str">
            <v>A</v>
          </cell>
          <cell r="Z10" t="str">
            <v>B</v>
          </cell>
          <cell r="AA10" t="str">
            <v>A</v>
          </cell>
          <cell r="AB10" t="str">
            <v>A</v>
          </cell>
          <cell r="AC10" t="str">
            <v>B</v>
          </cell>
          <cell r="AD10" t="str">
            <v>C</v>
          </cell>
          <cell r="AE10" t="str">
            <v>C</v>
          </cell>
          <cell r="AF10" t="str">
            <v>W</v>
          </cell>
          <cell r="AG10" t="str">
            <v>B</v>
          </cell>
          <cell r="AH10" t="str">
            <v>B</v>
          </cell>
          <cell r="AI10" t="str">
            <v>B</v>
          </cell>
          <cell r="AJ10" t="str">
            <v>G</v>
          </cell>
          <cell r="AK10" t="str">
            <v>G</v>
          </cell>
          <cell r="AL10">
            <v>12</v>
          </cell>
          <cell r="AM10">
            <v>0</v>
          </cell>
          <cell r="AN10">
            <v>17</v>
          </cell>
          <cell r="AO10">
            <v>2</v>
          </cell>
          <cell r="AP10">
            <v>19</v>
          </cell>
          <cell r="AQ10">
            <v>0</v>
          </cell>
          <cell r="AR10">
            <v>19</v>
          </cell>
        </row>
        <row r="11">
          <cell r="F11" t="str">
            <v>ED</v>
          </cell>
        </row>
        <row r="12">
          <cell r="C12">
            <v>12132</v>
          </cell>
          <cell r="D12" t="str">
            <v>K. RAM MURTHY</v>
          </cell>
          <cell r="E12" t="str">
            <v>Supervisor</v>
          </cell>
          <cell r="F12" t="str">
            <v>SHIFT</v>
          </cell>
          <cell r="G12" t="str">
            <v>NEW JOINING</v>
          </cell>
          <cell r="AB12" t="str">
            <v>L</v>
          </cell>
          <cell r="AC12" t="str">
            <v>G</v>
          </cell>
          <cell r="AD12" t="str">
            <v>G</v>
          </cell>
          <cell r="AE12" t="str">
            <v>G</v>
          </cell>
          <cell r="AF12" t="str">
            <v>B</v>
          </cell>
          <cell r="AG12" t="str">
            <v>W</v>
          </cell>
          <cell r="AH12" t="str">
            <v>A</v>
          </cell>
          <cell r="AI12" t="str">
            <v>A</v>
          </cell>
          <cell r="AJ12" t="str">
            <v>C</v>
          </cell>
          <cell r="AK12" t="str">
            <v>C</v>
          </cell>
          <cell r="AL12">
            <v>1</v>
          </cell>
          <cell r="AM12">
            <v>0</v>
          </cell>
          <cell r="AN12">
            <v>8</v>
          </cell>
          <cell r="AO12">
            <v>1</v>
          </cell>
          <cell r="AP12">
            <v>9</v>
          </cell>
          <cell r="AQ12">
            <v>0</v>
          </cell>
          <cell r="AR12">
            <v>9</v>
          </cell>
        </row>
        <row r="13">
          <cell r="F13" t="str">
            <v>ED</v>
          </cell>
        </row>
        <row r="14">
          <cell r="C14">
            <v>10631</v>
          </cell>
          <cell r="D14" t="str">
            <v>BHUPATHI SHIVA</v>
          </cell>
          <cell r="E14" t="str">
            <v>Electrician</v>
          </cell>
          <cell r="F14" t="str">
            <v>SHIFT</v>
          </cell>
          <cell r="G14" t="str">
            <v>L</v>
          </cell>
          <cell r="H14" t="str">
            <v>L</v>
          </cell>
          <cell r="I14" t="str">
            <v>L</v>
          </cell>
          <cell r="J14" t="str">
            <v>L</v>
          </cell>
          <cell r="K14" t="str">
            <v>L</v>
          </cell>
          <cell r="L14" t="str">
            <v>L</v>
          </cell>
          <cell r="M14" t="str">
            <v>C</v>
          </cell>
          <cell r="N14" t="str">
            <v>L</v>
          </cell>
          <cell r="O14" t="str">
            <v>C</v>
          </cell>
          <cell r="P14" t="str">
            <v>C</v>
          </cell>
          <cell r="Q14" t="str">
            <v>B</v>
          </cell>
          <cell r="R14" t="str">
            <v>A</v>
          </cell>
          <cell r="S14" t="str">
            <v>A</v>
          </cell>
          <cell r="T14" t="str">
            <v>A</v>
          </cell>
          <cell r="U14" t="str">
            <v>W</v>
          </cell>
          <cell r="V14" t="str">
            <v>C</v>
          </cell>
          <cell r="W14" t="str">
            <v>B</v>
          </cell>
          <cell r="X14" t="str">
            <v>C</v>
          </cell>
          <cell r="Y14" t="str">
            <v>B</v>
          </cell>
          <cell r="Z14" t="str">
            <v>A</v>
          </cell>
          <cell r="AA14" t="str">
            <v>B</v>
          </cell>
          <cell r="AB14" t="str">
            <v>W</v>
          </cell>
          <cell r="AC14" t="str">
            <v>B</v>
          </cell>
          <cell r="AD14" t="str">
            <v>A</v>
          </cell>
          <cell r="AE14" t="str">
            <v>B</v>
          </cell>
          <cell r="AF14" t="str">
            <v>A</v>
          </cell>
          <cell r="AG14" t="str">
            <v>A</v>
          </cell>
          <cell r="AH14" t="str">
            <v>C</v>
          </cell>
          <cell r="AI14" t="str">
            <v>W</v>
          </cell>
          <cell r="AJ14" t="str">
            <v>B</v>
          </cell>
          <cell r="AK14" t="str">
            <v>A</v>
          </cell>
          <cell r="AL14">
            <v>7</v>
          </cell>
          <cell r="AM14">
            <v>0</v>
          </cell>
          <cell r="AN14">
            <v>21</v>
          </cell>
          <cell r="AO14">
            <v>3</v>
          </cell>
          <cell r="AP14">
            <v>24</v>
          </cell>
          <cell r="AQ14">
            <v>0</v>
          </cell>
          <cell r="AR14">
            <v>24</v>
          </cell>
        </row>
        <row r="15">
          <cell r="F15" t="str">
            <v>ED</v>
          </cell>
        </row>
        <row r="16">
          <cell r="C16">
            <v>10705</v>
          </cell>
          <cell r="D16" t="str">
            <v>DHARAVATH UDAY KIRAN</v>
          </cell>
          <cell r="E16" t="str">
            <v>Electrician</v>
          </cell>
          <cell r="F16" t="str">
            <v>SHIFT</v>
          </cell>
          <cell r="G16" t="str">
            <v>A</v>
          </cell>
          <cell r="H16" t="str">
            <v>A</v>
          </cell>
          <cell r="I16" t="str">
            <v>A</v>
          </cell>
          <cell r="J16" t="str">
            <v>G</v>
          </cell>
          <cell r="K16" t="str">
            <v>A</v>
          </cell>
          <cell r="L16" t="str">
            <v>B</v>
          </cell>
          <cell r="M16" t="str">
            <v>W</v>
          </cell>
          <cell r="N16" t="str">
            <v>C</v>
          </cell>
          <cell r="O16" t="str">
            <v>B</v>
          </cell>
          <cell r="P16" t="str">
            <v>A</v>
          </cell>
          <cell r="Q16" t="str">
            <v>A</v>
          </cell>
          <cell r="R16" t="str">
            <v>L</v>
          </cell>
          <cell r="S16" t="str">
            <v>L</v>
          </cell>
          <cell r="T16" t="str">
            <v>W</v>
          </cell>
          <cell r="U16" t="str">
            <v>C</v>
          </cell>
          <cell r="V16" t="str">
            <v>B</v>
          </cell>
          <cell r="W16" t="str">
            <v>A</v>
          </cell>
          <cell r="X16" t="str">
            <v>B</v>
          </cell>
          <cell r="Y16" t="str">
            <v>A</v>
          </cell>
          <cell r="Z16" t="str">
            <v>C</v>
          </cell>
          <cell r="AA16" t="str">
            <v>W</v>
          </cell>
          <cell r="AB16" t="str">
            <v>A</v>
          </cell>
          <cell r="AC16" t="str">
            <v>A</v>
          </cell>
          <cell r="AD16" t="str">
            <v>B</v>
          </cell>
          <cell r="AE16" t="str">
            <v>A</v>
          </cell>
          <cell r="AF16" t="str">
            <v>B</v>
          </cell>
          <cell r="AG16" t="str">
            <v>C</v>
          </cell>
          <cell r="AH16" t="str">
            <v>W</v>
          </cell>
          <cell r="AI16" t="str">
            <v>B</v>
          </cell>
          <cell r="AJ16" t="str">
            <v>A</v>
          </cell>
          <cell r="AK16" t="str">
            <v>B</v>
          </cell>
          <cell r="AL16">
            <v>2</v>
          </cell>
          <cell r="AM16">
            <v>0</v>
          </cell>
          <cell r="AN16">
            <v>25</v>
          </cell>
          <cell r="AO16">
            <v>4</v>
          </cell>
          <cell r="AP16">
            <v>29</v>
          </cell>
          <cell r="AQ16">
            <v>0</v>
          </cell>
          <cell r="AR16">
            <v>29</v>
          </cell>
        </row>
        <row r="17">
          <cell r="F17" t="str">
            <v>ED</v>
          </cell>
        </row>
        <row r="18">
          <cell r="C18">
            <v>11243</v>
          </cell>
          <cell r="D18" t="str">
            <v>NAMPALLI VENKATESH</v>
          </cell>
          <cell r="E18" t="str">
            <v>Electrician</v>
          </cell>
          <cell r="F18" t="str">
            <v>SHIFT</v>
          </cell>
          <cell r="G18" t="str">
            <v>B</v>
          </cell>
          <cell r="H18" t="str">
            <v>G</v>
          </cell>
          <cell r="I18" t="str">
            <v>B</v>
          </cell>
          <cell r="J18" t="str">
            <v>B</v>
          </cell>
          <cell r="K18" t="str">
            <v>G</v>
          </cell>
          <cell r="L18" t="str">
            <v>W</v>
          </cell>
          <cell r="M18" t="str">
            <v>A</v>
          </cell>
          <cell r="N18" t="str">
            <v>B</v>
          </cell>
          <cell r="O18" t="str">
            <v>B</v>
          </cell>
          <cell r="P18" t="str">
            <v>A</v>
          </cell>
          <cell r="Q18" t="str">
            <v>G</v>
          </cell>
          <cell r="R18" t="str">
            <v>B</v>
          </cell>
          <cell r="S18" t="str">
            <v>W</v>
          </cell>
          <cell r="T18" t="str">
            <v>A</v>
          </cell>
          <cell r="U18" t="str">
            <v>B</v>
          </cell>
          <cell r="V18" t="str">
            <v>B</v>
          </cell>
          <cell r="W18" t="str">
            <v>G</v>
          </cell>
          <cell r="X18" t="str">
            <v>A</v>
          </cell>
          <cell r="Y18" t="str">
            <v>A</v>
          </cell>
          <cell r="Z18" t="str">
            <v>W</v>
          </cell>
          <cell r="AA18" t="str">
            <v>C</v>
          </cell>
          <cell r="AB18" t="str">
            <v>B</v>
          </cell>
          <cell r="AC18" t="str">
            <v>A</v>
          </cell>
          <cell r="AD18" t="str">
            <v>C</v>
          </cell>
          <cell r="AE18" t="str">
            <v>C</v>
          </cell>
          <cell r="AF18" t="str">
            <v>C</v>
          </cell>
          <cell r="AG18" t="str">
            <v>W</v>
          </cell>
          <cell r="AH18" t="str">
            <v>A</v>
          </cell>
          <cell r="AI18" t="str">
            <v>A</v>
          </cell>
          <cell r="AJ18" t="str">
            <v>A</v>
          </cell>
          <cell r="AK18" t="str">
            <v>B</v>
          </cell>
          <cell r="AL18">
            <v>0</v>
          </cell>
          <cell r="AM18">
            <v>0</v>
          </cell>
          <cell r="AN18">
            <v>27</v>
          </cell>
          <cell r="AO18">
            <v>4</v>
          </cell>
          <cell r="AP18">
            <v>31</v>
          </cell>
          <cell r="AQ18">
            <v>0</v>
          </cell>
          <cell r="AR18">
            <v>31</v>
          </cell>
        </row>
        <row r="19">
          <cell r="F19" t="str">
            <v>ED</v>
          </cell>
        </row>
        <row r="20">
          <cell r="C20">
            <v>11493</v>
          </cell>
          <cell r="D20" t="str">
            <v>INJARAPU SIMHADRI</v>
          </cell>
          <cell r="E20" t="str">
            <v>Electrician</v>
          </cell>
          <cell r="F20" t="str">
            <v>SHIFT</v>
          </cell>
          <cell r="G20" t="str">
            <v>L</v>
          </cell>
          <cell r="H20" t="str">
            <v>L</v>
          </cell>
          <cell r="I20" t="str">
            <v>C</v>
          </cell>
          <cell r="J20" t="str">
            <v>C</v>
          </cell>
          <cell r="K20" t="str">
            <v>B</v>
          </cell>
          <cell r="L20" t="str">
            <v>C</v>
          </cell>
          <cell r="M20" t="str">
            <v>B</v>
          </cell>
          <cell r="N20" t="str">
            <v>B</v>
          </cell>
          <cell r="O20" t="str">
            <v>W</v>
          </cell>
          <cell r="P20" t="str">
            <v>LEFT</v>
          </cell>
          <cell r="AL20">
            <v>2</v>
          </cell>
          <cell r="AM20">
            <v>0</v>
          </cell>
          <cell r="AN20">
            <v>6</v>
          </cell>
          <cell r="AO20">
            <v>1</v>
          </cell>
          <cell r="AP20">
            <v>7</v>
          </cell>
          <cell r="AQ20">
            <v>0</v>
          </cell>
          <cell r="AR20">
            <v>7</v>
          </cell>
        </row>
        <row r="21">
          <cell r="F21" t="str">
            <v>ED</v>
          </cell>
        </row>
        <row r="22">
          <cell r="C22">
            <v>11801</v>
          </cell>
          <cell r="D22" t="str">
            <v>B JAGADEESHWAR REDDY</v>
          </cell>
          <cell r="E22" t="str">
            <v>Electrician</v>
          </cell>
          <cell r="F22" t="str">
            <v>SHIFT</v>
          </cell>
          <cell r="G22" t="str">
            <v>L</v>
          </cell>
          <cell r="H22" t="str">
            <v>C</v>
          </cell>
          <cell r="I22" t="str">
            <v>W</v>
          </cell>
          <cell r="J22" t="str">
            <v>G</v>
          </cell>
          <cell r="K22" t="str">
            <v>C</v>
          </cell>
          <cell r="L22" t="str">
            <v>C</v>
          </cell>
          <cell r="M22" t="str">
            <v>B</v>
          </cell>
          <cell r="N22" t="str">
            <v>A</v>
          </cell>
          <cell r="O22" t="str">
            <v>A</v>
          </cell>
          <cell r="P22" t="str">
            <v>W</v>
          </cell>
          <cell r="Q22" t="str">
            <v>G</v>
          </cell>
          <cell r="R22" t="str">
            <v>C</v>
          </cell>
          <cell r="S22" t="str">
            <v>B</v>
          </cell>
          <cell r="T22" t="str">
            <v>B</v>
          </cell>
          <cell r="U22" t="str">
            <v>A</v>
          </cell>
          <cell r="V22" t="str">
            <v>G</v>
          </cell>
          <cell r="W22" t="str">
            <v>W</v>
          </cell>
          <cell r="X22" t="str">
            <v>G</v>
          </cell>
          <cell r="Y22" t="str">
            <v>C</v>
          </cell>
          <cell r="Z22" t="str">
            <v>B</v>
          </cell>
          <cell r="AA22" t="str">
            <v>B</v>
          </cell>
          <cell r="AB22" t="str">
            <v>C</v>
          </cell>
          <cell r="AC22" t="str">
            <v>C</v>
          </cell>
          <cell r="AD22" t="str">
            <v>W</v>
          </cell>
          <cell r="AE22" t="str">
            <v>A</v>
          </cell>
          <cell r="AF22" t="str">
            <v>A</v>
          </cell>
          <cell r="AG22" t="str">
            <v>G</v>
          </cell>
          <cell r="AH22" t="str">
            <v>B</v>
          </cell>
          <cell r="AI22" t="str">
            <v>C</v>
          </cell>
          <cell r="AJ22" t="str">
            <v>B</v>
          </cell>
          <cell r="AK22" t="str">
            <v>W</v>
          </cell>
          <cell r="AL22">
            <v>1</v>
          </cell>
          <cell r="AM22">
            <v>0</v>
          </cell>
          <cell r="AN22">
            <v>25</v>
          </cell>
          <cell r="AO22">
            <v>5</v>
          </cell>
          <cell r="AP22">
            <v>30</v>
          </cell>
          <cell r="AQ22">
            <v>0</v>
          </cell>
          <cell r="AR22">
            <v>30</v>
          </cell>
        </row>
        <row r="23">
          <cell r="F23" t="str">
            <v>ED</v>
          </cell>
        </row>
        <row r="24">
          <cell r="C24">
            <v>11867</v>
          </cell>
          <cell r="D24" t="str">
            <v>PUNEM ABHISHEK</v>
          </cell>
          <cell r="E24" t="str">
            <v>Electrician</v>
          </cell>
          <cell r="F24" t="str">
            <v>SHIFT</v>
          </cell>
          <cell r="G24" t="str">
            <v>C</v>
          </cell>
          <cell r="H24" t="str">
            <v>B</v>
          </cell>
          <cell r="I24" t="str">
            <v>G</v>
          </cell>
          <cell r="J24" t="str">
            <v>A</v>
          </cell>
          <cell r="K24" t="str">
            <v>W</v>
          </cell>
          <cell r="L24" t="str">
            <v>A</v>
          </cell>
          <cell r="M24" t="str">
            <v>A</v>
          </cell>
          <cell r="N24" t="str">
            <v>A</v>
          </cell>
          <cell r="O24" t="str">
            <v>A</v>
          </cell>
          <cell r="P24" t="str">
            <v>B</v>
          </cell>
          <cell r="Q24" t="str">
            <v>C</v>
          </cell>
          <cell r="R24" t="str">
            <v>W</v>
          </cell>
          <cell r="S24" t="str">
            <v>C</v>
          </cell>
          <cell r="T24" t="str">
            <v>C</v>
          </cell>
          <cell r="U24" t="str">
            <v>B</v>
          </cell>
          <cell r="V24" t="str">
            <v>A</v>
          </cell>
          <cell r="W24" t="str">
            <v>C</v>
          </cell>
          <cell r="X24" t="str">
            <v>B</v>
          </cell>
          <cell r="Y24" t="str">
            <v>W</v>
          </cell>
          <cell r="Z24" t="str">
            <v>A</v>
          </cell>
          <cell r="AA24" t="str">
            <v>A</v>
          </cell>
          <cell r="AB24" t="str">
            <v>C</v>
          </cell>
          <cell r="AC24" t="str">
            <v>B</v>
          </cell>
          <cell r="AD24" t="str">
            <v>A</v>
          </cell>
          <cell r="AE24" t="str">
            <v>L</v>
          </cell>
          <cell r="AF24" t="str">
            <v>W</v>
          </cell>
          <cell r="AG24" t="str">
            <v>L</v>
          </cell>
          <cell r="AH24" t="str">
            <v>L</v>
          </cell>
          <cell r="AI24" t="str">
            <v>L</v>
          </cell>
          <cell r="AJ24" t="str">
            <v>C</v>
          </cell>
          <cell r="AK24" t="str">
            <v>C</v>
          </cell>
          <cell r="AL24">
            <v>4</v>
          </cell>
          <cell r="AM24">
            <v>0</v>
          </cell>
          <cell r="AN24">
            <v>23</v>
          </cell>
          <cell r="AO24">
            <v>4</v>
          </cell>
          <cell r="AP24">
            <v>27</v>
          </cell>
          <cell r="AQ24">
            <v>0</v>
          </cell>
          <cell r="AR24">
            <v>27</v>
          </cell>
        </row>
        <row r="25">
          <cell r="F25" t="str">
            <v>ED</v>
          </cell>
        </row>
        <row r="26">
          <cell r="C26">
            <v>2</v>
          </cell>
          <cell r="D26" t="str">
            <v>B. CHANTI</v>
          </cell>
          <cell r="E26" t="str">
            <v>Electrician</v>
          </cell>
          <cell r="F26" t="str">
            <v>SHIFT</v>
          </cell>
          <cell r="G26" t="str">
            <v>G</v>
          </cell>
          <cell r="H26" t="str">
            <v>L</v>
          </cell>
          <cell r="I26" t="str">
            <v>G</v>
          </cell>
          <cell r="J26" t="str">
            <v>W</v>
          </cell>
          <cell r="K26" t="str">
            <v>G</v>
          </cell>
          <cell r="L26" t="str">
            <v>G</v>
          </cell>
          <cell r="M26" t="str">
            <v>G</v>
          </cell>
          <cell r="N26" t="str">
            <v>G</v>
          </cell>
          <cell r="O26" t="str">
            <v>G</v>
          </cell>
          <cell r="P26" t="str">
            <v>G</v>
          </cell>
          <cell r="Q26" t="str">
            <v>W</v>
          </cell>
          <cell r="R26" t="str">
            <v>A</v>
          </cell>
          <cell r="S26" t="str">
            <v>A</v>
          </cell>
          <cell r="T26" t="str">
            <v>B</v>
          </cell>
          <cell r="U26" t="str">
            <v>A</v>
          </cell>
          <cell r="V26" t="str">
            <v>A</v>
          </cell>
          <cell r="W26" t="str">
            <v>L</v>
          </cell>
          <cell r="X26" t="str">
            <v>W</v>
          </cell>
          <cell r="Y26" t="str">
            <v>C</v>
          </cell>
          <cell r="Z26" t="str">
            <v>B</v>
          </cell>
          <cell r="AA26" t="str">
            <v>A</v>
          </cell>
          <cell r="AB26" t="str">
            <v>A</v>
          </cell>
          <cell r="AC26" t="str">
            <v>C</v>
          </cell>
          <cell r="AD26" t="str">
            <v>B</v>
          </cell>
          <cell r="AE26" t="str">
            <v>W</v>
          </cell>
          <cell r="AF26" t="str">
            <v>B</v>
          </cell>
          <cell r="AG26" t="str">
            <v>G</v>
          </cell>
          <cell r="AH26" t="str">
            <v>A</v>
          </cell>
          <cell r="AI26" t="str">
            <v>A</v>
          </cell>
          <cell r="AJ26" t="str">
            <v>G</v>
          </cell>
          <cell r="AK26" t="str">
            <v>A</v>
          </cell>
          <cell r="AL26">
            <v>2</v>
          </cell>
          <cell r="AM26">
            <v>0</v>
          </cell>
          <cell r="AN26">
            <v>25</v>
          </cell>
          <cell r="AO26">
            <v>4</v>
          </cell>
          <cell r="AP26">
            <v>29</v>
          </cell>
          <cell r="AQ26">
            <v>0</v>
          </cell>
          <cell r="AR26">
            <v>29</v>
          </cell>
        </row>
        <row r="27">
          <cell r="F27" t="str">
            <v>ED</v>
          </cell>
        </row>
        <row r="28">
          <cell r="C28">
            <v>12106</v>
          </cell>
          <cell r="D28" t="str">
            <v>J. SAI TEJA</v>
          </cell>
          <cell r="E28" t="str">
            <v>Electrician</v>
          </cell>
          <cell r="F28" t="str">
            <v>SHIFT</v>
          </cell>
          <cell r="G28" t="str">
            <v>NEW JOINING</v>
          </cell>
          <cell r="V28" t="str">
            <v>B</v>
          </cell>
          <cell r="W28" t="str">
            <v>G</v>
          </cell>
          <cell r="X28" t="str">
            <v>G</v>
          </cell>
          <cell r="Y28" t="str">
            <v>G</v>
          </cell>
          <cell r="Z28" t="str">
            <v>G</v>
          </cell>
          <cell r="AA28" t="str">
            <v>G</v>
          </cell>
          <cell r="AB28" t="str">
            <v>G</v>
          </cell>
          <cell r="AC28" t="str">
            <v>G</v>
          </cell>
          <cell r="AD28" t="str">
            <v>G</v>
          </cell>
          <cell r="AE28" t="str">
            <v>G</v>
          </cell>
          <cell r="AF28" t="str">
            <v>C</v>
          </cell>
          <cell r="AG28" t="str">
            <v>B</v>
          </cell>
          <cell r="AH28" t="str">
            <v>B</v>
          </cell>
          <cell r="AI28" t="str">
            <v>B</v>
          </cell>
          <cell r="AJ28" t="str">
            <v>W</v>
          </cell>
          <cell r="AK28" t="str">
            <v>G</v>
          </cell>
          <cell r="AL28">
            <v>0</v>
          </cell>
          <cell r="AM28">
            <v>0</v>
          </cell>
          <cell r="AN28">
            <v>15</v>
          </cell>
          <cell r="AO28">
            <v>1</v>
          </cell>
          <cell r="AP28">
            <v>16</v>
          </cell>
          <cell r="AQ28">
            <v>0</v>
          </cell>
          <cell r="AR28">
            <v>16</v>
          </cell>
        </row>
        <row r="29">
          <cell r="F29" t="str">
            <v>ED</v>
          </cell>
        </row>
        <row r="30">
          <cell r="C30">
            <v>11316</v>
          </cell>
          <cell r="D30" t="str">
            <v>RAYUDU JAYAKRISHNA</v>
          </cell>
          <cell r="E30" t="str">
            <v>HV/AC</v>
          </cell>
          <cell r="F30" t="str">
            <v>SHIFT</v>
          </cell>
          <cell r="G30" t="str">
            <v>B</v>
          </cell>
          <cell r="H30" t="str">
            <v>W</v>
          </cell>
          <cell r="I30" t="str">
            <v>C</v>
          </cell>
          <cell r="J30" t="str">
            <v>C</v>
          </cell>
          <cell r="K30" t="str">
            <v>C</v>
          </cell>
          <cell r="L30" t="str">
            <v>C</v>
          </cell>
          <cell r="M30" t="str">
            <v>C</v>
          </cell>
          <cell r="N30" t="str">
            <v>C</v>
          </cell>
          <cell r="O30" t="str">
            <v>W</v>
          </cell>
          <cell r="P30" t="str">
            <v>A</v>
          </cell>
          <cell r="Q30" t="str">
            <v>C</v>
          </cell>
          <cell r="R30" t="str">
            <v>C</v>
          </cell>
          <cell r="S30" t="str">
            <v>C</v>
          </cell>
          <cell r="T30" t="str">
            <v>C</v>
          </cell>
          <cell r="U30" t="str">
            <v>B</v>
          </cell>
          <cell r="V30" t="str">
            <v>W</v>
          </cell>
          <cell r="W30" t="str">
            <v>A</v>
          </cell>
          <cell r="X30" t="str">
            <v>LEFT</v>
          </cell>
          <cell r="AL30">
            <v>0</v>
          </cell>
          <cell r="AM30">
            <v>0</v>
          </cell>
          <cell r="AN30">
            <v>14</v>
          </cell>
          <cell r="AO30">
            <v>3</v>
          </cell>
          <cell r="AP30">
            <v>17</v>
          </cell>
          <cell r="AQ30">
            <v>0</v>
          </cell>
          <cell r="AR30">
            <v>17</v>
          </cell>
        </row>
        <row r="31">
          <cell r="F31" t="str">
            <v>ED</v>
          </cell>
        </row>
        <row r="32">
          <cell r="C32">
            <v>10539</v>
          </cell>
          <cell r="D32" t="str">
            <v>MOHD IBRAHIM</v>
          </cell>
          <cell r="E32" t="str">
            <v>HV/AC</v>
          </cell>
          <cell r="F32" t="str">
            <v>SHIFT</v>
          </cell>
          <cell r="G32" t="str">
            <v>C</v>
          </cell>
          <cell r="H32" t="str">
            <v>B</v>
          </cell>
          <cell r="I32" t="str">
            <v>W</v>
          </cell>
          <cell r="J32" t="str">
            <v>G</v>
          </cell>
          <cell r="K32" t="str">
            <v>A</v>
          </cell>
          <cell r="L32" t="str">
            <v>A</v>
          </cell>
          <cell r="M32" t="str">
            <v>A</v>
          </cell>
          <cell r="N32" t="str">
            <v>A</v>
          </cell>
          <cell r="O32" t="str">
            <v>C</v>
          </cell>
          <cell r="P32" t="str">
            <v>W</v>
          </cell>
          <cell r="Q32" t="str">
            <v>A</v>
          </cell>
          <cell r="R32" t="str">
            <v>A</v>
          </cell>
          <cell r="S32" t="str">
            <v>A</v>
          </cell>
          <cell r="T32" t="str">
            <v>A</v>
          </cell>
          <cell r="U32" t="str">
            <v>C</v>
          </cell>
          <cell r="V32" t="str">
            <v>C</v>
          </cell>
          <cell r="W32" t="str">
            <v>W</v>
          </cell>
          <cell r="X32" t="str">
            <v>B</v>
          </cell>
          <cell r="Y32" t="str">
            <v>C</v>
          </cell>
          <cell r="Z32" t="str">
            <v>B</v>
          </cell>
          <cell r="AA32" t="str">
            <v>A</v>
          </cell>
          <cell r="AB32" t="str">
            <v>C</v>
          </cell>
          <cell r="AC32" t="str">
            <v>C</v>
          </cell>
          <cell r="AD32" t="str">
            <v>W</v>
          </cell>
          <cell r="AE32" t="str">
            <v>B</v>
          </cell>
          <cell r="AF32" t="str">
            <v>C</v>
          </cell>
          <cell r="AG32" t="str">
            <v>B</v>
          </cell>
          <cell r="AH32" t="str">
            <v>A</v>
          </cell>
          <cell r="AI32" t="str">
            <v>A</v>
          </cell>
          <cell r="AJ32" t="str">
            <v>C</v>
          </cell>
          <cell r="AK32" t="str">
            <v>W</v>
          </cell>
          <cell r="AL32">
            <v>0</v>
          </cell>
          <cell r="AM32">
            <v>0</v>
          </cell>
          <cell r="AN32">
            <v>26</v>
          </cell>
          <cell r="AO32">
            <v>5</v>
          </cell>
          <cell r="AP32">
            <v>31</v>
          </cell>
          <cell r="AQ32">
            <v>0</v>
          </cell>
          <cell r="AR32">
            <v>31</v>
          </cell>
        </row>
        <row r="33">
          <cell r="F33" t="str">
            <v>ED</v>
          </cell>
        </row>
        <row r="34">
          <cell r="C34">
            <v>10837</v>
          </cell>
          <cell r="D34" t="str">
            <v>PALLI SRI HARI RAO</v>
          </cell>
          <cell r="E34" t="str">
            <v>HV/AC</v>
          </cell>
          <cell r="F34" t="str">
            <v>SHIFT</v>
          </cell>
          <cell r="G34" t="str">
            <v>W</v>
          </cell>
          <cell r="H34" t="str">
            <v>A</v>
          </cell>
          <cell r="I34" t="str">
            <v>G</v>
          </cell>
          <cell r="J34" t="str">
            <v>A</v>
          </cell>
          <cell r="K34" t="str">
            <v>A</v>
          </cell>
          <cell r="L34" t="str">
            <v>B</v>
          </cell>
          <cell r="M34" t="str">
            <v>A</v>
          </cell>
          <cell r="N34" t="str">
            <v>W</v>
          </cell>
          <cell r="O34" t="str">
            <v>B</v>
          </cell>
          <cell r="P34" t="str">
            <v>B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W</v>
          </cell>
          <cell r="V34" t="str">
            <v>B</v>
          </cell>
          <cell r="W34" t="str">
            <v>B</v>
          </cell>
          <cell r="X34" t="str">
            <v>A</v>
          </cell>
          <cell r="Y34" t="str">
            <v>A</v>
          </cell>
          <cell r="Z34" t="str">
            <v>A</v>
          </cell>
          <cell r="AA34" t="str">
            <v>C</v>
          </cell>
          <cell r="AB34" t="str">
            <v>W</v>
          </cell>
          <cell r="AC34" t="str">
            <v>L</v>
          </cell>
          <cell r="AD34" t="str">
            <v>B</v>
          </cell>
          <cell r="AE34" t="str">
            <v>A</v>
          </cell>
          <cell r="AF34" t="str">
            <v>A</v>
          </cell>
          <cell r="AG34" t="str">
            <v>A</v>
          </cell>
          <cell r="AH34" t="str">
            <v>C</v>
          </cell>
          <cell r="AI34" t="str">
            <v>W</v>
          </cell>
          <cell r="AJ34" t="str">
            <v>B</v>
          </cell>
          <cell r="AK34" t="str">
            <v>B</v>
          </cell>
          <cell r="AL34">
            <v>1</v>
          </cell>
          <cell r="AM34">
            <v>0</v>
          </cell>
          <cell r="AN34">
            <v>25</v>
          </cell>
          <cell r="AO34">
            <v>5</v>
          </cell>
          <cell r="AP34">
            <v>30</v>
          </cell>
          <cell r="AQ34">
            <v>0</v>
          </cell>
          <cell r="AR34">
            <v>30</v>
          </cell>
        </row>
        <row r="35">
          <cell r="F35" t="str">
            <v>ED</v>
          </cell>
        </row>
        <row r="36">
          <cell r="C36">
            <v>11428</v>
          </cell>
          <cell r="D36" t="str">
            <v>MADDALA SASI KIRAN</v>
          </cell>
          <cell r="E36" t="str">
            <v>HV/AC</v>
          </cell>
          <cell r="F36" t="str">
            <v>SHIFT</v>
          </cell>
          <cell r="G36" t="str">
            <v>A</v>
          </cell>
          <cell r="H36" t="str">
            <v>G</v>
          </cell>
          <cell r="I36" t="str">
            <v>A</v>
          </cell>
          <cell r="J36" t="str">
            <v>B</v>
          </cell>
          <cell r="K36" t="str">
            <v>B</v>
          </cell>
          <cell r="L36" t="str">
            <v>W</v>
          </cell>
          <cell r="M36" t="str">
            <v>B</v>
          </cell>
          <cell r="N36" t="str">
            <v>B</v>
          </cell>
          <cell r="O36" t="str">
            <v>B</v>
          </cell>
          <cell r="P36" t="str">
            <v>A</v>
          </cell>
          <cell r="Q36" t="str">
            <v>B</v>
          </cell>
          <cell r="R36" t="str">
            <v>B</v>
          </cell>
          <cell r="S36" t="str">
            <v>W</v>
          </cell>
          <cell r="T36" t="str">
            <v>B</v>
          </cell>
          <cell r="U36" t="str">
            <v>A</v>
          </cell>
          <cell r="V36" t="str">
            <v>A</v>
          </cell>
          <cell r="W36" t="str">
            <v>A</v>
          </cell>
          <cell r="X36" t="str">
            <v>C</v>
          </cell>
          <cell r="Y36" t="str">
            <v>B</v>
          </cell>
          <cell r="Z36" t="str">
            <v>W</v>
          </cell>
          <cell r="AA36" t="str">
            <v>LEFT</v>
          </cell>
          <cell r="AL36">
            <v>0</v>
          </cell>
          <cell r="AM36">
            <v>0</v>
          </cell>
          <cell r="AN36">
            <v>17</v>
          </cell>
          <cell r="AO36">
            <v>3</v>
          </cell>
          <cell r="AP36">
            <v>20</v>
          </cell>
          <cell r="AQ36">
            <v>0</v>
          </cell>
          <cell r="AR36">
            <v>20</v>
          </cell>
        </row>
        <row r="37">
          <cell r="F37" t="str">
            <v>ED</v>
          </cell>
        </row>
        <row r="38">
          <cell r="C38">
            <v>11688</v>
          </cell>
          <cell r="D38" t="str">
            <v>BURRA UDAYKUMAR</v>
          </cell>
          <cell r="E38" t="str">
            <v>HV/AC</v>
          </cell>
          <cell r="F38" t="str">
            <v>SHIFT</v>
          </cell>
          <cell r="G38" t="str">
            <v>G</v>
          </cell>
          <cell r="H38" t="str">
            <v>C</v>
          </cell>
          <cell r="I38" t="str">
            <v>B</v>
          </cell>
          <cell r="J38" t="str">
            <v>W</v>
          </cell>
          <cell r="K38" t="str">
            <v>B</v>
          </cell>
          <cell r="L38" t="str">
            <v>B</v>
          </cell>
          <cell r="M38" t="str">
            <v>B</v>
          </cell>
          <cell r="N38" t="str">
            <v>B</v>
          </cell>
          <cell r="O38" t="str">
            <v>A</v>
          </cell>
          <cell r="P38" t="str">
            <v>C</v>
          </cell>
          <cell r="Q38" t="str">
            <v>W</v>
          </cell>
          <cell r="R38" t="str">
            <v>B</v>
          </cell>
          <cell r="S38" t="str">
            <v>B</v>
          </cell>
          <cell r="T38" t="str">
            <v>B</v>
          </cell>
          <cell r="U38" t="str">
            <v>A</v>
          </cell>
          <cell r="V38" t="str">
            <v>A</v>
          </cell>
          <cell r="W38" t="str">
            <v>C</v>
          </cell>
          <cell r="X38" t="str">
            <v>W</v>
          </cell>
          <cell r="Y38" t="str">
            <v>B</v>
          </cell>
          <cell r="Z38" t="str">
            <v>C</v>
          </cell>
          <cell r="AA38" t="str">
            <v>B</v>
          </cell>
          <cell r="AB38" t="str">
            <v>A</v>
          </cell>
          <cell r="AC38" t="str">
            <v>A</v>
          </cell>
          <cell r="AD38" t="str">
            <v>A</v>
          </cell>
          <cell r="AE38" t="str">
            <v>W</v>
          </cell>
          <cell r="AF38" t="str">
            <v>B</v>
          </cell>
          <cell r="AG38" t="str">
            <v>C</v>
          </cell>
          <cell r="AH38" t="str">
            <v>B</v>
          </cell>
          <cell r="AI38" t="str">
            <v>B</v>
          </cell>
          <cell r="AJ38" t="str">
            <v>A</v>
          </cell>
          <cell r="AK38" t="str">
            <v>A</v>
          </cell>
          <cell r="AL38">
            <v>0</v>
          </cell>
          <cell r="AM38">
            <v>0</v>
          </cell>
          <cell r="AN38">
            <v>27</v>
          </cell>
          <cell r="AO38">
            <v>4</v>
          </cell>
          <cell r="AP38">
            <v>31</v>
          </cell>
          <cell r="AQ38">
            <v>0</v>
          </cell>
          <cell r="AR38">
            <v>31</v>
          </cell>
        </row>
        <row r="39">
          <cell r="F39" t="str">
            <v>ED</v>
          </cell>
        </row>
        <row r="40">
          <cell r="C40">
            <v>12085</v>
          </cell>
          <cell r="D40" t="str">
            <v>THODUPUNURU PAVAN SAI</v>
          </cell>
          <cell r="E40" t="str">
            <v>HV/AC</v>
          </cell>
          <cell r="F40" t="str">
            <v>SHIFT</v>
          </cell>
          <cell r="G40" t="str">
            <v>NEW JOINING</v>
          </cell>
          <cell r="L40" t="str">
            <v>B</v>
          </cell>
          <cell r="M40" t="str">
            <v>G</v>
          </cell>
          <cell r="N40" t="str">
            <v>G</v>
          </cell>
          <cell r="O40" t="str">
            <v>G</v>
          </cell>
          <cell r="P40" t="str">
            <v>G</v>
          </cell>
          <cell r="Q40" t="str">
            <v>G</v>
          </cell>
          <cell r="R40" t="str">
            <v>G</v>
          </cell>
          <cell r="S40" t="str">
            <v>G</v>
          </cell>
          <cell r="T40" t="str">
            <v>W</v>
          </cell>
          <cell r="U40" t="str">
            <v>G</v>
          </cell>
          <cell r="V40" t="str">
            <v>B</v>
          </cell>
          <cell r="W40" t="str">
            <v>B</v>
          </cell>
          <cell r="X40" t="str">
            <v>G</v>
          </cell>
          <cell r="Y40" t="str">
            <v>G</v>
          </cell>
          <cell r="Z40" t="str">
            <v>G</v>
          </cell>
          <cell r="AA40" t="str">
            <v>W</v>
          </cell>
          <cell r="AB40" t="str">
            <v>B</v>
          </cell>
          <cell r="AC40" t="str">
            <v>B</v>
          </cell>
          <cell r="AD40" t="str">
            <v>C</v>
          </cell>
          <cell r="AE40" t="str">
            <v>C</v>
          </cell>
          <cell r="AF40" t="str">
            <v>B</v>
          </cell>
          <cell r="AG40" t="str">
            <v>G</v>
          </cell>
          <cell r="AH40" t="str">
            <v>W</v>
          </cell>
          <cell r="AI40" t="str">
            <v>C</v>
          </cell>
          <cell r="AJ40" t="str">
            <v>B</v>
          </cell>
          <cell r="AK40" t="str">
            <v>C</v>
          </cell>
          <cell r="AL40">
            <v>0</v>
          </cell>
          <cell r="AM40">
            <v>0</v>
          </cell>
          <cell r="AN40">
            <v>23</v>
          </cell>
          <cell r="AO40">
            <v>3</v>
          </cell>
          <cell r="AP40">
            <v>26</v>
          </cell>
          <cell r="AQ40">
            <v>0</v>
          </cell>
          <cell r="AR40">
            <v>26</v>
          </cell>
        </row>
        <row r="41">
          <cell r="F41" t="str">
            <v>ED</v>
          </cell>
        </row>
        <row r="42">
          <cell r="C42">
            <v>4</v>
          </cell>
          <cell r="D42" t="str">
            <v xml:space="preserve">SYED ABRAR ALI </v>
          </cell>
          <cell r="E42" t="str">
            <v>HV/AC</v>
          </cell>
          <cell r="F42" t="str">
            <v>SHIFT</v>
          </cell>
          <cell r="G42" t="str">
            <v>NEW JOINING</v>
          </cell>
          <cell r="N42" t="str">
            <v>G</v>
          </cell>
          <cell r="O42" t="str">
            <v>G</v>
          </cell>
          <cell r="P42" t="str">
            <v>G</v>
          </cell>
          <cell r="Q42" t="str">
            <v>G</v>
          </cell>
          <cell r="R42" t="str">
            <v>LEFT</v>
          </cell>
          <cell r="AL42">
            <v>0</v>
          </cell>
          <cell r="AM42">
            <v>0</v>
          </cell>
          <cell r="AN42">
            <v>4</v>
          </cell>
          <cell r="AO42">
            <v>0</v>
          </cell>
          <cell r="AP42">
            <v>4</v>
          </cell>
          <cell r="AQ42">
            <v>0</v>
          </cell>
          <cell r="AR42">
            <v>4</v>
          </cell>
        </row>
        <row r="43">
          <cell r="F43" t="str">
            <v>ED</v>
          </cell>
        </row>
        <row r="44">
          <cell r="C44">
            <v>12103</v>
          </cell>
          <cell r="D44" t="str">
            <v>MD. TALHA KHAN</v>
          </cell>
          <cell r="E44" t="str">
            <v>HV/AC</v>
          </cell>
          <cell r="F44" t="str">
            <v>SHIFT</v>
          </cell>
          <cell r="G44" t="str">
            <v>NEW JOINING</v>
          </cell>
          <cell r="Z44" t="str">
            <v>G</v>
          </cell>
          <cell r="AA44" t="str">
            <v>G</v>
          </cell>
          <cell r="AB44" t="str">
            <v>B</v>
          </cell>
          <cell r="AC44" t="str">
            <v>B</v>
          </cell>
          <cell r="AD44" t="str">
            <v>L</v>
          </cell>
          <cell r="AE44" t="str">
            <v>B</v>
          </cell>
          <cell r="AF44" t="str">
            <v>B</v>
          </cell>
          <cell r="AG44" t="str">
            <v>W</v>
          </cell>
          <cell r="AH44" t="str">
            <v>G</v>
          </cell>
          <cell r="AI44" t="str">
            <v>L</v>
          </cell>
          <cell r="AJ44" t="str">
            <v>L</v>
          </cell>
          <cell r="AK44" t="str">
            <v>L</v>
          </cell>
          <cell r="AL44">
            <v>4</v>
          </cell>
          <cell r="AM44">
            <v>0</v>
          </cell>
          <cell r="AN44">
            <v>7</v>
          </cell>
          <cell r="AO44">
            <v>1</v>
          </cell>
          <cell r="AP44">
            <v>8</v>
          </cell>
          <cell r="AQ44">
            <v>0</v>
          </cell>
          <cell r="AR44">
            <v>8</v>
          </cell>
        </row>
        <row r="45">
          <cell r="F45" t="str">
            <v>ED</v>
          </cell>
        </row>
        <row r="46">
          <cell r="C46">
            <v>11600</v>
          </cell>
          <cell r="D46" t="str">
            <v>REHMAN FISHAL</v>
          </cell>
          <cell r="E46" t="str">
            <v>HV/AC</v>
          </cell>
          <cell r="F46" t="str">
            <v>SHIFT</v>
          </cell>
          <cell r="G46" t="str">
            <v>NEW JOINING</v>
          </cell>
          <cell r="AE46" t="str">
            <v>B</v>
          </cell>
          <cell r="AF46" t="str">
            <v>G</v>
          </cell>
          <cell r="AG46" t="str">
            <v>G</v>
          </cell>
          <cell r="AH46" t="str">
            <v>G</v>
          </cell>
          <cell r="AI46" t="str">
            <v>G</v>
          </cell>
          <cell r="AJ46" t="str">
            <v>G</v>
          </cell>
          <cell r="AK46" t="str">
            <v>B</v>
          </cell>
          <cell r="AL46">
            <v>0</v>
          </cell>
          <cell r="AM46">
            <v>0</v>
          </cell>
          <cell r="AN46">
            <v>7</v>
          </cell>
          <cell r="AO46">
            <v>0</v>
          </cell>
          <cell r="AP46">
            <v>7</v>
          </cell>
          <cell r="AQ46">
            <v>0</v>
          </cell>
          <cell r="AR46">
            <v>7</v>
          </cell>
        </row>
        <row r="47">
          <cell r="F47" t="str">
            <v>ED</v>
          </cell>
        </row>
        <row r="48">
          <cell r="C48">
            <v>5</v>
          </cell>
          <cell r="D48" t="str">
            <v>MD. AAKIB ANSARI</v>
          </cell>
          <cell r="E48" t="str">
            <v>HV/AC</v>
          </cell>
          <cell r="F48" t="str">
            <v>SHIFT</v>
          </cell>
          <cell r="G48" t="str">
            <v>NEW JOINING</v>
          </cell>
          <cell r="AG48" t="str">
            <v>B</v>
          </cell>
          <cell r="AH48" t="str">
            <v>G</v>
          </cell>
          <cell r="AI48" t="str">
            <v>G</v>
          </cell>
          <cell r="AJ48" t="str">
            <v>G</v>
          </cell>
          <cell r="AK48" t="str">
            <v>L</v>
          </cell>
          <cell r="AL48">
            <v>1</v>
          </cell>
          <cell r="AM48">
            <v>0</v>
          </cell>
          <cell r="AN48">
            <v>4</v>
          </cell>
          <cell r="AO48">
            <v>0</v>
          </cell>
          <cell r="AP48">
            <v>4</v>
          </cell>
          <cell r="AQ48">
            <v>0</v>
          </cell>
          <cell r="AR48">
            <v>4</v>
          </cell>
        </row>
        <row r="49">
          <cell r="F49" t="str">
            <v>ED</v>
          </cell>
        </row>
        <row r="50">
          <cell r="C50">
            <v>11319</v>
          </cell>
          <cell r="D50" t="str">
            <v>DUDIMETLA LARENCE</v>
          </cell>
          <cell r="E50" t="str">
            <v>DG Operator</v>
          </cell>
          <cell r="F50" t="str">
            <v>SHIFT</v>
          </cell>
          <cell r="G50" t="str">
            <v>W</v>
          </cell>
          <cell r="H50" t="str">
            <v>B</v>
          </cell>
          <cell r="I50" t="str">
            <v>G</v>
          </cell>
          <cell r="J50" t="str">
            <v>A</v>
          </cell>
          <cell r="K50" t="str">
            <v>C</v>
          </cell>
          <cell r="L50" t="str">
            <v>C</v>
          </cell>
          <cell r="M50" t="str">
            <v>C</v>
          </cell>
          <cell r="N50" t="str">
            <v>W</v>
          </cell>
          <cell r="O50" t="str">
            <v>B</v>
          </cell>
          <cell r="P50" t="str">
            <v>G</v>
          </cell>
          <cell r="Q50" t="str">
            <v>A</v>
          </cell>
          <cell r="R50" t="str">
            <v>A</v>
          </cell>
          <cell r="S50" t="str">
            <v>L</v>
          </cell>
          <cell r="T50" t="str">
            <v>L</v>
          </cell>
          <cell r="U50" t="str">
            <v>W</v>
          </cell>
          <cell r="V50" t="str">
            <v>B</v>
          </cell>
          <cell r="W50" t="str">
            <v>G</v>
          </cell>
          <cell r="X50" t="str">
            <v>A</v>
          </cell>
          <cell r="Y50" t="str">
            <v>C</v>
          </cell>
          <cell r="Z50" t="str">
            <v>C</v>
          </cell>
          <cell r="AA50" t="str">
            <v>C</v>
          </cell>
          <cell r="AB50" t="str">
            <v>W</v>
          </cell>
          <cell r="AC50" t="str">
            <v>B</v>
          </cell>
          <cell r="AD50" t="str">
            <v>G</v>
          </cell>
          <cell r="AE50" t="str">
            <v>A</v>
          </cell>
          <cell r="AF50" t="str">
            <v>C</v>
          </cell>
          <cell r="AG50" t="str">
            <v>C</v>
          </cell>
          <cell r="AH50" t="str">
            <v>C</v>
          </cell>
          <cell r="AI50" t="str">
            <v>W</v>
          </cell>
          <cell r="AJ50" t="str">
            <v>G</v>
          </cell>
          <cell r="AK50" t="str">
            <v>G</v>
          </cell>
          <cell r="AL50">
            <v>2</v>
          </cell>
          <cell r="AM50">
            <v>0</v>
          </cell>
          <cell r="AN50">
            <v>24</v>
          </cell>
          <cell r="AO50">
            <v>5</v>
          </cell>
          <cell r="AP50">
            <v>29</v>
          </cell>
          <cell r="AQ50">
            <v>0</v>
          </cell>
          <cell r="AR50">
            <v>29</v>
          </cell>
        </row>
        <row r="51">
          <cell r="F51" t="str">
            <v>ED</v>
          </cell>
        </row>
        <row r="52">
          <cell r="C52">
            <v>10848</v>
          </cell>
          <cell r="D52" t="str">
            <v>SAUMENDRA DALAI</v>
          </cell>
          <cell r="E52" t="str">
            <v>DG Operator</v>
          </cell>
          <cell r="F52" t="str">
            <v>SHIFT</v>
          </cell>
          <cell r="G52" t="str">
            <v>G</v>
          </cell>
          <cell r="H52" t="str">
            <v>A</v>
          </cell>
          <cell r="I52" t="str">
            <v>C</v>
          </cell>
          <cell r="J52" t="str">
            <v>C</v>
          </cell>
          <cell r="K52" t="str">
            <v>W</v>
          </cell>
          <cell r="L52" t="str">
            <v>B</v>
          </cell>
          <cell r="M52" t="str">
            <v>A</v>
          </cell>
          <cell r="N52" t="str">
            <v>G</v>
          </cell>
          <cell r="O52" t="str">
            <v>A</v>
          </cell>
          <cell r="P52" t="str">
            <v>C</v>
          </cell>
          <cell r="Q52" t="str">
            <v>C</v>
          </cell>
          <cell r="R52" t="str">
            <v>W</v>
          </cell>
          <cell r="S52" t="str">
            <v>G</v>
          </cell>
          <cell r="T52" t="str">
            <v>G</v>
          </cell>
          <cell r="U52" t="str">
            <v>G</v>
          </cell>
          <cell r="V52" t="str">
            <v>A</v>
          </cell>
          <cell r="W52" t="str">
            <v>C</v>
          </cell>
          <cell r="X52" t="str">
            <v>C</v>
          </cell>
          <cell r="Y52" t="str">
            <v>W</v>
          </cell>
          <cell r="Z52" t="str">
            <v>B</v>
          </cell>
          <cell r="AA52" t="str">
            <v>A</v>
          </cell>
          <cell r="AB52" t="str">
            <v>G</v>
          </cell>
          <cell r="AC52" t="str">
            <v>A</v>
          </cell>
          <cell r="AD52" t="str">
            <v>C</v>
          </cell>
          <cell r="AE52" t="str">
            <v>C</v>
          </cell>
          <cell r="AF52" t="str">
            <v>W</v>
          </cell>
          <cell r="AG52" t="str">
            <v>B</v>
          </cell>
          <cell r="AH52" t="str">
            <v>A</v>
          </cell>
          <cell r="AI52" t="str">
            <v>L</v>
          </cell>
          <cell r="AJ52" t="str">
            <v>L</v>
          </cell>
          <cell r="AK52" t="str">
            <v>L</v>
          </cell>
          <cell r="AL52">
            <v>3</v>
          </cell>
          <cell r="AM52">
            <v>0</v>
          </cell>
          <cell r="AN52">
            <v>24</v>
          </cell>
          <cell r="AO52">
            <v>4</v>
          </cell>
          <cell r="AP52">
            <v>28</v>
          </cell>
          <cell r="AQ52">
            <v>0</v>
          </cell>
          <cell r="AR52">
            <v>28</v>
          </cell>
        </row>
        <row r="53">
          <cell r="F53" t="str">
            <v>ED</v>
          </cell>
        </row>
        <row r="54">
          <cell r="C54" t="str">
            <v xml:space="preserve">I.D NUMBER </v>
          </cell>
          <cell r="D54" t="str">
            <v>NAME</v>
          </cell>
          <cell r="E54" t="str">
            <v>Designation</v>
          </cell>
          <cell r="F54" t="str">
            <v>DUTY</v>
          </cell>
          <cell r="G54">
            <v>1</v>
          </cell>
          <cell r="H54">
            <v>2</v>
          </cell>
          <cell r="I54">
            <v>3</v>
          </cell>
          <cell r="J54">
            <v>4</v>
          </cell>
          <cell r="K54">
            <v>5</v>
          </cell>
          <cell r="L54">
            <v>6</v>
          </cell>
          <cell r="M54">
            <v>7</v>
          </cell>
          <cell r="N54">
            <v>8</v>
          </cell>
          <cell r="O54">
            <v>9</v>
          </cell>
          <cell r="P54">
            <v>10</v>
          </cell>
          <cell r="Q54">
            <v>11</v>
          </cell>
          <cell r="R54">
            <v>12</v>
          </cell>
          <cell r="S54">
            <v>13</v>
          </cell>
          <cell r="T54">
            <v>14</v>
          </cell>
          <cell r="U54">
            <v>15</v>
          </cell>
          <cell r="V54">
            <v>16</v>
          </cell>
          <cell r="W54">
            <v>17</v>
          </cell>
          <cell r="X54">
            <v>18</v>
          </cell>
          <cell r="Y54">
            <v>19</v>
          </cell>
          <cell r="Z54">
            <v>20</v>
          </cell>
          <cell r="AA54">
            <v>21</v>
          </cell>
          <cell r="AB54">
            <v>22</v>
          </cell>
          <cell r="AC54">
            <v>23</v>
          </cell>
          <cell r="AD54">
            <v>24</v>
          </cell>
          <cell r="AE54">
            <v>25</v>
          </cell>
          <cell r="AF54">
            <v>26</v>
          </cell>
          <cell r="AG54">
            <v>27</v>
          </cell>
          <cell r="AH54">
            <v>28</v>
          </cell>
          <cell r="AI54">
            <v>29</v>
          </cell>
          <cell r="AJ54">
            <v>30</v>
          </cell>
          <cell r="AK54">
            <v>31</v>
          </cell>
          <cell r="AL54" t="str">
            <v>Leaves</v>
          </cell>
          <cell r="AM54" t="str">
            <v>PH</v>
          </cell>
          <cell r="AN54" t="str">
            <v>Man days</v>
          </cell>
          <cell r="AO54" t="str">
            <v>W/O.</v>
          </cell>
          <cell r="AP54" t="str">
            <v>Net paid days</v>
          </cell>
          <cell r="AQ54" t="str">
            <v>E.D</v>
          </cell>
          <cell r="AR54" t="str">
            <v xml:space="preserve">TOTAL DAYS </v>
          </cell>
        </row>
        <row r="55">
          <cell r="G55" t="str">
            <v>WED</v>
          </cell>
          <cell r="H55" t="str">
            <v>THU</v>
          </cell>
          <cell r="I55" t="str">
            <v>FRI</v>
          </cell>
          <cell r="J55" t="str">
            <v>SAT</v>
          </cell>
          <cell r="K55" t="str">
            <v>SUN</v>
          </cell>
          <cell r="L55" t="str">
            <v>MON</v>
          </cell>
          <cell r="M55" t="str">
            <v>TUE</v>
          </cell>
          <cell r="N55" t="str">
            <v>WED</v>
          </cell>
          <cell r="O55" t="str">
            <v>THU</v>
          </cell>
          <cell r="P55" t="str">
            <v>FRI</v>
          </cell>
          <cell r="Q55" t="str">
            <v>SAT</v>
          </cell>
          <cell r="R55" t="str">
            <v>SUN</v>
          </cell>
          <cell r="S55" t="str">
            <v>MON</v>
          </cell>
          <cell r="T55" t="str">
            <v>TUE</v>
          </cell>
          <cell r="U55" t="str">
            <v>WED</v>
          </cell>
          <cell r="V55" t="str">
            <v>THU</v>
          </cell>
          <cell r="W55" t="str">
            <v>FRI</v>
          </cell>
          <cell r="X55" t="str">
            <v>SAT</v>
          </cell>
          <cell r="Y55" t="str">
            <v>SUN</v>
          </cell>
          <cell r="Z55" t="str">
            <v>MON</v>
          </cell>
          <cell r="AA55" t="str">
            <v>TUE</v>
          </cell>
          <cell r="AB55" t="str">
            <v>WED</v>
          </cell>
          <cell r="AC55" t="str">
            <v>THU</v>
          </cell>
          <cell r="AD55" t="str">
            <v>FRI</v>
          </cell>
          <cell r="AE55" t="str">
            <v>SAT</v>
          </cell>
          <cell r="AF55" t="str">
            <v>SUN</v>
          </cell>
          <cell r="AG55" t="str">
            <v>MON</v>
          </cell>
          <cell r="AH55" t="str">
            <v>TUE</v>
          </cell>
          <cell r="AI55" t="str">
            <v>WED</v>
          </cell>
          <cell r="AJ55" t="str">
            <v>THU</v>
          </cell>
          <cell r="AK55" t="str">
            <v>FRI</v>
          </cell>
        </row>
        <row r="56">
          <cell r="C56">
            <v>11685</v>
          </cell>
          <cell r="D56" t="str">
            <v>CH.RAJA</v>
          </cell>
          <cell r="E56" t="str">
            <v>DG Operator</v>
          </cell>
          <cell r="F56" t="str">
            <v>SHIFT</v>
          </cell>
          <cell r="G56" t="str">
            <v>C</v>
          </cell>
          <cell r="H56" t="str">
            <v>C</v>
          </cell>
          <cell r="I56" t="str">
            <v>W</v>
          </cell>
          <cell r="J56" t="str">
            <v>B</v>
          </cell>
          <cell r="K56" t="str">
            <v>G</v>
          </cell>
          <cell r="L56" t="str">
            <v>A</v>
          </cell>
          <cell r="M56" t="str">
            <v>B</v>
          </cell>
          <cell r="N56" t="str">
            <v>C</v>
          </cell>
          <cell r="O56" t="str">
            <v>C</v>
          </cell>
          <cell r="P56" t="str">
            <v>W</v>
          </cell>
          <cell r="Q56" t="str">
            <v>B</v>
          </cell>
          <cell r="R56" t="str">
            <v>B</v>
          </cell>
          <cell r="S56" t="str">
            <v>B</v>
          </cell>
          <cell r="T56" t="str">
            <v>C</v>
          </cell>
          <cell r="U56" t="str">
            <v>C</v>
          </cell>
          <cell r="V56" t="str">
            <v>C</v>
          </cell>
          <cell r="W56" t="str">
            <v>W</v>
          </cell>
          <cell r="X56" t="str">
            <v>B</v>
          </cell>
          <cell r="Y56" t="str">
            <v>G</v>
          </cell>
          <cell r="Z56" t="str">
            <v>A</v>
          </cell>
          <cell r="AA56" t="str">
            <v>B</v>
          </cell>
          <cell r="AB56" t="str">
            <v>C</v>
          </cell>
          <cell r="AC56" t="str">
            <v>C</v>
          </cell>
          <cell r="AD56" t="str">
            <v>W</v>
          </cell>
          <cell r="AE56" t="str">
            <v>B</v>
          </cell>
          <cell r="AF56" t="str">
            <v>G</v>
          </cell>
          <cell r="AG56" t="str">
            <v>A</v>
          </cell>
          <cell r="AH56" t="str">
            <v>B</v>
          </cell>
          <cell r="AI56" t="str">
            <v>G</v>
          </cell>
          <cell r="AJ56" t="str">
            <v>C</v>
          </cell>
          <cell r="AK56" t="str">
            <v>W</v>
          </cell>
          <cell r="AL56">
            <v>0</v>
          </cell>
          <cell r="AM56">
            <v>0</v>
          </cell>
          <cell r="AN56">
            <v>26</v>
          </cell>
          <cell r="AO56">
            <v>5</v>
          </cell>
          <cell r="AP56">
            <v>31</v>
          </cell>
          <cell r="AQ56">
            <v>0</v>
          </cell>
          <cell r="AR56">
            <v>31</v>
          </cell>
        </row>
        <row r="57">
          <cell r="F57" t="str">
            <v>ED</v>
          </cell>
        </row>
        <row r="58">
          <cell r="C58">
            <v>6</v>
          </cell>
          <cell r="D58" t="str">
            <v>VENKATA KRISHNA</v>
          </cell>
          <cell r="E58" t="str">
            <v>DG Operator</v>
          </cell>
          <cell r="F58" t="str">
            <v>SHIFT</v>
          </cell>
          <cell r="G58" t="str">
            <v>NEW JOINING</v>
          </cell>
          <cell r="AE58" t="str">
            <v>G</v>
          </cell>
          <cell r="AF58" t="str">
            <v>G</v>
          </cell>
          <cell r="AG58" t="str">
            <v>G</v>
          </cell>
          <cell r="AH58" t="str">
            <v>L</v>
          </cell>
          <cell r="AI58" t="str">
            <v>L</v>
          </cell>
          <cell r="AJ58" t="str">
            <v>L</v>
          </cell>
          <cell r="AK58" t="str">
            <v>L</v>
          </cell>
          <cell r="AL58">
            <v>4</v>
          </cell>
          <cell r="AM58">
            <v>0</v>
          </cell>
          <cell r="AN58">
            <v>3</v>
          </cell>
          <cell r="AO58">
            <v>0</v>
          </cell>
          <cell r="AP58">
            <v>3</v>
          </cell>
          <cell r="AQ58">
            <v>0</v>
          </cell>
          <cell r="AR58">
            <v>3</v>
          </cell>
        </row>
        <row r="59">
          <cell r="F59" t="str">
            <v>ED</v>
          </cell>
        </row>
        <row r="60">
          <cell r="C60">
            <v>11519</v>
          </cell>
          <cell r="D60" t="str">
            <v>VEERABOINA TIRUPATAMMA</v>
          </cell>
          <cell r="E60" t="str">
            <v xml:space="preserve">BMS Operator </v>
          </cell>
          <cell r="F60" t="str">
            <v>SHIFT</v>
          </cell>
          <cell r="G60" t="str">
            <v>G</v>
          </cell>
          <cell r="H60" t="str">
            <v>G</v>
          </cell>
          <cell r="I60" t="str">
            <v>G</v>
          </cell>
          <cell r="J60" t="str">
            <v>L</v>
          </cell>
          <cell r="K60" t="str">
            <v>W</v>
          </cell>
          <cell r="L60" t="str">
            <v>G</v>
          </cell>
          <cell r="M60" t="str">
            <v>G</v>
          </cell>
          <cell r="N60" t="str">
            <v>G</v>
          </cell>
          <cell r="O60" t="str">
            <v>G</v>
          </cell>
          <cell r="P60" t="str">
            <v>G</v>
          </cell>
          <cell r="Q60" t="str">
            <v>L</v>
          </cell>
          <cell r="R60" t="str">
            <v>L</v>
          </cell>
          <cell r="S60" t="str">
            <v>L</v>
          </cell>
          <cell r="T60" t="str">
            <v>G</v>
          </cell>
          <cell r="U60" t="str">
            <v>G</v>
          </cell>
          <cell r="V60" t="str">
            <v>G</v>
          </cell>
          <cell r="W60" t="str">
            <v>L</v>
          </cell>
          <cell r="X60" t="str">
            <v>L</v>
          </cell>
          <cell r="Y60" t="str">
            <v>W</v>
          </cell>
          <cell r="Z60" t="str">
            <v>G</v>
          </cell>
          <cell r="AA60" t="str">
            <v>G</v>
          </cell>
          <cell r="AB60" t="str">
            <v>G</v>
          </cell>
          <cell r="AC60" t="str">
            <v>G</v>
          </cell>
          <cell r="AD60" t="str">
            <v>G</v>
          </cell>
          <cell r="AE60" t="str">
            <v>G</v>
          </cell>
          <cell r="AF60" t="str">
            <v>W</v>
          </cell>
          <cell r="AG60" t="str">
            <v>G</v>
          </cell>
          <cell r="AH60" t="str">
            <v>G</v>
          </cell>
          <cell r="AI60" t="str">
            <v>G</v>
          </cell>
          <cell r="AJ60" t="str">
            <v>G</v>
          </cell>
          <cell r="AK60" t="str">
            <v>G</v>
          </cell>
          <cell r="AL60">
            <v>6</v>
          </cell>
          <cell r="AM60">
            <v>0</v>
          </cell>
          <cell r="AN60">
            <v>22</v>
          </cell>
          <cell r="AO60">
            <v>3</v>
          </cell>
          <cell r="AP60">
            <v>25</v>
          </cell>
          <cell r="AQ60">
            <v>0</v>
          </cell>
          <cell r="AR60">
            <v>25</v>
          </cell>
        </row>
        <row r="61">
          <cell r="F61" t="str">
            <v>ED</v>
          </cell>
        </row>
        <row r="62">
          <cell r="C62">
            <v>11835</v>
          </cell>
          <cell r="D62" t="str">
            <v>SIRIPURAM SHASHI KUMAR</v>
          </cell>
          <cell r="E62" t="str">
            <v xml:space="preserve">BMS Operator </v>
          </cell>
          <cell r="F62" t="str">
            <v>SHIFT</v>
          </cell>
          <cell r="G62" t="str">
            <v>B</v>
          </cell>
          <cell r="H62" t="str">
            <v>B</v>
          </cell>
          <cell r="I62" t="str">
            <v>W</v>
          </cell>
          <cell r="J62" t="str">
            <v>G</v>
          </cell>
          <cell r="K62" t="str">
            <v>G</v>
          </cell>
          <cell r="L62" t="str">
            <v>A</v>
          </cell>
          <cell r="M62" t="str">
            <v>B</v>
          </cell>
          <cell r="N62" t="str">
            <v>C</v>
          </cell>
          <cell r="O62" t="str">
            <v>C</v>
          </cell>
          <cell r="P62" t="str">
            <v>W</v>
          </cell>
          <cell r="Q62" t="str">
            <v>G</v>
          </cell>
          <cell r="R62" t="str">
            <v>A</v>
          </cell>
          <cell r="S62" t="str">
            <v>G</v>
          </cell>
          <cell r="T62" t="str">
            <v>C</v>
          </cell>
          <cell r="U62" t="str">
            <v>B</v>
          </cell>
          <cell r="V62" t="str">
            <v>C</v>
          </cell>
          <cell r="W62" t="str">
            <v>W</v>
          </cell>
          <cell r="X62" t="str">
            <v>C</v>
          </cell>
          <cell r="Y62" t="str">
            <v>C</v>
          </cell>
          <cell r="Z62" t="str">
            <v>C</v>
          </cell>
          <cell r="AA62" t="str">
            <v>C</v>
          </cell>
          <cell r="AB62" t="str">
            <v>C</v>
          </cell>
          <cell r="AC62" t="str">
            <v>C</v>
          </cell>
          <cell r="AD62" t="str">
            <v>W</v>
          </cell>
          <cell r="AE62" t="str">
            <v>L</v>
          </cell>
          <cell r="AF62" t="str">
            <v>L</v>
          </cell>
          <cell r="AG62" t="str">
            <v>C</v>
          </cell>
          <cell r="AH62" t="str">
            <v>C</v>
          </cell>
          <cell r="AI62" t="str">
            <v>C</v>
          </cell>
          <cell r="AJ62" t="str">
            <v>B</v>
          </cell>
          <cell r="AK62" t="str">
            <v>W</v>
          </cell>
          <cell r="AL62">
            <v>2</v>
          </cell>
          <cell r="AM62">
            <v>0</v>
          </cell>
          <cell r="AN62">
            <v>24</v>
          </cell>
          <cell r="AO62">
            <v>5</v>
          </cell>
          <cell r="AP62">
            <v>29</v>
          </cell>
          <cell r="AQ62">
            <v>0</v>
          </cell>
          <cell r="AR62">
            <v>29</v>
          </cell>
        </row>
        <row r="63">
          <cell r="F63" t="str">
            <v>ED</v>
          </cell>
        </row>
        <row r="64">
          <cell r="C64">
            <v>12108</v>
          </cell>
          <cell r="D64" t="str">
            <v>D. KRISHNA</v>
          </cell>
          <cell r="E64" t="str">
            <v xml:space="preserve">BMS Operator </v>
          </cell>
          <cell r="F64" t="str">
            <v>SHIFT</v>
          </cell>
          <cell r="G64" t="str">
            <v>C</v>
          </cell>
          <cell r="H64" t="str">
            <v>C</v>
          </cell>
          <cell r="I64" t="str">
            <v>C</v>
          </cell>
          <cell r="J64" t="str">
            <v>C</v>
          </cell>
          <cell r="K64" t="str">
            <v>C</v>
          </cell>
          <cell r="L64" t="str">
            <v>B</v>
          </cell>
          <cell r="M64" t="str">
            <v>W</v>
          </cell>
          <cell r="N64" t="str">
            <v>L</v>
          </cell>
          <cell r="O64" t="str">
            <v>L</v>
          </cell>
          <cell r="P64" t="str">
            <v>C</v>
          </cell>
          <cell r="Q64" t="str">
            <v>C</v>
          </cell>
          <cell r="R64" t="str">
            <v>B</v>
          </cell>
          <cell r="S64" t="str">
            <v>L</v>
          </cell>
          <cell r="T64" t="str">
            <v>W</v>
          </cell>
          <cell r="U64" t="str">
            <v>C</v>
          </cell>
          <cell r="V64" t="str">
            <v>B</v>
          </cell>
          <cell r="W64" t="str">
            <v>G</v>
          </cell>
          <cell r="X64" t="str">
            <v>G</v>
          </cell>
          <cell r="Y64" t="str">
            <v>G</v>
          </cell>
          <cell r="Z64" t="str">
            <v>A</v>
          </cell>
          <cell r="AA64" t="str">
            <v>W</v>
          </cell>
          <cell r="AB64" t="str">
            <v>L</v>
          </cell>
          <cell r="AC64" t="str">
            <v>L</v>
          </cell>
          <cell r="AD64" t="str">
            <v>C</v>
          </cell>
          <cell r="AE64" t="str">
            <v>B</v>
          </cell>
          <cell r="AF64" t="str">
            <v>G</v>
          </cell>
          <cell r="AG64" t="str">
            <v>A</v>
          </cell>
          <cell r="AH64" t="str">
            <v>W</v>
          </cell>
          <cell r="AI64" t="str">
            <v>L</v>
          </cell>
          <cell r="AJ64" t="str">
            <v>C</v>
          </cell>
          <cell r="AK64" t="str">
            <v>C</v>
          </cell>
          <cell r="AL64">
            <v>6</v>
          </cell>
          <cell r="AM64">
            <v>0</v>
          </cell>
          <cell r="AN64">
            <v>21</v>
          </cell>
          <cell r="AO64">
            <v>4</v>
          </cell>
          <cell r="AP64">
            <v>25</v>
          </cell>
          <cell r="AQ64">
            <v>0</v>
          </cell>
          <cell r="AR64">
            <v>25</v>
          </cell>
        </row>
        <row r="65">
          <cell r="F65" t="str">
            <v>ED</v>
          </cell>
        </row>
        <row r="66">
          <cell r="C66">
            <v>7</v>
          </cell>
          <cell r="D66" t="str">
            <v>P.RAHUL</v>
          </cell>
          <cell r="E66" t="str">
            <v xml:space="preserve">BMS Operator </v>
          </cell>
          <cell r="F66" t="str">
            <v>SHIFT</v>
          </cell>
          <cell r="G66" t="str">
            <v>NEW JOINING</v>
          </cell>
          <cell r="AI66" t="str">
            <v>G</v>
          </cell>
          <cell r="AJ66" t="str">
            <v>G</v>
          </cell>
          <cell r="AK66" t="str">
            <v>G</v>
          </cell>
          <cell r="AL66">
            <v>0</v>
          </cell>
          <cell r="AM66">
            <v>0</v>
          </cell>
          <cell r="AN66">
            <v>3</v>
          </cell>
          <cell r="AO66">
            <v>0</v>
          </cell>
          <cell r="AP66">
            <v>3</v>
          </cell>
          <cell r="AQ66">
            <v>0</v>
          </cell>
          <cell r="AR66">
            <v>3</v>
          </cell>
        </row>
        <row r="67">
          <cell r="F67" t="str">
            <v>ED</v>
          </cell>
        </row>
        <row r="68">
          <cell r="C68">
            <v>10024</v>
          </cell>
          <cell r="D68" t="str">
            <v>DILLIP MUDULI</v>
          </cell>
          <cell r="E68" t="str">
            <v>Plumber</v>
          </cell>
          <cell r="F68" t="str">
            <v>SHIFT</v>
          </cell>
          <cell r="G68" t="str">
            <v>B</v>
          </cell>
          <cell r="H68" t="str">
            <v>B</v>
          </cell>
          <cell r="I68" t="str">
            <v>B</v>
          </cell>
          <cell r="J68" t="str">
            <v>G</v>
          </cell>
          <cell r="K68" t="str">
            <v>B</v>
          </cell>
          <cell r="L68" t="str">
            <v>C</v>
          </cell>
          <cell r="M68" t="str">
            <v>W</v>
          </cell>
          <cell r="N68" t="str">
            <v>B</v>
          </cell>
          <cell r="O68" t="str">
            <v>B</v>
          </cell>
          <cell r="P68" t="str">
            <v>A</v>
          </cell>
          <cell r="Q68" t="str">
            <v>B</v>
          </cell>
          <cell r="R68" t="str">
            <v>G</v>
          </cell>
          <cell r="S68" t="str">
            <v>C</v>
          </cell>
          <cell r="T68" t="str">
            <v>W</v>
          </cell>
          <cell r="U68" t="str">
            <v>B</v>
          </cell>
          <cell r="V68" t="str">
            <v>B</v>
          </cell>
          <cell r="W68" t="str">
            <v>A</v>
          </cell>
          <cell r="X68" t="str">
            <v>A</v>
          </cell>
          <cell r="Y68" t="str">
            <v>G</v>
          </cell>
          <cell r="Z68" t="str">
            <v>C</v>
          </cell>
          <cell r="AA68" t="str">
            <v>W</v>
          </cell>
          <cell r="AB68" t="str">
            <v>A</v>
          </cell>
          <cell r="AC68" t="str">
            <v>A</v>
          </cell>
          <cell r="AD68" t="str">
            <v>A</v>
          </cell>
          <cell r="AE68" t="str">
            <v>A</v>
          </cell>
          <cell r="AF68" t="str">
            <v>A</v>
          </cell>
          <cell r="AG68" t="str">
            <v>C</v>
          </cell>
          <cell r="AH68" t="str">
            <v>W</v>
          </cell>
          <cell r="AI68" t="str">
            <v>B</v>
          </cell>
          <cell r="AJ68" t="str">
            <v>A</v>
          </cell>
          <cell r="AK68" t="str">
            <v>A</v>
          </cell>
          <cell r="AL68">
            <v>0</v>
          </cell>
          <cell r="AM68">
            <v>0</v>
          </cell>
          <cell r="AN68">
            <v>27</v>
          </cell>
          <cell r="AO68">
            <v>4</v>
          </cell>
          <cell r="AP68">
            <v>31</v>
          </cell>
          <cell r="AQ68">
            <v>0</v>
          </cell>
          <cell r="AR68">
            <v>31</v>
          </cell>
        </row>
        <row r="69">
          <cell r="F69" t="str">
            <v>ED</v>
          </cell>
        </row>
        <row r="70">
          <cell r="C70">
            <v>10034</v>
          </cell>
          <cell r="D70" t="str">
            <v>JAKKAMSETTI DURGAPRASAD</v>
          </cell>
          <cell r="E70" t="str">
            <v>Plumber</v>
          </cell>
          <cell r="F70" t="str">
            <v>SHIFT</v>
          </cell>
          <cell r="G70" t="str">
            <v>A</v>
          </cell>
          <cell r="H70" t="str">
            <v>A</v>
          </cell>
          <cell r="I70" t="str">
            <v>G</v>
          </cell>
          <cell r="J70" t="str">
            <v>B</v>
          </cell>
          <cell r="K70" t="str">
            <v>W</v>
          </cell>
          <cell r="L70" t="str">
            <v>A</v>
          </cell>
          <cell r="M70" t="str">
            <v>B</v>
          </cell>
          <cell r="N70" t="str">
            <v>A</v>
          </cell>
          <cell r="O70" t="str">
            <v>A</v>
          </cell>
          <cell r="P70" t="str">
            <v>G</v>
          </cell>
          <cell r="Q70" t="str">
            <v>B</v>
          </cell>
          <cell r="R70" t="str">
            <v>W</v>
          </cell>
          <cell r="S70" t="str">
            <v>B</v>
          </cell>
          <cell r="T70" t="str">
            <v>A</v>
          </cell>
          <cell r="U70" t="str">
            <v>A</v>
          </cell>
          <cell r="V70" t="str">
            <v>A</v>
          </cell>
          <cell r="W70" t="str">
            <v>G</v>
          </cell>
          <cell r="X70" t="str">
            <v>B</v>
          </cell>
          <cell r="Y70" t="str">
            <v>W</v>
          </cell>
          <cell r="Z70" t="str">
            <v>A</v>
          </cell>
          <cell r="AA70" t="str">
            <v>B</v>
          </cell>
          <cell r="AB70" t="str">
            <v>B</v>
          </cell>
          <cell r="AC70" t="str">
            <v>B</v>
          </cell>
          <cell r="AD70" t="str">
            <v>A</v>
          </cell>
          <cell r="AE70" t="str">
            <v>A</v>
          </cell>
          <cell r="AF70" t="str">
            <v>W</v>
          </cell>
          <cell r="AG70" t="str">
            <v>B</v>
          </cell>
          <cell r="AH70" t="str">
            <v>B</v>
          </cell>
          <cell r="AI70" t="str">
            <v>A</v>
          </cell>
          <cell r="AJ70" t="str">
            <v>B</v>
          </cell>
          <cell r="AK70" t="str">
            <v>G</v>
          </cell>
          <cell r="AL70">
            <v>0</v>
          </cell>
          <cell r="AM70">
            <v>0</v>
          </cell>
          <cell r="AN70">
            <v>27</v>
          </cell>
          <cell r="AO70">
            <v>4</v>
          </cell>
          <cell r="AP70">
            <v>31</v>
          </cell>
          <cell r="AQ70">
            <v>0</v>
          </cell>
          <cell r="AR70">
            <v>31</v>
          </cell>
        </row>
        <row r="71">
          <cell r="F71" t="str">
            <v>ED</v>
          </cell>
        </row>
        <row r="72">
          <cell r="C72">
            <v>10575</v>
          </cell>
          <cell r="D72" t="str">
            <v>MEGEDA SANTOSH</v>
          </cell>
          <cell r="E72" t="str">
            <v>Plumber</v>
          </cell>
          <cell r="F72" t="str">
            <v>SHIFT</v>
          </cell>
          <cell r="G72" t="str">
            <v>C</v>
          </cell>
          <cell r="H72" t="str">
            <v>W</v>
          </cell>
          <cell r="I72" t="str">
            <v>A</v>
          </cell>
          <cell r="J72" t="str">
            <v>A</v>
          </cell>
          <cell r="K72" t="str">
            <v>A</v>
          </cell>
          <cell r="L72" t="str">
            <v>G</v>
          </cell>
          <cell r="M72" t="str">
            <v>A</v>
          </cell>
          <cell r="N72" t="str">
            <v>C</v>
          </cell>
          <cell r="O72" t="str">
            <v>W</v>
          </cell>
          <cell r="P72" t="str">
            <v>B</v>
          </cell>
          <cell r="Q72" t="str">
            <v>A</v>
          </cell>
          <cell r="R72" t="str">
            <v>A</v>
          </cell>
          <cell r="S72" t="str">
            <v>A</v>
          </cell>
          <cell r="T72" t="str">
            <v>G</v>
          </cell>
          <cell r="U72" t="str">
            <v>C</v>
          </cell>
          <cell r="V72" t="str">
            <v>W</v>
          </cell>
          <cell r="W72" t="str">
            <v>B</v>
          </cell>
          <cell r="X72" t="str">
            <v>A</v>
          </cell>
          <cell r="Y72" t="str">
            <v>B</v>
          </cell>
          <cell r="Z72" t="str">
            <v>B</v>
          </cell>
          <cell r="AA72" t="str">
            <v>A</v>
          </cell>
          <cell r="AB72" t="str">
            <v>C</v>
          </cell>
          <cell r="AC72" t="str">
            <v>W</v>
          </cell>
          <cell r="AD72" t="str">
            <v>L</v>
          </cell>
          <cell r="AE72" t="str">
            <v>B</v>
          </cell>
          <cell r="AF72" t="str">
            <v>A</v>
          </cell>
          <cell r="AG72" t="str">
            <v>A</v>
          </cell>
          <cell r="AH72" t="str">
            <v>A</v>
          </cell>
          <cell r="AI72" t="str">
            <v>A</v>
          </cell>
          <cell r="AJ72" t="str">
            <v>W</v>
          </cell>
          <cell r="AK72" t="str">
            <v>A</v>
          </cell>
          <cell r="AL72">
            <v>1</v>
          </cell>
          <cell r="AM72">
            <v>0</v>
          </cell>
          <cell r="AN72">
            <v>25</v>
          </cell>
          <cell r="AO72">
            <v>5</v>
          </cell>
          <cell r="AP72">
            <v>30</v>
          </cell>
          <cell r="AQ72">
            <v>0</v>
          </cell>
          <cell r="AR72">
            <v>30</v>
          </cell>
        </row>
        <row r="73">
          <cell r="F73" t="str">
            <v>ED</v>
          </cell>
        </row>
        <row r="74">
          <cell r="C74">
            <v>11567</v>
          </cell>
          <cell r="D74" t="str">
            <v>MUDDADA VENKATARAMANA</v>
          </cell>
          <cell r="E74" t="str">
            <v>Plumber</v>
          </cell>
          <cell r="F74" t="str">
            <v>SHIFT</v>
          </cell>
          <cell r="G74" t="str">
            <v>L</v>
          </cell>
          <cell r="H74" t="str">
            <v>L</v>
          </cell>
          <cell r="I74" t="str">
            <v>L</v>
          </cell>
          <cell r="J74" t="str">
            <v>L</v>
          </cell>
          <cell r="K74" t="str">
            <v>L</v>
          </cell>
          <cell r="L74" t="str">
            <v>L</v>
          </cell>
          <cell r="M74" t="str">
            <v>L</v>
          </cell>
          <cell r="N74" t="str">
            <v>L</v>
          </cell>
          <cell r="O74" t="str">
            <v>L</v>
          </cell>
          <cell r="P74" t="str">
            <v>B</v>
          </cell>
          <cell r="Q74" t="str">
            <v>A</v>
          </cell>
          <cell r="R74" t="str">
            <v>C</v>
          </cell>
          <cell r="S74" t="str">
            <v>W</v>
          </cell>
          <cell r="T74" t="str">
            <v>B</v>
          </cell>
          <cell r="U74" t="str">
            <v>G</v>
          </cell>
          <cell r="V74" t="str">
            <v>C</v>
          </cell>
          <cell r="W74" t="str">
            <v>C</v>
          </cell>
          <cell r="X74" t="str">
            <v>B</v>
          </cell>
          <cell r="Y74" t="str">
            <v>C</v>
          </cell>
          <cell r="Z74" t="str">
            <v>W</v>
          </cell>
          <cell r="AA74" t="str">
            <v>L</v>
          </cell>
          <cell r="AB74" t="str">
            <v>L</v>
          </cell>
          <cell r="AC74" t="str">
            <v>L</v>
          </cell>
          <cell r="AD74" t="str">
            <v>L</v>
          </cell>
          <cell r="AE74" t="str">
            <v>C</v>
          </cell>
          <cell r="AF74" t="str">
            <v>C</v>
          </cell>
          <cell r="AG74" t="str">
            <v>L</v>
          </cell>
          <cell r="AH74" t="str">
            <v>B</v>
          </cell>
          <cell r="AI74" t="str">
            <v>B</v>
          </cell>
          <cell r="AJ74" t="str">
            <v>A</v>
          </cell>
          <cell r="AK74" t="str">
            <v>B</v>
          </cell>
          <cell r="AL74">
            <v>14</v>
          </cell>
          <cell r="AM74">
            <v>0</v>
          </cell>
          <cell r="AN74">
            <v>15</v>
          </cell>
          <cell r="AO74">
            <v>2</v>
          </cell>
          <cell r="AP74">
            <v>17</v>
          </cell>
          <cell r="AQ74">
            <v>0</v>
          </cell>
          <cell r="AR74">
            <v>17</v>
          </cell>
        </row>
        <row r="75">
          <cell r="F75" t="str">
            <v>ED</v>
          </cell>
        </row>
        <row r="76">
          <cell r="C76">
            <v>11574</v>
          </cell>
          <cell r="D76" t="str">
            <v>UMESH MAHALIK</v>
          </cell>
          <cell r="E76" t="str">
            <v>Plumber</v>
          </cell>
          <cell r="F76" t="str">
            <v>SHIFT</v>
          </cell>
          <cell r="G76" t="str">
            <v>W</v>
          </cell>
          <cell r="H76" t="str">
            <v>C</v>
          </cell>
          <cell r="I76" t="str">
            <v>C</v>
          </cell>
          <cell r="J76" t="str">
            <v>C</v>
          </cell>
          <cell r="K76" t="str">
            <v>C</v>
          </cell>
          <cell r="L76" t="str">
            <v>B</v>
          </cell>
          <cell r="M76" t="str">
            <v>C</v>
          </cell>
          <cell r="N76" t="str">
            <v>W</v>
          </cell>
          <cell r="O76" t="str">
            <v>C</v>
          </cell>
          <cell r="P76" t="str">
            <v>C</v>
          </cell>
          <cell r="Q76" t="str">
            <v>C</v>
          </cell>
          <cell r="R76" t="str">
            <v>B</v>
          </cell>
          <cell r="S76" t="str">
            <v>G</v>
          </cell>
          <cell r="T76" t="str">
            <v>C</v>
          </cell>
          <cell r="U76" t="str">
            <v>W</v>
          </cell>
          <cell r="V76" t="str">
            <v>C</v>
          </cell>
          <cell r="W76" t="str">
            <v>C</v>
          </cell>
          <cell r="X76" t="str">
            <v>C</v>
          </cell>
          <cell r="Y76" t="str">
            <v>B</v>
          </cell>
          <cell r="Z76" t="str">
            <v>G</v>
          </cell>
          <cell r="AA76" t="str">
            <v>C</v>
          </cell>
          <cell r="AB76" t="str">
            <v>W</v>
          </cell>
          <cell r="AC76" t="str">
            <v>C</v>
          </cell>
          <cell r="AD76" t="str">
            <v>C</v>
          </cell>
          <cell r="AE76" t="str">
            <v>C</v>
          </cell>
          <cell r="AF76" t="str">
            <v>B</v>
          </cell>
          <cell r="AG76" t="str">
            <v>G</v>
          </cell>
          <cell r="AH76" t="str">
            <v>C</v>
          </cell>
          <cell r="AI76" t="str">
            <v>W</v>
          </cell>
          <cell r="AJ76" t="str">
            <v>C</v>
          </cell>
          <cell r="AK76" t="str">
            <v>B</v>
          </cell>
          <cell r="AL76">
            <v>0</v>
          </cell>
          <cell r="AM76">
            <v>0</v>
          </cell>
          <cell r="AN76">
            <v>26</v>
          </cell>
          <cell r="AO76">
            <v>5</v>
          </cell>
          <cell r="AP76">
            <v>31</v>
          </cell>
          <cell r="AQ76">
            <v>0</v>
          </cell>
          <cell r="AR76">
            <v>31</v>
          </cell>
        </row>
        <row r="77">
          <cell r="F77" t="str">
            <v>ED</v>
          </cell>
        </row>
        <row r="78">
          <cell r="C78">
            <v>11743</v>
          </cell>
          <cell r="D78" t="str">
            <v>MANOJ MALIK</v>
          </cell>
          <cell r="E78" t="str">
            <v>Plumber</v>
          </cell>
          <cell r="F78" t="str">
            <v>SHIFT</v>
          </cell>
          <cell r="G78" t="str">
            <v>L</v>
          </cell>
          <cell r="H78" t="str">
            <v>L</v>
          </cell>
          <cell r="I78" t="str">
            <v>L</v>
          </cell>
          <cell r="J78" t="str">
            <v>L</v>
          </cell>
          <cell r="K78" t="str">
            <v>L</v>
          </cell>
          <cell r="L78" t="str">
            <v>L</v>
          </cell>
          <cell r="M78" t="str">
            <v>L</v>
          </cell>
          <cell r="N78" t="str">
            <v>L</v>
          </cell>
          <cell r="O78" t="str">
            <v>L</v>
          </cell>
          <cell r="P78" t="str">
            <v>L</v>
          </cell>
          <cell r="Q78" t="str">
            <v>L</v>
          </cell>
          <cell r="R78" t="str">
            <v>L</v>
          </cell>
          <cell r="S78" t="str">
            <v>L</v>
          </cell>
          <cell r="T78" t="str">
            <v>L</v>
          </cell>
          <cell r="U78" t="str">
            <v>L</v>
          </cell>
          <cell r="V78" t="str">
            <v>L</v>
          </cell>
          <cell r="W78" t="str">
            <v>L</v>
          </cell>
          <cell r="X78" t="str">
            <v>L</v>
          </cell>
          <cell r="Y78" t="str">
            <v>L</v>
          </cell>
          <cell r="Z78" t="str">
            <v>L</v>
          </cell>
          <cell r="AA78" t="str">
            <v>L</v>
          </cell>
          <cell r="AB78" t="str">
            <v>L</v>
          </cell>
          <cell r="AC78" t="str">
            <v>C</v>
          </cell>
          <cell r="AD78" t="str">
            <v>B</v>
          </cell>
          <cell r="AE78" t="str">
            <v>W</v>
          </cell>
          <cell r="AF78" t="str">
            <v>B</v>
          </cell>
          <cell r="AG78" t="str">
            <v>A</v>
          </cell>
          <cell r="AH78" t="str">
            <v>A</v>
          </cell>
          <cell r="AI78" t="str">
            <v>C</v>
          </cell>
          <cell r="AJ78" t="str">
            <v>C</v>
          </cell>
          <cell r="AK78" t="str">
            <v>C</v>
          </cell>
          <cell r="AL78">
            <v>22</v>
          </cell>
          <cell r="AM78">
            <v>0</v>
          </cell>
          <cell r="AN78">
            <v>8</v>
          </cell>
          <cell r="AO78">
            <v>1</v>
          </cell>
          <cell r="AP78">
            <v>9</v>
          </cell>
          <cell r="AQ78">
            <v>0</v>
          </cell>
          <cell r="AR78">
            <v>9</v>
          </cell>
        </row>
        <row r="79">
          <cell r="F79" t="str">
            <v>ED</v>
          </cell>
        </row>
        <row r="80">
          <cell r="C80">
            <v>8</v>
          </cell>
          <cell r="D80" t="str">
            <v>BALA RAM PANDA</v>
          </cell>
          <cell r="E80" t="str">
            <v>Plumber</v>
          </cell>
          <cell r="F80" t="str">
            <v>SHIFT</v>
          </cell>
          <cell r="G80" t="str">
            <v>NEW JOINING</v>
          </cell>
          <cell r="AA80" t="str">
            <v>G</v>
          </cell>
          <cell r="AB80" t="str">
            <v>G</v>
          </cell>
          <cell r="AC80" t="str">
            <v>G</v>
          </cell>
          <cell r="AD80" t="str">
            <v>G</v>
          </cell>
          <cell r="AE80" t="str">
            <v>G</v>
          </cell>
          <cell r="AF80" t="str">
            <v>G</v>
          </cell>
          <cell r="AG80" t="str">
            <v>W</v>
          </cell>
          <cell r="AH80" t="str">
            <v>G</v>
          </cell>
          <cell r="AI80" t="str">
            <v>G</v>
          </cell>
          <cell r="AJ80" t="str">
            <v>G</v>
          </cell>
          <cell r="AK80" t="str">
            <v>G</v>
          </cell>
          <cell r="AL80">
            <v>0</v>
          </cell>
          <cell r="AM80">
            <v>0</v>
          </cell>
          <cell r="AN80">
            <v>10</v>
          </cell>
          <cell r="AO80">
            <v>1</v>
          </cell>
          <cell r="AP80">
            <v>11</v>
          </cell>
          <cell r="AQ80">
            <v>0</v>
          </cell>
          <cell r="AR80">
            <v>11</v>
          </cell>
        </row>
        <row r="81">
          <cell r="F81" t="str">
            <v>ED</v>
          </cell>
        </row>
        <row r="82">
          <cell r="C82">
            <v>11295</v>
          </cell>
          <cell r="D82" t="str">
            <v>PEDDAGOLLA POCHAIAH</v>
          </cell>
          <cell r="E82" t="str">
            <v>PAINTER</v>
          </cell>
          <cell r="F82" t="str">
            <v>SHIFT</v>
          </cell>
          <cell r="G82" t="str">
            <v>W</v>
          </cell>
          <cell r="H82" t="str">
            <v>G</v>
          </cell>
          <cell r="I82" t="str">
            <v>G</v>
          </cell>
          <cell r="J82" t="str">
            <v>G</v>
          </cell>
          <cell r="K82" t="str">
            <v>G</v>
          </cell>
          <cell r="L82" t="str">
            <v>G</v>
          </cell>
          <cell r="M82" t="str">
            <v>G</v>
          </cell>
          <cell r="N82" t="str">
            <v>W</v>
          </cell>
          <cell r="O82" t="str">
            <v>G</v>
          </cell>
          <cell r="P82" t="str">
            <v>G</v>
          </cell>
          <cell r="Q82" t="str">
            <v>G</v>
          </cell>
          <cell r="R82" t="str">
            <v>A</v>
          </cell>
          <cell r="S82" t="str">
            <v>L</v>
          </cell>
          <cell r="T82" t="str">
            <v>G</v>
          </cell>
          <cell r="U82" t="str">
            <v>W</v>
          </cell>
          <cell r="V82" t="str">
            <v>G</v>
          </cell>
          <cell r="W82" t="str">
            <v>G</v>
          </cell>
          <cell r="X82" t="str">
            <v>G</v>
          </cell>
          <cell r="Y82" t="str">
            <v>G</v>
          </cell>
          <cell r="Z82" t="str">
            <v>G</v>
          </cell>
          <cell r="AA82" t="str">
            <v>G</v>
          </cell>
          <cell r="AB82" t="str">
            <v>W</v>
          </cell>
          <cell r="AC82" t="str">
            <v>G</v>
          </cell>
          <cell r="AD82" t="str">
            <v>G</v>
          </cell>
          <cell r="AE82" t="str">
            <v>G</v>
          </cell>
          <cell r="AF82" t="str">
            <v>G</v>
          </cell>
          <cell r="AG82" t="str">
            <v>G</v>
          </cell>
          <cell r="AH82" t="str">
            <v>G</v>
          </cell>
          <cell r="AI82" t="str">
            <v>W</v>
          </cell>
          <cell r="AJ82" t="str">
            <v>G</v>
          </cell>
          <cell r="AK82" t="str">
            <v>G</v>
          </cell>
          <cell r="AL82">
            <v>1</v>
          </cell>
          <cell r="AM82">
            <v>0</v>
          </cell>
          <cell r="AN82">
            <v>25</v>
          </cell>
          <cell r="AO82">
            <v>5</v>
          </cell>
          <cell r="AP82">
            <v>30</v>
          </cell>
          <cell r="AQ82">
            <v>0</v>
          </cell>
          <cell r="AR82">
            <v>30</v>
          </cell>
        </row>
        <row r="83">
          <cell r="F83" t="str">
            <v>ED</v>
          </cell>
        </row>
        <row r="84">
          <cell r="C84">
            <v>12005</v>
          </cell>
          <cell r="D84" t="str">
            <v>KAVALI LAKSHMAIAH</v>
          </cell>
          <cell r="E84" t="str">
            <v>MASON</v>
          </cell>
          <cell r="F84" t="str">
            <v>SHIFT</v>
          </cell>
          <cell r="G84" t="str">
            <v>G</v>
          </cell>
          <cell r="H84" t="str">
            <v>G</v>
          </cell>
          <cell r="I84" t="str">
            <v>G</v>
          </cell>
          <cell r="J84" t="str">
            <v>G</v>
          </cell>
          <cell r="K84" t="str">
            <v>G</v>
          </cell>
          <cell r="L84" t="str">
            <v>G</v>
          </cell>
          <cell r="M84" t="str">
            <v>W</v>
          </cell>
          <cell r="N84" t="str">
            <v>G</v>
          </cell>
          <cell r="O84" t="str">
            <v>G</v>
          </cell>
          <cell r="P84" t="str">
            <v>G</v>
          </cell>
          <cell r="Q84" t="str">
            <v>G</v>
          </cell>
          <cell r="R84" t="str">
            <v>G</v>
          </cell>
          <cell r="S84" t="str">
            <v>G</v>
          </cell>
          <cell r="T84" t="str">
            <v>W</v>
          </cell>
          <cell r="U84" t="str">
            <v>G</v>
          </cell>
          <cell r="V84" t="str">
            <v>G</v>
          </cell>
          <cell r="W84" t="str">
            <v>G</v>
          </cell>
          <cell r="X84" t="str">
            <v>G</v>
          </cell>
          <cell r="Y84" t="str">
            <v>G</v>
          </cell>
          <cell r="Z84" t="str">
            <v>L</v>
          </cell>
          <cell r="AA84" t="str">
            <v>W</v>
          </cell>
          <cell r="AB84" t="str">
            <v>G</v>
          </cell>
          <cell r="AC84" t="str">
            <v>G</v>
          </cell>
          <cell r="AD84" t="str">
            <v>G</v>
          </cell>
          <cell r="AE84" t="str">
            <v>G</v>
          </cell>
          <cell r="AF84" t="str">
            <v>G</v>
          </cell>
          <cell r="AG84" t="str">
            <v>G</v>
          </cell>
          <cell r="AH84" t="str">
            <v>G</v>
          </cell>
          <cell r="AI84" t="str">
            <v>W</v>
          </cell>
          <cell r="AJ84" t="str">
            <v>L</v>
          </cell>
          <cell r="AK84" t="str">
            <v>G</v>
          </cell>
          <cell r="AL84">
            <v>2</v>
          </cell>
          <cell r="AM84">
            <v>0</v>
          </cell>
          <cell r="AN84">
            <v>25</v>
          </cell>
          <cell r="AO84">
            <v>4</v>
          </cell>
          <cell r="AP84">
            <v>29</v>
          </cell>
          <cell r="AQ84">
            <v>0</v>
          </cell>
          <cell r="AR84">
            <v>29</v>
          </cell>
        </row>
        <row r="85">
          <cell r="F85" t="str">
            <v>ED</v>
          </cell>
        </row>
        <row r="86">
          <cell r="C86">
            <v>11919</v>
          </cell>
          <cell r="D86" t="str">
            <v>MATTA HAREESH</v>
          </cell>
          <cell r="E86" t="str">
            <v>FIRE TECHINICAL</v>
          </cell>
          <cell r="F86" t="str">
            <v>SHIFT</v>
          </cell>
          <cell r="G86" t="str">
            <v>G</v>
          </cell>
          <cell r="H86" t="str">
            <v>W</v>
          </cell>
          <cell r="I86" t="str">
            <v>G</v>
          </cell>
          <cell r="J86" t="str">
            <v>G</v>
          </cell>
          <cell r="K86" t="str">
            <v>G</v>
          </cell>
          <cell r="L86" t="str">
            <v>G</v>
          </cell>
          <cell r="M86" t="str">
            <v>G</v>
          </cell>
          <cell r="N86" t="str">
            <v>G</v>
          </cell>
          <cell r="O86" t="str">
            <v>W</v>
          </cell>
          <cell r="P86" t="str">
            <v>G</v>
          </cell>
          <cell r="Q86" t="str">
            <v>G</v>
          </cell>
          <cell r="R86" t="str">
            <v>G</v>
          </cell>
          <cell r="S86" t="str">
            <v>G</v>
          </cell>
          <cell r="T86" t="str">
            <v>G</v>
          </cell>
          <cell r="U86" t="str">
            <v>G</v>
          </cell>
          <cell r="V86" t="str">
            <v>W</v>
          </cell>
          <cell r="W86" t="str">
            <v>G</v>
          </cell>
          <cell r="X86" t="str">
            <v>G</v>
          </cell>
          <cell r="Y86" t="str">
            <v>G</v>
          </cell>
          <cell r="Z86" t="str">
            <v>G</v>
          </cell>
          <cell r="AA86" t="str">
            <v>G</v>
          </cell>
          <cell r="AB86" t="str">
            <v>G</v>
          </cell>
          <cell r="AC86" t="str">
            <v>W</v>
          </cell>
          <cell r="AD86" t="str">
            <v>G</v>
          </cell>
          <cell r="AE86" t="str">
            <v>G</v>
          </cell>
          <cell r="AF86" t="str">
            <v>G</v>
          </cell>
          <cell r="AG86" t="str">
            <v>G</v>
          </cell>
          <cell r="AH86" t="str">
            <v>G</v>
          </cell>
          <cell r="AI86" t="str">
            <v>G</v>
          </cell>
          <cell r="AJ86" t="str">
            <v>W</v>
          </cell>
          <cell r="AK86" t="str">
            <v>G</v>
          </cell>
          <cell r="AL86">
            <v>0</v>
          </cell>
          <cell r="AM86">
            <v>0</v>
          </cell>
          <cell r="AN86">
            <v>26</v>
          </cell>
          <cell r="AO86">
            <v>5</v>
          </cell>
          <cell r="AP86">
            <v>31</v>
          </cell>
          <cell r="AQ86">
            <v>0</v>
          </cell>
          <cell r="AR86">
            <v>31</v>
          </cell>
        </row>
        <row r="87">
          <cell r="F87" t="str">
            <v>ED</v>
          </cell>
        </row>
        <row r="88">
          <cell r="C88">
            <v>11269</v>
          </cell>
          <cell r="D88" t="str">
            <v>RAHIM UDDIN LASKAR</v>
          </cell>
          <cell r="E88" t="str">
            <v>Carpenter</v>
          </cell>
          <cell r="F88" t="str">
            <v>SHIFT</v>
          </cell>
          <cell r="G88" t="str">
            <v>L</v>
          </cell>
          <cell r="H88" t="str">
            <v>G</v>
          </cell>
          <cell r="I88" t="str">
            <v>G</v>
          </cell>
          <cell r="J88" t="str">
            <v>G</v>
          </cell>
          <cell r="K88" t="str">
            <v>G</v>
          </cell>
          <cell r="L88" t="str">
            <v>G</v>
          </cell>
          <cell r="M88" t="str">
            <v>W</v>
          </cell>
          <cell r="N88" t="str">
            <v>G</v>
          </cell>
          <cell r="O88" t="str">
            <v>G</v>
          </cell>
          <cell r="P88" t="str">
            <v>G</v>
          </cell>
          <cell r="Q88" t="str">
            <v>G</v>
          </cell>
          <cell r="R88" t="str">
            <v>G</v>
          </cell>
          <cell r="S88" t="str">
            <v>G</v>
          </cell>
          <cell r="T88" t="str">
            <v>W</v>
          </cell>
          <cell r="U88" t="str">
            <v>G</v>
          </cell>
          <cell r="V88" t="str">
            <v>G</v>
          </cell>
          <cell r="W88" t="str">
            <v>G</v>
          </cell>
          <cell r="X88" t="str">
            <v>G</v>
          </cell>
          <cell r="Y88" t="str">
            <v>G</v>
          </cell>
          <cell r="Z88" t="str">
            <v>B</v>
          </cell>
          <cell r="AA88" t="str">
            <v>W</v>
          </cell>
          <cell r="AB88" t="str">
            <v>G</v>
          </cell>
          <cell r="AC88" t="str">
            <v>B</v>
          </cell>
          <cell r="AD88" t="str">
            <v>G</v>
          </cell>
          <cell r="AE88" t="str">
            <v>G</v>
          </cell>
          <cell r="AF88" t="str">
            <v>G</v>
          </cell>
          <cell r="AG88" t="str">
            <v>G</v>
          </cell>
          <cell r="AH88" t="str">
            <v>W</v>
          </cell>
          <cell r="AI88" t="str">
            <v>L</v>
          </cell>
          <cell r="AJ88" t="str">
            <v>G</v>
          </cell>
          <cell r="AK88" t="str">
            <v>G</v>
          </cell>
          <cell r="AL88">
            <v>2</v>
          </cell>
          <cell r="AM88">
            <v>0</v>
          </cell>
          <cell r="AN88">
            <v>25</v>
          </cell>
          <cell r="AO88">
            <v>4</v>
          </cell>
          <cell r="AP88">
            <v>29</v>
          </cell>
          <cell r="AQ88">
            <v>0</v>
          </cell>
          <cell r="AR88">
            <v>29</v>
          </cell>
        </row>
        <row r="89">
          <cell r="F89" t="str">
            <v>ED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"/>
      <sheetName val="BANK STMT"/>
      <sheetName val="PF ESI CERTIFY"/>
      <sheetName val="INVOICE BREAKUP"/>
    </sheetNames>
    <sheetDataSet>
      <sheetData sheetId="0" refreshError="1"/>
      <sheetData sheetId="1">
        <row r="4">
          <cell r="C4">
            <v>10114</v>
          </cell>
          <cell r="D4" t="str">
            <v>LOBY PATAN RAWOOF KHAN</v>
          </cell>
          <cell r="E4" t="str">
            <v>Supervisor</v>
          </cell>
          <cell r="F4" t="str">
            <v>SHIFT</v>
          </cell>
          <cell r="G4" t="str">
            <v>A</v>
          </cell>
          <cell r="H4" t="str">
            <v>A</v>
          </cell>
          <cell r="I4" t="str">
            <v>W</v>
          </cell>
          <cell r="J4" t="str">
            <v>A</v>
          </cell>
          <cell r="K4" t="str">
            <v>L</v>
          </cell>
          <cell r="L4" t="str">
            <v>L</v>
          </cell>
          <cell r="M4" t="str">
            <v>A</v>
          </cell>
          <cell r="N4" t="str">
            <v>A</v>
          </cell>
          <cell r="O4" t="str">
            <v>A</v>
          </cell>
          <cell r="P4" t="str">
            <v>W</v>
          </cell>
          <cell r="Q4" t="str">
            <v>A</v>
          </cell>
          <cell r="R4" t="str">
            <v>A</v>
          </cell>
          <cell r="S4" t="str">
            <v>A</v>
          </cell>
          <cell r="T4" t="str">
            <v>A</v>
          </cell>
          <cell r="U4" t="str">
            <v>G</v>
          </cell>
          <cell r="V4" t="str">
            <v>B</v>
          </cell>
          <cell r="W4" t="str">
            <v>W</v>
          </cell>
          <cell r="X4" t="str">
            <v>A</v>
          </cell>
          <cell r="Y4" t="str">
            <v>A</v>
          </cell>
          <cell r="Z4" t="str">
            <v>A</v>
          </cell>
          <cell r="AA4" t="str">
            <v>A</v>
          </cell>
          <cell r="AB4" t="str">
            <v>G</v>
          </cell>
          <cell r="AC4" t="str">
            <v>A</v>
          </cell>
          <cell r="AD4" t="str">
            <v>W</v>
          </cell>
          <cell r="AE4" t="str">
            <v>A</v>
          </cell>
          <cell r="AF4" t="str">
            <v>A</v>
          </cell>
          <cell r="AG4" t="str">
            <v>A</v>
          </cell>
          <cell r="AH4" t="str">
            <v>A</v>
          </cell>
          <cell r="AI4" t="str">
            <v>G</v>
          </cell>
          <cell r="AJ4" t="str">
            <v>A</v>
          </cell>
          <cell r="AK4" t="str">
            <v>W</v>
          </cell>
          <cell r="AL4">
            <v>2</v>
          </cell>
          <cell r="AM4">
            <v>0</v>
          </cell>
          <cell r="AN4">
            <v>24</v>
          </cell>
          <cell r="AO4">
            <v>5</v>
          </cell>
          <cell r="AP4">
            <v>29</v>
          </cell>
          <cell r="AQ4">
            <v>0</v>
          </cell>
          <cell r="AR4">
            <v>29</v>
          </cell>
        </row>
        <row r="5">
          <cell r="F5" t="str">
            <v>ED</v>
          </cell>
        </row>
        <row r="6">
          <cell r="C6">
            <v>11373</v>
          </cell>
          <cell r="D6" t="str">
            <v>SANGANA MADHAVA REDDY</v>
          </cell>
          <cell r="E6" t="str">
            <v>Supervisor</v>
          </cell>
          <cell r="F6" t="str">
            <v>SHIFT</v>
          </cell>
          <cell r="G6" t="str">
            <v>L</v>
          </cell>
          <cell r="H6" t="str">
            <v>W</v>
          </cell>
          <cell r="I6" t="str">
            <v>C</v>
          </cell>
          <cell r="J6" t="str">
            <v>C</v>
          </cell>
          <cell r="K6" t="str">
            <v>A</v>
          </cell>
          <cell r="L6" t="str">
            <v>A</v>
          </cell>
          <cell r="M6" t="str">
            <v>C</v>
          </cell>
          <cell r="N6" t="str">
            <v>C</v>
          </cell>
          <cell r="O6" t="str">
            <v>W</v>
          </cell>
          <cell r="P6" t="str">
            <v>A</v>
          </cell>
          <cell r="Q6" t="str">
            <v>C</v>
          </cell>
          <cell r="R6" t="str">
            <v>C</v>
          </cell>
          <cell r="S6" t="str">
            <v>B</v>
          </cell>
          <cell r="T6" t="str">
            <v>C</v>
          </cell>
          <cell r="U6" t="str">
            <v>C</v>
          </cell>
          <cell r="V6" t="str">
            <v>W</v>
          </cell>
          <cell r="W6" t="str">
            <v>A</v>
          </cell>
          <cell r="X6" t="str">
            <v>B</v>
          </cell>
          <cell r="Y6" t="str">
            <v>B</v>
          </cell>
          <cell r="Z6" t="str">
            <v>G</v>
          </cell>
          <cell r="AA6" t="str">
            <v>C</v>
          </cell>
          <cell r="AB6" t="str">
            <v>C</v>
          </cell>
          <cell r="AC6" t="str">
            <v>W</v>
          </cell>
          <cell r="AD6" t="str">
            <v>B</v>
          </cell>
          <cell r="AE6" t="str">
            <v>B</v>
          </cell>
          <cell r="AF6" t="str">
            <v>B</v>
          </cell>
          <cell r="AG6" t="str">
            <v>C</v>
          </cell>
          <cell r="AH6" t="str">
            <v>C</v>
          </cell>
          <cell r="AI6" t="str">
            <v>C</v>
          </cell>
          <cell r="AJ6" t="str">
            <v>W</v>
          </cell>
          <cell r="AK6" t="str">
            <v>A</v>
          </cell>
          <cell r="AL6">
            <v>1</v>
          </cell>
          <cell r="AM6">
            <v>0</v>
          </cell>
          <cell r="AN6">
            <v>25</v>
          </cell>
          <cell r="AO6">
            <v>5</v>
          </cell>
          <cell r="AP6">
            <v>30</v>
          </cell>
          <cell r="AQ6">
            <v>0</v>
          </cell>
          <cell r="AR6">
            <v>30</v>
          </cell>
        </row>
        <row r="7">
          <cell r="F7" t="str">
            <v>ED</v>
          </cell>
        </row>
        <row r="8">
          <cell r="C8">
            <v>11882</v>
          </cell>
          <cell r="D8" t="str">
            <v>AADI REDDY MOHAN REDDY</v>
          </cell>
          <cell r="E8" t="str">
            <v>Supervisor</v>
          </cell>
          <cell r="F8" t="str">
            <v>SHIFT</v>
          </cell>
          <cell r="G8" t="str">
            <v>C</v>
          </cell>
          <cell r="H8" t="str">
            <v>B</v>
          </cell>
          <cell r="I8" t="str">
            <v>A</v>
          </cell>
          <cell r="J8" t="str">
            <v>G</v>
          </cell>
          <cell r="K8" t="str">
            <v>W</v>
          </cell>
          <cell r="L8" t="str">
            <v>L</v>
          </cell>
          <cell r="M8" t="str">
            <v>L</v>
          </cell>
          <cell r="N8" t="str">
            <v>L</v>
          </cell>
          <cell r="O8" t="str">
            <v>L</v>
          </cell>
          <cell r="P8" t="str">
            <v>C</v>
          </cell>
          <cell r="Q8" t="str">
            <v>C</v>
          </cell>
          <cell r="R8" t="str">
            <v>L</v>
          </cell>
          <cell r="S8" t="str">
            <v>G</v>
          </cell>
          <cell r="T8" t="str">
            <v>B</v>
          </cell>
          <cell r="U8" t="str">
            <v>A</v>
          </cell>
          <cell r="V8" t="str">
            <v>A</v>
          </cell>
          <cell r="W8" t="str">
            <v>C</v>
          </cell>
          <cell r="X8" t="str">
            <v>C</v>
          </cell>
          <cell r="Y8" t="str">
            <v>W</v>
          </cell>
          <cell r="Z8" t="str">
            <v>B</v>
          </cell>
          <cell r="AA8" t="str">
            <v>B</v>
          </cell>
          <cell r="AB8" t="str">
            <v>A</v>
          </cell>
          <cell r="AC8" t="str">
            <v>C</v>
          </cell>
          <cell r="AD8" t="str">
            <v>C</v>
          </cell>
          <cell r="AE8" t="str">
            <v>C</v>
          </cell>
          <cell r="AF8" t="str">
            <v>W</v>
          </cell>
          <cell r="AG8" t="str">
            <v>G</v>
          </cell>
          <cell r="AH8" t="str">
            <v>B</v>
          </cell>
          <cell r="AI8" t="str">
            <v>A</v>
          </cell>
          <cell r="AJ8" t="str">
            <v>B</v>
          </cell>
          <cell r="AK8" t="str">
            <v>C</v>
          </cell>
          <cell r="AL8">
            <v>5</v>
          </cell>
          <cell r="AM8">
            <v>0</v>
          </cell>
          <cell r="AN8">
            <v>23</v>
          </cell>
          <cell r="AO8">
            <v>3</v>
          </cell>
          <cell r="AP8">
            <v>26</v>
          </cell>
          <cell r="AQ8">
            <v>0</v>
          </cell>
          <cell r="AR8">
            <v>26</v>
          </cell>
        </row>
        <row r="9">
          <cell r="F9" t="str">
            <v>ED</v>
          </cell>
        </row>
        <row r="10">
          <cell r="C10">
            <v>11187</v>
          </cell>
          <cell r="D10" t="str">
            <v>GALI SANDEEP</v>
          </cell>
          <cell r="E10" t="str">
            <v>Supervisor</v>
          </cell>
          <cell r="F10" t="str">
            <v>SHIFT</v>
          </cell>
          <cell r="G10" t="str">
            <v>B</v>
          </cell>
          <cell r="H10" t="str">
            <v>C</v>
          </cell>
          <cell r="I10" t="str">
            <v>B</v>
          </cell>
          <cell r="J10" t="str">
            <v>B</v>
          </cell>
          <cell r="K10" t="str">
            <v>B</v>
          </cell>
          <cell r="L10" t="str">
            <v>B</v>
          </cell>
          <cell r="M10" t="str">
            <v>W</v>
          </cell>
          <cell r="N10" t="str">
            <v>B</v>
          </cell>
          <cell r="O10" t="str">
            <v>C</v>
          </cell>
          <cell r="P10" t="str">
            <v>B</v>
          </cell>
          <cell r="Q10" t="str">
            <v>B</v>
          </cell>
          <cell r="R10" t="str">
            <v>B</v>
          </cell>
          <cell r="S10" t="str">
            <v>C</v>
          </cell>
          <cell r="T10" t="str">
            <v>W</v>
          </cell>
          <cell r="U10" t="str">
            <v>B</v>
          </cell>
          <cell r="V10" t="str">
            <v>C</v>
          </cell>
          <cell r="W10" t="str">
            <v>B</v>
          </cell>
          <cell r="X10" t="str">
            <v>G</v>
          </cell>
          <cell r="Y10" t="str">
            <v>C</v>
          </cell>
          <cell r="Z10" t="str">
            <v>C</v>
          </cell>
          <cell r="AA10" t="str">
            <v>W</v>
          </cell>
          <cell r="AB10" t="str">
            <v>B</v>
          </cell>
          <cell r="AC10" t="str">
            <v>B</v>
          </cell>
          <cell r="AD10" t="str">
            <v>A</v>
          </cell>
          <cell r="AE10" t="str">
            <v>G</v>
          </cell>
          <cell r="AF10" t="str">
            <v>C</v>
          </cell>
          <cell r="AG10" t="str">
            <v>B</v>
          </cell>
          <cell r="AH10" t="str">
            <v>W</v>
          </cell>
          <cell r="AI10" t="str">
            <v>B</v>
          </cell>
          <cell r="AJ10" t="str">
            <v>C</v>
          </cell>
          <cell r="AK10" t="str">
            <v>B</v>
          </cell>
          <cell r="AL10">
            <v>0</v>
          </cell>
          <cell r="AM10">
            <v>0</v>
          </cell>
          <cell r="AN10">
            <v>27</v>
          </cell>
          <cell r="AO10">
            <v>4</v>
          </cell>
          <cell r="AP10">
            <v>31</v>
          </cell>
          <cell r="AQ10">
            <v>0</v>
          </cell>
          <cell r="AR10">
            <v>31</v>
          </cell>
        </row>
        <row r="11">
          <cell r="F11" t="str">
            <v>ED</v>
          </cell>
        </row>
        <row r="12">
          <cell r="C12">
            <v>12090</v>
          </cell>
          <cell r="D12" t="str">
            <v>B SAI DEEPAK</v>
          </cell>
          <cell r="E12" t="str">
            <v xml:space="preserve">BMS Operator </v>
          </cell>
          <cell r="F12" t="str">
            <v>SHIFT</v>
          </cell>
          <cell r="G12" t="str">
            <v>G</v>
          </cell>
          <cell r="H12" t="str">
            <v>G</v>
          </cell>
          <cell r="I12" t="str">
            <v>A</v>
          </cell>
          <cell r="J12" t="str">
            <v>W</v>
          </cell>
          <cell r="K12" t="str">
            <v>C</v>
          </cell>
          <cell r="L12" t="str">
            <v>C</v>
          </cell>
          <cell r="M12" t="str">
            <v>B</v>
          </cell>
          <cell r="N12" t="str">
            <v>A</v>
          </cell>
          <cell r="O12" t="str">
            <v>A</v>
          </cell>
          <cell r="P12" t="str">
            <v>LEAVE</v>
          </cell>
          <cell r="AL12">
            <v>0</v>
          </cell>
          <cell r="AM12">
            <v>0</v>
          </cell>
          <cell r="AN12">
            <v>8</v>
          </cell>
          <cell r="AO12">
            <v>1</v>
          </cell>
          <cell r="AP12">
            <v>9</v>
          </cell>
          <cell r="AQ12">
            <v>0</v>
          </cell>
          <cell r="AR12">
            <v>9</v>
          </cell>
        </row>
        <row r="13">
          <cell r="F13" t="str">
            <v>ED</v>
          </cell>
        </row>
        <row r="14">
          <cell r="C14">
            <v>4</v>
          </cell>
          <cell r="D14" t="str">
            <v>RAJ KISHORE</v>
          </cell>
          <cell r="E14" t="str">
            <v xml:space="preserve">BMS Operator </v>
          </cell>
          <cell r="F14" t="str">
            <v>SHIFT</v>
          </cell>
          <cell r="G14" t="str">
            <v>C</v>
          </cell>
          <cell r="H14" t="str">
            <v>C</v>
          </cell>
          <cell r="I14" t="str">
            <v>C</v>
          </cell>
          <cell r="J14" t="str">
            <v>W</v>
          </cell>
          <cell r="K14" t="str">
            <v>A</v>
          </cell>
          <cell r="L14" t="str">
            <v>G</v>
          </cell>
          <cell r="M14" t="str">
            <v>G</v>
          </cell>
          <cell r="N14" t="str">
            <v>B</v>
          </cell>
          <cell r="O14" t="str">
            <v>B</v>
          </cell>
          <cell r="P14" t="str">
            <v>G</v>
          </cell>
          <cell r="Q14" t="str">
            <v>C</v>
          </cell>
          <cell r="R14" t="str">
            <v>W</v>
          </cell>
          <cell r="S14" t="str">
            <v>C</v>
          </cell>
          <cell r="T14" t="str">
            <v>B</v>
          </cell>
          <cell r="U14" t="str">
            <v>G</v>
          </cell>
          <cell r="V14" t="str">
            <v>A</v>
          </cell>
          <cell r="W14" t="str">
            <v>G</v>
          </cell>
          <cell r="X14" t="str">
            <v>C</v>
          </cell>
          <cell r="Y14" t="str">
            <v>W</v>
          </cell>
          <cell r="Z14" t="str">
            <v>B</v>
          </cell>
          <cell r="AA14" t="str">
            <v>B</v>
          </cell>
          <cell r="AB14" t="str">
            <v>G</v>
          </cell>
          <cell r="AC14" t="str">
            <v>A</v>
          </cell>
          <cell r="AD14" t="str">
            <v>A</v>
          </cell>
          <cell r="AE14" t="str">
            <v>C</v>
          </cell>
          <cell r="AF14" t="str">
            <v>W</v>
          </cell>
          <cell r="AG14" t="str">
            <v>C</v>
          </cell>
          <cell r="AH14" t="str">
            <v>B</v>
          </cell>
          <cell r="AI14" t="str">
            <v>G</v>
          </cell>
          <cell r="AJ14" t="str">
            <v>A</v>
          </cell>
          <cell r="AK14" t="str">
            <v>A</v>
          </cell>
          <cell r="AL14">
            <v>0</v>
          </cell>
          <cell r="AM14">
            <v>0</v>
          </cell>
          <cell r="AN14">
            <v>27</v>
          </cell>
          <cell r="AO14">
            <v>4</v>
          </cell>
          <cell r="AP14">
            <v>31</v>
          </cell>
          <cell r="AQ14">
            <v>0</v>
          </cell>
          <cell r="AR14">
            <v>31</v>
          </cell>
        </row>
        <row r="15">
          <cell r="F15" t="str">
            <v>ED</v>
          </cell>
          <cell r="S15" t="str">
            <v xml:space="preserve"> </v>
          </cell>
          <cell r="T15" t="str">
            <v xml:space="preserve"> </v>
          </cell>
        </row>
        <row r="16">
          <cell r="C16">
            <v>11807</v>
          </cell>
          <cell r="D16" t="str">
            <v>BHUKYA ASHOK NAYAK</v>
          </cell>
          <cell r="E16" t="str">
            <v xml:space="preserve">BMS Operator </v>
          </cell>
          <cell r="F16" t="str">
            <v>SHIFT</v>
          </cell>
          <cell r="G16" t="str">
            <v>W</v>
          </cell>
          <cell r="H16" t="str">
            <v>L</v>
          </cell>
          <cell r="I16" t="str">
            <v>L</v>
          </cell>
          <cell r="J16" t="str">
            <v>B</v>
          </cell>
          <cell r="K16" t="str">
            <v>G</v>
          </cell>
          <cell r="L16" t="str">
            <v>B</v>
          </cell>
          <cell r="M16" t="str">
            <v>A</v>
          </cell>
          <cell r="N16" t="str">
            <v>W</v>
          </cell>
          <cell r="O16" t="str">
            <v>L</v>
          </cell>
          <cell r="P16" t="str">
            <v>C</v>
          </cell>
          <cell r="Q16" t="str">
            <v>B</v>
          </cell>
          <cell r="R16" t="str">
            <v>G</v>
          </cell>
          <cell r="S16" t="str">
            <v>A</v>
          </cell>
          <cell r="T16" t="str">
            <v>A</v>
          </cell>
          <cell r="U16" t="str">
            <v>W</v>
          </cell>
          <cell r="V16" t="str">
            <v>C</v>
          </cell>
          <cell r="W16" t="str">
            <v>C</v>
          </cell>
          <cell r="X16" t="str">
            <v>B</v>
          </cell>
          <cell r="Y16" t="str">
            <v>G</v>
          </cell>
          <cell r="Z16" t="str">
            <v>A</v>
          </cell>
          <cell r="AA16" t="str">
            <v>A</v>
          </cell>
          <cell r="AB16" t="str">
            <v>W</v>
          </cell>
          <cell r="AC16" t="str">
            <v>C</v>
          </cell>
          <cell r="AD16" t="str">
            <v>C</v>
          </cell>
          <cell r="AE16" t="str">
            <v>B</v>
          </cell>
          <cell r="AF16" t="str">
            <v>G</v>
          </cell>
          <cell r="AG16" t="str">
            <v>A</v>
          </cell>
          <cell r="AH16" t="str">
            <v>A</v>
          </cell>
          <cell r="AI16" t="str">
            <v>W</v>
          </cell>
          <cell r="AJ16" t="str">
            <v>C</v>
          </cell>
          <cell r="AK16" t="str">
            <v>B</v>
          </cell>
          <cell r="AL16">
            <v>3</v>
          </cell>
          <cell r="AM16">
            <v>0</v>
          </cell>
          <cell r="AN16">
            <v>23</v>
          </cell>
          <cell r="AO16">
            <v>5</v>
          </cell>
          <cell r="AP16">
            <v>28</v>
          </cell>
          <cell r="AQ16">
            <v>0</v>
          </cell>
          <cell r="AR16">
            <v>28</v>
          </cell>
        </row>
        <row r="17">
          <cell r="F17" t="str">
            <v>ED</v>
          </cell>
        </row>
        <row r="18">
          <cell r="C18">
            <v>10526</v>
          </cell>
          <cell r="D18" t="str">
            <v>KUKKALA RAMBABU</v>
          </cell>
          <cell r="E18" t="str">
            <v xml:space="preserve">BMS Operator </v>
          </cell>
          <cell r="F18" t="str">
            <v>SHIFT</v>
          </cell>
          <cell r="G18" t="str">
            <v>L</v>
          </cell>
          <cell r="H18" t="str">
            <v>L</v>
          </cell>
          <cell r="I18" t="str">
            <v>L</v>
          </cell>
          <cell r="J18" t="str">
            <v>L</v>
          </cell>
          <cell r="K18" t="str">
            <v>B</v>
          </cell>
          <cell r="L18" t="str">
            <v>A</v>
          </cell>
          <cell r="M18" t="str">
            <v>C</v>
          </cell>
          <cell r="N18" t="str">
            <v>C</v>
          </cell>
          <cell r="O18" t="str">
            <v>C</v>
          </cell>
          <cell r="P18" t="str">
            <v>W</v>
          </cell>
          <cell r="Q18" t="str">
            <v>A</v>
          </cell>
          <cell r="R18" t="str">
            <v>C</v>
          </cell>
          <cell r="S18" t="str">
            <v>B</v>
          </cell>
          <cell r="T18" t="str">
            <v>C</v>
          </cell>
          <cell r="U18" t="str">
            <v>C</v>
          </cell>
          <cell r="V18" t="str">
            <v>B</v>
          </cell>
          <cell r="W18" t="str">
            <v>W</v>
          </cell>
          <cell r="X18" t="str">
            <v>A</v>
          </cell>
          <cell r="Y18" t="str">
            <v>C</v>
          </cell>
          <cell r="Z18" t="str">
            <v>C</v>
          </cell>
          <cell r="AA18" t="str">
            <v>C</v>
          </cell>
          <cell r="AB18" t="str">
            <v>C</v>
          </cell>
          <cell r="AC18" t="str">
            <v>B</v>
          </cell>
          <cell r="AD18" t="str">
            <v>W</v>
          </cell>
          <cell r="AE18" t="str">
            <v>A</v>
          </cell>
          <cell r="AF18" t="str">
            <v>C</v>
          </cell>
          <cell r="AG18" t="str">
            <v>B</v>
          </cell>
          <cell r="AH18" t="str">
            <v>C</v>
          </cell>
          <cell r="AI18" t="str">
            <v>C</v>
          </cell>
          <cell r="AJ18" t="str">
            <v>B</v>
          </cell>
          <cell r="AK18" t="str">
            <v>W</v>
          </cell>
          <cell r="AL18">
            <v>4</v>
          </cell>
          <cell r="AM18">
            <v>0</v>
          </cell>
          <cell r="AN18">
            <v>23</v>
          </cell>
          <cell r="AO18">
            <v>4</v>
          </cell>
          <cell r="AP18">
            <v>27</v>
          </cell>
          <cell r="AQ18">
            <v>0</v>
          </cell>
          <cell r="AR18">
            <v>27</v>
          </cell>
        </row>
        <row r="19">
          <cell r="F19" t="str">
            <v>ED</v>
          </cell>
        </row>
        <row r="20">
          <cell r="C20">
            <v>12128</v>
          </cell>
          <cell r="D20" t="str">
            <v>MANUKONDA KIRAN</v>
          </cell>
          <cell r="E20" t="str">
            <v xml:space="preserve">BMS Operator </v>
          </cell>
          <cell r="F20" t="str">
            <v>SHIFT</v>
          </cell>
          <cell r="G20" t="str">
            <v>NEW JOIN</v>
          </cell>
          <cell r="AH20" t="str">
            <v>G</v>
          </cell>
          <cell r="AI20" t="str">
            <v>G</v>
          </cell>
          <cell r="AJ20" t="str">
            <v>G</v>
          </cell>
          <cell r="AK20" t="str">
            <v>G</v>
          </cell>
          <cell r="AL20">
            <v>0</v>
          </cell>
          <cell r="AM20">
            <v>0</v>
          </cell>
          <cell r="AN20">
            <v>4</v>
          </cell>
          <cell r="AO20">
            <v>0</v>
          </cell>
          <cell r="AP20">
            <v>4</v>
          </cell>
          <cell r="AQ20">
            <v>0</v>
          </cell>
          <cell r="AR20">
            <v>4</v>
          </cell>
        </row>
        <row r="21">
          <cell r="F21" t="str">
            <v>ED</v>
          </cell>
        </row>
        <row r="22">
          <cell r="C22">
            <v>12121</v>
          </cell>
          <cell r="D22" t="str">
            <v>Shaik Mastan</v>
          </cell>
          <cell r="E22" t="str">
            <v xml:space="preserve">BMS Operator </v>
          </cell>
          <cell r="F22" t="str">
            <v>SHIFT</v>
          </cell>
          <cell r="G22" t="str">
            <v>NEW JOIN</v>
          </cell>
          <cell r="AI22" t="str">
            <v>G</v>
          </cell>
          <cell r="AJ22" t="str">
            <v>G</v>
          </cell>
          <cell r="AK22" t="str">
            <v>C</v>
          </cell>
          <cell r="AL22">
            <v>0</v>
          </cell>
          <cell r="AM22">
            <v>0</v>
          </cell>
          <cell r="AN22">
            <v>3</v>
          </cell>
          <cell r="AO22">
            <v>0</v>
          </cell>
          <cell r="AP22">
            <v>3</v>
          </cell>
          <cell r="AQ22">
            <v>0</v>
          </cell>
          <cell r="AR22">
            <v>3</v>
          </cell>
        </row>
        <row r="23">
          <cell r="F23" t="str">
            <v>ED</v>
          </cell>
        </row>
        <row r="24">
          <cell r="C24">
            <v>10313</v>
          </cell>
          <cell r="D24" t="str">
            <v>PALIVELA SURYARAO</v>
          </cell>
          <cell r="E24" t="str">
            <v>Electrician</v>
          </cell>
          <cell r="F24" t="str">
            <v>SHIFT</v>
          </cell>
          <cell r="G24" t="str">
            <v>C</v>
          </cell>
          <cell r="H24" t="str">
            <v>W</v>
          </cell>
          <cell r="I24" t="str">
            <v>B</v>
          </cell>
          <cell r="J24" t="str">
            <v>B</v>
          </cell>
          <cell r="K24" t="str">
            <v>B</v>
          </cell>
          <cell r="L24" t="str">
            <v>C</v>
          </cell>
          <cell r="M24" t="str">
            <v>C</v>
          </cell>
          <cell r="N24" t="str">
            <v>B</v>
          </cell>
          <cell r="O24" t="str">
            <v>W</v>
          </cell>
          <cell r="P24" t="str">
            <v>B</v>
          </cell>
          <cell r="Q24" t="str">
            <v>B</v>
          </cell>
          <cell r="R24" t="str">
            <v>C</v>
          </cell>
          <cell r="S24" t="str">
            <v>C</v>
          </cell>
          <cell r="T24" t="str">
            <v>B</v>
          </cell>
          <cell r="U24" t="str">
            <v>B</v>
          </cell>
          <cell r="V24" t="str">
            <v>W</v>
          </cell>
          <cell r="W24" t="str">
            <v>B</v>
          </cell>
          <cell r="X24" t="str">
            <v>B</v>
          </cell>
          <cell r="Y24" t="str">
            <v>C</v>
          </cell>
          <cell r="Z24" t="str">
            <v>B</v>
          </cell>
          <cell r="AA24" t="str">
            <v>C</v>
          </cell>
          <cell r="AB24" t="str">
            <v>C</v>
          </cell>
          <cell r="AC24" t="str">
            <v>W</v>
          </cell>
          <cell r="AD24" t="str">
            <v>B</v>
          </cell>
          <cell r="AE24" t="str">
            <v>B</v>
          </cell>
          <cell r="AF24" t="str">
            <v>B</v>
          </cell>
          <cell r="AG24" t="str">
            <v>A</v>
          </cell>
          <cell r="AH24" t="str">
            <v>C</v>
          </cell>
          <cell r="AI24" t="str">
            <v>C</v>
          </cell>
          <cell r="AJ24" t="str">
            <v>W</v>
          </cell>
          <cell r="AK24" t="str">
            <v>B</v>
          </cell>
          <cell r="AL24">
            <v>0</v>
          </cell>
          <cell r="AM24">
            <v>0</v>
          </cell>
          <cell r="AN24">
            <v>26</v>
          </cell>
          <cell r="AO24">
            <v>5</v>
          </cell>
          <cell r="AP24">
            <v>31</v>
          </cell>
          <cell r="AQ24">
            <v>0</v>
          </cell>
          <cell r="AR24">
            <v>31</v>
          </cell>
        </row>
        <row r="25">
          <cell r="F25" t="str">
            <v>ED</v>
          </cell>
        </row>
        <row r="26">
          <cell r="C26">
            <v>10939</v>
          </cell>
          <cell r="D26" t="str">
            <v>SETTUM DHARMA TEJA</v>
          </cell>
          <cell r="E26" t="str">
            <v>Electrician</v>
          </cell>
          <cell r="F26" t="str">
            <v>SHIFT</v>
          </cell>
          <cell r="G26" t="str">
            <v>G</v>
          </cell>
          <cell r="H26" t="str">
            <v>A</v>
          </cell>
          <cell r="I26" t="str">
            <v>A</v>
          </cell>
          <cell r="J26" t="str">
            <v>A</v>
          </cell>
          <cell r="K26" t="str">
            <v>W</v>
          </cell>
          <cell r="L26" t="str">
            <v>B</v>
          </cell>
          <cell r="M26" t="str">
            <v>B</v>
          </cell>
          <cell r="N26" t="str">
            <v>A</v>
          </cell>
          <cell r="O26" t="str">
            <v>A</v>
          </cell>
          <cell r="P26" t="str">
            <v>A</v>
          </cell>
          <cell r="Q26" t="str">
            <v>A</v>
          </cell>
          <cell r="R26" t="str">
            <v>W</v>
          </cell>
          <cell r="S26" t="str">
            <v>B</v>
          </cell>
          <cell r="T26" t="str">
            <v>B</v>
          </cell>
          <cell r="U26" t="str">
            <v>A</v>
          </cell>
          <cell r="V26" t="str">
            <v>B</v>
          </cell>
          <cell r="W26" t="str">
            <v>C</v>
          </cell>
          <cell r="X26" t="str">
            <v>C</v>
          </cell>
          <cell r="Y26" t="str">
            <v>W</v>
          </cell>
          <cell r="Z26" t="str">
            <v>B</v>
          </cell>
          <cell r="AA26" t="str">
            <v>B</v>
          </cell>
          <cell r="AB26" t="str">
            <v>A</v>
          </cell>
          <cell r="AC26" t="str">
            <v>A</v>
          </cell>
          <cell r="AD26" t="str">
            <v>A</v>
          </cell>
          <cell r="AE26" t="str">
            <v>L</v>
          </cell>
          <cell r="AF26" t="str">
            <v>L</v>
          </cell>
          <cell r="AG26" t="str">
            <v>L</v>
          </cell>
          <cell r="AH26" t="str">
            <v>L</v>
          </cell>
          <cell r="AI26" t="str">
            <v>L</v>
          </cell>
          <cell r="AJ26" t="str">
            <v>L</v>
          </cell>
          <cell r="AK26" t="str">
            <v>L</v>
          </cell>
          <cell r="AL26">
            <v>7</v>
          </cell>
          <cell r="AM26">
            <v>0</v>
          </cell>
          <cell r="AN26">
            <v>21</v>
          </cell>
          <cell r="AO26">
            <v>3</v>
          </cell>
          <cell r="AP26">
            <v>24</v>
          </cell>
          <cell r="AQ26">
            <v>0</v>
          </cell>
          <cell r="AR26">
            <v>24</v>
          </cell>
        </row>
        <row r="27">
          <cell r="F27" t="str">
            <v>ED</v>
          </cell>
        </row>
        <row r="28">
          <cell r="C28">
            <v>11313</v>
          </cell>
          <cell r="D28" t="str">
            <v>VASA SHIVA KUMARM</v>
          </cell>
          <cell r="E28" t="str">
            <v>Electrician</v>
          </cell>
          <cell r="F28" t="str">
            <v>SHIFT</v>
          </cell>
          <cell r="G28" t="str">
            <v>L</v>
          </cell>
          <cell r="H28" t="str">
            <v>L</v>
          </cell>
          <cell r="I28" t="str">
            <v>B</v>
          </cell>
          <cell r="J28" t="str">
            <v>W</v>
          </cell>
          <cell r="K28" t="str">
            <v>A</v>
          </cell>
          <cell r="L28" t="str">
            <v>A</v>
          </cell>
          <cell r="M28" t="str">
            <v>B</v>
          </cell>
          <cell r="N28" t="str">
            <v>B</v>
          </cell>
          <cell r="O28" t="str">
            <v>B</v>
          </cell>
          <cell r="P28" t="str">
            <v>B</v>
          </cell>
          <cell r="Q28" t="str">
            <v>W</v>
          </cell>
          <cell r="R28" t="str">
            <v>A</v>
          </cell>
          <cell r="S28" t="str">
            <v>B</v>
          </cell>
          <cell r="T28" t="str">
            <v>A</v>
          </cell>
          <cell r="U28" t="str">
            <v>B</v>
          </cell>
          <cell r="V28" t="str">
            <v>A</v>
          </cell>
          <cell r="W28" t="str">
            <v>A</v>
          </cell>
          <cell r="X28" t="str">
            <v>W</v>
          </cell>
          <cell r="Y28" t="str">
            <v>L</v>
          </cell>
          <cell r="Z28" t="str">
            <v>L</v>
          </cell>
          <cell r="AA28" t="str">
            <v>B</v>
          </cell>
          <cell r="AB28" t="str">
            <v>B</v>
          </cell>
          <cell r="AC28" t="str">
            <v>C</v>
          </cell>
          <cell r="AD28" t="str">
            <v>C</v>
          </cell>
          <cell r="AE28" t="str">
            <v>W</v>
          </cell>
          <cell r="AF28" t="str">
            <v>A</v>
          </cell>
          <cell r="AG28" t="str">
            <v>B</v>
          </cell>
          <cell r="AH28" t="str">
            <v>A</v>
          </cell>
          <cell r="AI28" t="str">
            <v>B</v>
          </cell>
          <cell r="AJ28" t="str">
            <v>C</v>
          </cell>
          <cell r="AK28" t="str">
            <v>B</v>
          </cell>
          <cell r="AL28">
            <v>4</v>
          </cell>
          <cell r="AM28">
            <v>0</v>
          </cell>
          <cell r="AN28">
            <v>23</v>
          </cell>
          <cell r="AO28">
            <v>4</v>
          </cell>
          <cell r="AP28">
            <v>27</v>
          </cell>
          <cell r="AQ28">
            <v>0</v>
          </cell>
          <cell r="AR28">
            <v>27</v>
          </cell>
        </row>
        <row r="29">
          <cell r="F29" t="str">
            <v>ED</v>
          </cell>
        </row>
        <row r="30">
          <cell r="C30">
            <v>11256</v>
          </cell>
          <cell r="D30" t="str">
            <v>S.Harish</v>
          </cell>
          <cell r="E30" t="str">
            <v>Electrician</v>
          </cell>
          <cell r="F30" t="str">
            <v>SHIFT</v>
          </cell>
          <cell r="G30" t="str">
            <v>W</v>
          </cell>
          <cell r="H30" t="str">
            <v>C</v>
          </cell>
          <cell r="I30" t="str">
            <v>C</v>
          </cell>
          <cell r="J30" t="str">
            <v>C</v>
          </cell>
          <cell r="K30" t="str">
            <v>C</v>
          </cell>
          <cell r="L30" t="str">
            <v>B</v>
          </cell>
          <cell r="M30" t="str">
            <v>A</v>
          </cell>
          <cell r="N30" t="str">
            <v>W</v>
          </cell>
          <cell r="O30" t="str">
            <v>B</v>
          </cell>
          <cell r="P30" t="str">
            <v>B</v>
          </cell>
          <cell r="Q30" t="str">
            <v>C</v>
          </cell>
          <cell r="R30" t="str">
            <v>B</v>
          </cell>
          <cell r="S30" t="str">
            <v>A</v>
          </cell>
          <cell r="T30" t="str">
            <v>A</v>
          </cell>
          <cell r="U30" t="str">
            <v>W</v>
          </cell>
          <cell r="V30" t="str">
            <v>C</v>
          </cell>
          <cell r="W30" t="str">
            <v>B</v>
          </cell>
          <cell r="X30" t="str">
            <v>A</v>
          </cell>
          <cell r="Y30" t="str">
            <v>B</v>
          </cell>
          <cell r="Z30" t="str">
            <v>A</v>
          </cell>
          <cell r="AA30" t="str">
            <v>A</v>
          </cell>
          <cell r="AB30" t="str">
            <v>W</v>
          </cell>
          <cell r="AC30" t="str">
            <v>B</v>
          </cell>
          <cell r="AD30" t="str">
            <v>B</v>
          </cell>
          <cell r="AE30" t="str">
            <v>A</v>
          </cell>
          <cell r="AF30" t="str">
            <v>C</v>
          </cell>
          <cell r="AG30" t="str">
            <v>C</v>
          </cell>
          <cell r="AH30" t="str">
            <v>B</v>
          </cell>
          <cell r="AI30" t="str">
            <v>W</v>
          </cell>
          <cell r="AJ30" t="str">
            <v>B</v>
          </cell>
          <cell r="AK30" t="str">
            <v>A</v>
          </cell>
          <cell r="AL30">
            <v>0</v>
          </cell>
          <cell r="AM30">
            <v>0</v>
          </cell>
          <cell r="AN30">
            <v>26</v>
          </cell>
          <cell r="AO30">
            <v>5</v>
          </cell>
          <cell r="AP30">
            <v>31</v>
          </cell>
          <cell r="AQ30">
            <v>0</v>
          </cell>
          <cell r="AR30">
            <v>31</v>
          </cell>
        </row>
        <row r="31">
          <cell r="F31" t="str">
            <v>ED</v>
          </cell>
        </row>
        <row r="32">
          <cell r="C32">
            <v>11477</v>
          </cell>
          <cell r="D32" t="str">
            <v>B RAMAKRISHNA KISHORE</v>
          </cell>
          <cell r="E32" t="str">
            <v>Electrician</v>
          </cell>
          <cell r="F32" t="str">
            <v>SHIFT</v>
          </cell>
          <cell r="G32" t="str">
            <v>A</v>
          </cell>
          <cell r="H32" t="str">
            <v>B</v>
          </cell>
          <cell r="I32" t="str">
            <v>B</v>
          </cell>
          <cell r="J32" t="str">
            <v>G</v>
          </cell>
          <cell r="K32" t="str">
            <v>A</v>
          </cell>
          <cell r="L32" t="str">
            <v>C</v>
          </cell>
          <cell r="M32" t="str">
            <v>W</v>
          </cell>
          <cell r="N32" t="str">
            <v>G</v>
          </cell>
          <cell r="O32" t="str">
            <v>C</v>
          </cell>
          <cell r="P32" t="str">
            <v>C</v>
          </cell>
          <cell r="Q32" t="str">
            <v>B</v>
          </cell>
          <cell r="R32" t="str">
            <v>C</v>
          </cell>
          <cell r="S32" t="str">
            <v>C</v>
          </cell>
          <cell r="T32" t="str">
            <v>W</v>
          </cell>
          <cell r="U32" t="str">
            <v>G</v>
          </cell>
          <cell r="V32" t="str">
            <v>G</v>
          </cell>
          <cell r="W32" t="str">
            <v>B</v>
          </cell>
          <cell r="X32" t="str">
            <v>G</v>
          </cell>
          <cell r="Y32" t="str">
            <v>G</v>
          </cell>
          <cell r="Z32" t="str">
            <v>C</v>
          </cell>
          <cell r="AA32" t="str">
            <v>W</v>
          </cell>
          <cell r="AB32" t="str">
            <v>G</v>
          </cell>
          <cell r="AC32" t="str">
            <v>B</v>
          </cell>
          <cell r="AD32" t="str">
            <v>G</v>
          </cell>
          <cell r="AE32" t="str">
            <v>G</v>
          </cell>
          <cell r="AF32" t="str">
            <v>G</v>
          </cell>
          <cell r="AG32" t="str">
            <v>C</v>
          </cell>
          <cell r="AH32" t="str">
            <v>W</v>
          </cell>
          <cell r="AI32" t="str">
            <v>C</v>
          </cell>
          <cell r="AJ32" t="str">
            <v>B</v>
          </cell>
          <cell r="AK32" t="str">
            <v>G</v>
          </cell>
          <cell r="AL32">
            <v>0</v>
          </cell>
          <cell r="AM32">
            <v>0</v>
          </cell>
          <cell r="AN32">
            <v>27</v>
          </cell>
          <cell r="AO32">
            <v>4</v>
          </cell>
          <cell r="AP32">
            <v>31</v>
          </cell>
          <cell r="AQ32">
            <v>0</v>
          </cell>
          <cell r="AR32">
            <v>31</v>
          </cell>
        </row>
        <row r="33">
          <cell r="F33" t="str">
            <v>ED</v>
          </cell>
        </row>
        <row r="34">
          <cell r="C34">
            <v>11663</v>
          </cell>
          <cell r="D34" t="str">
            <v>AINAPURAPU DURGA PRASAD</v>
          </cell>
          <cell r="E34" t="str">
            <v>Electrician</v>
          </cell>
          <cell r="F34" t="str">
            <v>SHIFT</v>
          </cell>
          <cell r="G34" t="str">
            <v>L</v>
          </cell>
          <cell r="H34" t="str">
            <v>L</v>
          </cell>
          <cell r="I34" t="str">
            <v>L</v>
          </cell>
          <cell r="J34" t="str">
            <v>L</v>
          </cell>
          <cell r="K34" t="str">
            <v>L</v>
          </cell>
          <cell r="L34" t="str">
            <v>L</v>
          </cell>
          <cell r="M34" t="str">
            <v>A</v>
          </cell>
          <cell r="N34" t="str">
            <v>C</v>
          </cell>
          <cell r="O34" t="str">
            <v>C</v>
          </cell>
          <cell r="P34" t="str">
            <v>C</v>
          </cell>
          <cell r="Q34" t="str">
            <v>A</v>
          </cell>
          <cell r="R34" t="str">
            <v>A</v>
          </cell>
          <cell r="S34" t="str">
            <v>W</v>
          </cell>
          <cell r="T34" t="str">
            <v>C</v>
          </cell>
          <cell r="U34" t="str">
            <v>C</v>
          </cell>
          <cell r="V34" t="str">
            <v>A</v>
          </cell>
          <cell r="W34" t="str">
            <v>A</v>
          </cell>
          <cell r="X34" t="str">
            <v>B</v>
          </cell>
          <cell r="Y34" t="str">
            <v>A</v>
          </cell>
          <cell r="Z34" t="str">
            <v>W</v>
          </cell>
          <cell r="AA34" t="str">
            <v>A</v>
          </cell>
          <cell r="AB34" t="str">
            <v>A</v>
          </cell>
          <cell r="AC34" t="str">
            <v>L</v>
          </cell>
          <cell r="AD34" t="str">
            <v>G</v>
          </cell>
          <cell r="AE34" t="str">
            <v>C</v>
          </cell>
          <cell r="AF34" t="str">
            <v>L</v>
          </cell>
          <cell r="AG34" t="str">
            <v>W</v>
          </cell>
          <cell r="AH34" t="str">
            <v>A</v>
          </cell>
          <cell r="AI34" t="str">
            <v>A</v>
          </cell>
          <cell r="AJ34" t="str">
            <v>A</v>
          </cell>
          <cell r="AK34" t="str">
            <v>C</v>
          </cell>
          <cell r="AL34">
            <v>8</v>
          </cell>
          <cell r="AM34">
            <v>0</v>
          </cell>
          <cell r="AN34">
            <v>20</v>
          </cell>
          <cell r="AO34">
            <v>3</v>
          </cell>
          <cell r="AP34">
            <v>23</v>
          </cell>
          <cell r="AQ34">
            <v>0</v>
          </cell>
          <cell r="AR34">
            <v>23</v>
          </cell>
        </row>
        <row r="35">
          <cell r="F35" t="str">
            <v>ED</v>
          </cell>
        </row>
        <row r="36">
          <cell r="C36">
            <v>5</v>
          </cell>
          <cell r="D36" t="str">
            <v>N Kranthi Kumar</v>
          </cell>
          <cell r="E36" t="str">
            <v>Electrician</v>
          </cell>
          <cell r="F36" t="str">
            <v>SHIFT</v>
          </cell>
          <cell r="G36" t="str">
            <v>B</v>
          </cell>
          <cell r="H36" t="str">
            <v>G</v>
          </cell>
          <cell r="I36" t="str">
            <v>A</v>
          </cell>
          <cell r="J36" t="str">
            <v>C</v>
          </cell>
          <cell r="K36" t="str">
            <v>W</v>
          </cell>
          <cell r="L36" t="str">
            <v>A</v>
          </cell>
          <cell r="M36" t="str">
            <v>G</v>
          </cell>
          <cell r="N36" t="str">
            <v>C</v>
          </cell>
          <cell r="O36" t="str">
            <v>C</v>
          </cell>
          <cell r="P36" t="str">
            <v>L</v>
          </cell>
          <cell r="Q36" t="str">
            <v>L</v>
          </cell>
          <cell r="R36" t="str">
            <v>L</v>
          </cell>
          <cell r="S36" t="str">
            <v>L</v>
          </cell>
          <cell r="T36" t="str">
            <v>L</v>
          </cell>
          <cell r="U36" t="str">
            <v>L</v>
          </cell>
          <cell r="V36" t="str">
            <v>L</v>
          </cell>
          <cell r="W36" t="str">
            <v>L</v>
          </cell>
          <cell r="X36" t="str">
            <v>C</v>
          </cell>
          <cell r="Y36" t="str">
            <v>L</v>
          </cell>
          <cell r="Z36" t="str">
            <v>LEAVE</v>
          </cell>
          <cell r="AL36">
            <v>9</v>
          </cell>
          <cell r="AM36">
            <v>0</v>
          </cell>
          <cell r="AN36">
            <v>9</v>
          </cell>
          <cell r="AO36">
            <v>1</v>
          </cell>
          <cell r="AP36">
            <v>10</v>
          </cell>
          <cell r="AQ36">
            <v>0</v>
          </cell>
          <cell r="AR36">
            <v>10</v>
          </cell>
        </row>
        <row r="37">
          <cell r="F37" t="str">
            <v>ED</v>
          </cell>
          <cell r="U37" t="str">
            <v xml:space="preserve"> </v>
          </cell>
        </row>
        <row r="38">
          <cell r="C38">
            <v>10717</v>
          </cell>
          <cell r="D38" t="str">
            <v>VASA HEMANTH</v>
          </cell>
          <cell r="E38" t="str">
            <v>DG Operator</v>
          </cell>
          <cell r="F38" t="str">
            <v>SHIFT</v>
          </cell>
          <cell r="G38" t="str">
            <v>G</v>
          </cell>
          <cell r="H38" t="str">
            <v>B</v>
          </cell>
          <cell r="I38" t="str">
            <v>C</v>
          </cell>
          <cell r="J38" t="str">
            <v>B</v>
          </cell>
          <cell r="K38" t="str">
            <v>A</v>
          </cell>
          <cell r="L38" t="str">
            <v>A</v>
          </cell>
          <cell r="M38" t="str">
            <v>W</v>
          </cell>
          <cell r="N38" t="str">
            <v>L</v>
          </cell>
          <cell r="O38" t="str">
            <v>L</v>
          </cell>
          <cell r="P38" t="str">
            <v>L</v>
          </cell>
          <cell r="Q38" t="str">
            <v>L</v>
          </cell>
          <cell r="R38" t="str">
            <v>L</v>
          </cell>
          <cell r="S38" t="str">
            <v>L</v>
          </cell>
          <cell r="T38" t="str">
            <v>L</v>
          </cell>
          <cell r="U38" t="str">
            <v>L</v>
          </cell>
          <cell r="V38" t="str">
            <v>C</v>
          </cell>
          <cell r="W38" t="str">
            <v>C</v>
          </cell>
          <cell r="X38" t="str">
            <v>B</v>
          </cell>
          <cell r="Y38" t="str">
            <v>B</v>
          </cell>
          <cell r="Z38" t="str">
            <v>B</v>
          </cell>
          <cell r="AA38" t="str">
            <v>W</v>
          </cell>
          <cell r="AB38" t="str">
            <v>G</v>
          </cell>
          <cell r="AC38" t="str">
            <v>B</v>
          </cell>
          <cell r="AD38" t="str">
            <v>C</v>
          </cell>
          <cell r="AE38" t="str">
            <v>B</v>
          </cell>
          <cell r="AF38" t="str">
            <v>B</v>
          </cell>
          <cell r="AG38" t="str">
            <v>B</v>
          </cell>
          <cell r="AH38" t="str">
            <v>W</v>
          </cell>
          <cell r="AI38" t="str">
            <v>C</v>
          </cell>
          <cell r="AJ38" t="str">
            <v>C</v>
          </cell>
          <cell r="AK38" t="str">
            <v>B</v>
          </cell>
          <cell r="AL38">
            <v>8</v>
          </cell>
          <cell r="AM38">
            <v>0</v>
          </cell>
          <cell r="AN38">
            <v>20</v>
          </cell>
          <cell r="AO38">
            <v>3</v>
          </cell>
          <cell r="AP38">
            <v>23</v>
          </cell>
          <cell r="AQ38">
            <v>0</v>
          </cell>
          <cell r="AR38">
            <v>23</v>
          </cell>
        </row>
        <row r="39">
          <cell r="F39" t="str">
            <v>ED</v>
          </cell>
        </row>
        <row r="40">
          <cell r="C40">
            <v>11350</v>
          </cell>
          <cell r="D40" t="str">
            <v>AMPOLU BALAKRISHNA</v>
          </cell>
          <cell r="E40" t="str">
            <v>DG Operator</v>
          </cell>
          <cell r="F40" t="str">
            <v>SHIFT</v>
          </cell>
          <cell r="G40" t="str">
            <v>A</v>
          </cell>
          <cell r="H40" t="str">
            <v>A</v>
          </cell>
          <cell r="I40" t="str">
            <v>W</v>
          </cell>
          <cell r="J40" t="str">
            <v>L</v>
          </cell>
          <cell r="K40" t="str">
            <v>L</v>
          </cell>
          <cell r="L40" t="str">
            <v>L</v>
          </cell>
          <cell r="M40" t="str">
            <v>B</v>
          </cell>
          <cell r="N40" t="str">
            <v>A</v>
          </cell>
          <cell r="O40" t="str">
            <v>A</v>
          </cell>
          <cell r="P40" t="str">
            <v>W</v>
          </cell>
          <cell r="Q40" t="str">
            <v>C</v>
          </cell>
          <cell r="R40" t="str">
            <v>B</v>
          </cell>
          <cell r="S40" t="str">
            <v>C</v>
          </cell>
          <cell r="T40" t="str">
            <v>B</v>
          </cell>
          <cell r="U40" t="str">
            <v>A</v>
          </cell>
          <cell r="V40" t="str">
            <v>B</v>
          </cell>
          <cell r="W40" t="str">
            <v>W</v>
          </cell>
          <cell r="X40" t="str">
            <v>C</v>
          </cell>
          <cell r="Y40" t="str">
            <v>C</v>
          </cell>
          <cell r="Z40" t="str">
            <v>C</v>
          </cell>
          <cell r="AA40" t="str">
            <v>B</v>
          </cell>
          <cell r="AB40" t="str">
            <v>A</v>
          </cell>
          <cell r="AC40" t="str">
            <v>L</v>
          </cell>
          <cell r="AD40" t="str">
            <v>W</v>
          </cell>
          <cell r="AE40" t="str">
            <v>C</v>
          </cell>
          <cell r="AF40" t="str">
            <v>C</v>
          </cell>
          <cell r="AG40" t="str">
            <v>C</v>
          </cell>
          <cell r="AH40" t="str">
            <v>B</v>
          </cell>
          <cell r="AI40" t="str">
            <v>A</v>
          </cell>
          <cell r="AJ40" t="str">
            <v>A</v>
          </cell>
          <cell r="AK40" t="str">
            <v>W</v>
          </cell>
          <cell r="AL40">
            <v>4</v>
          </cell>
          <cell r="AM40">
            <v>0</v>
          </cell>
          <cell r="AN40">
            <v>22</v>
          </cell>
          <cell r="AO40">
            <v>5</v>
          </cell>
          <cell r="AP40">
            <v>27</v>
          </cell>
          <cell r="AQ40">
            <v>0</v>
          </cell>
          <cell r="AR40">
            <v>27</v>
          </cell>
        </row>
        <row r="41">
          <cell r="F41" t="str">
            <v>ED</v>
          </cell>
        </row>
        <row r="42">
          <cell r="C42">
            <v>10010</v>
          </cell>
          <cell r="D42" t="str">
            <v>YADAGIRI SAIDAKARA RAO</v>
          </cell>
          <cell r="E42" t="str">
            <v>DG Operator</v>
          </cell>
          <cell r="F42" t="str">
            <v>SHIFT</v>
          </cell>
          <cell r="G42" t="str">
            <v>C</v>
          </cell>
          <cell r="H42" t="str">
            <v>W</v>
          </cell>
          <cell r="I42" t="str">
            <v>B</v>
          </cell>
          <cell r="J42" t="str">
            <v>C</v>
          </cell>
          <cell r="K42" t="str">
            <v>C</v>
          </cell>
          <cell r="L42" t="str">
            <v>B</v>
          </cell>
          <cell r="M42" t="str">
            <v>A</v>
          </cell>
          <cell r="N42" t="str">
            <v>C</v>
          </cell>
          <cell r="O42" t="str">
            <v>W</v>
          </cell>
          <cell r="P42" t="str">
            <v>B</v>
          </cell>
          <cell r="Q42" t="str">
            <v>B</v>
          </cell>
          <cell r="R42" t="str">
            <v>A</v>
          </cell>
          <cell r="S42" t="str">
            <v>A</v>
          </cell>
          <cell r="T42" t="str">
            <v>C</v>
          </cell>
          <cell r="U42" t="str">
            <v>C</v>
          </cell>
          <cell r="V42" t="str">
            <v>W</v>
          </cell>
          <cell r="W42" t="str">
            <v>B</v>
          </cell>
          <cell r="X42" t="str">
            <v>G</v>
          </cell>
          <cell r="Y42" t="str">
            <v>A</v>
          </cell>
          <cell r="Z42" t="str">
            <v>A</v>
          </cell>
          <cell r="AA42" t="str">
            <v>A</v>
          </cell>
          <cell r="AB42" t="str">
            <v>C</v>
          </cell>
          <cell r="AC42" t="str">
            <v>W</v>
          </cell>
          <cell r="AD42" t="str">
            <v>B</v>
          </cell>
          <cell r="AE42" t="str">
            <v>G</v>
          </cell>
          <cell r="AF42" t="str">
            <v>A</v>
          </cell>
          <cell r="AG42" t="str">
            <v>A</v>
          </cell>
          <cell r="AH42" t="str">
            <v>C</v>
          </cell>
          <cell r="AI42" t="str">
            <v>C</v>
          </cell>
          <cell r="AJ42" t="str">
            <v>W</v>
          </cell>
          <cell r="AK42" t="str">
            <v>C</v>
          </cell>
          <cell r="AL42">
            <v>0</v>
          </cell>
          <cell r="AM42">
            <v>0</v>
          </cell>
          <cell r="AN42">
            <v>26</v>
          </cell>
          <cell r="AO42">
            <v>5</v>
          </cell>
          <cell r="AP42">
            <v>31</v>
          </cell>
          <cell r="AQ42">
            <v>0</v>
          </cell>
          <cell r="AR42">
            <v>31</v>
          </cell>
        </row>
        <row r="43">
          <cell r="F43" t="str">
            <v>ED</v>
          </cell>
        </row>
        <row r="44">
          <cell r="C44">
            <v>11480</v>
          </cell>
          <cell r="D44" t="str">
            <v>J.Mahindar</v>
          </cell>
          <cell r="E44" t="str">
            <v>DG Operator</v>
          </cell>
          <cell r="F44" t="str">
            <v>SHIFT</v>
          </cell>
          <cell r="G44" t="str">
            <v>B</v>
          </cell>
          <cell r="H44" t="str">
            <v>C</v>
          </cell>
          <cell r="I44" t="str">
            <v>A</v>
          </cell>
          <cell r="J44" t="str">
            <v>A</v>
          </cell>
          <cell r="K44" t="str">
            <v>W</v>
          </cell>
          <cell r="L44" t="str">
            <v>C</v>
          </cell>
          <cell r="M44" t="str">
            <v>C</v>
          </cell>
          <cell r="N44" t="str">
            <v>B</v>
          </cell>
          <cell r="O44" t="str">
            <v>B</v>
          </cell>
          <cell r="P44" t="str">
            <v>A</v>
          </cell>
          <cell r="Q44" t="str">
            <v>A</v>
          </cell>
          <cell r="R44" t="str">
            <v>W</v>
          </cell>
          <cell r="S44" t="str">
            <v>B</v>
          </cell>
          <cell r="T44" t="str">
            <v>A</v>
          </cell>
          <cell r="U44" t="str">
            <v>B</v>
          </cell>
          <cell r="V44" t="str">
            <v>A</v>
          </cell>
          <cell r="W44" t="str">
            <v>A</v>
          </cell>
          <cell r="X44" t="str">
            <v>A</v>
          </cell>
          <cell r="Y44" t="str">
            <v>W</v>
          </cell>
          <cell r="Z44" t="str">
            <v>L</v>
          </cell>
          <cell r="AA44" t="str">
            <v>C</v>
          </cell>
          <cell r="AB44" t="str">
            <v>B</v>
          </cell>
          <cell r="AC44" t="str">
            <v>A</v>
          </cell>
          <cell r="AD44" t="str">
            <v>A</v>
          </cell>
          <cell r="AE44" t="str">
            <v>A</v>
          </cell>
          <cell r="AF44" t="str">
            <v>W</v>
          </cell>
          <cell r="AG44" t="str">
            <v>G</v>
          </cell>
          <cell r="AH44" t="str">
            <v>A</v>
          </cell>
          <cell r="AI44" t="str">
            <v>B</v>
          </cell>
          <cell r="AJ44" t="str">
            <v>B</v>
          </cell>
          <cell r="AK44" t="str">
            <v>A</v>
          </cell>
          <cell r="AL44">
            <v>1</v>
          </cell>
          <cell r="AM44">
            <v>0</v>
          </cell>
          <cell r="AN44">
            <v>26</v>
          </cell>
          <cell r="AO44">
            <v>4</v>
          </cell>
          <cell r="AP44">
            <v>30</v>
          </cell>
          <cell r="AQ44">
            <v>0</v>
          </cell>
          <cell r="AR44">
            <v>30</v>
          </cell>
        </row>
        <row r="45">
          <cell r="F45" t="str">
            <v>ED</v>
          </cell>
        </row>
        <row r="46">
          <cell r="C46">
            <v>10048</v>
          </cell>
          <cell r="D46" t="str">
            <v>MOHD LAYEEQ</v>
          </cell>
          <cell r="E46" t="str">
            <v>Plumber</v>
          </cell>
          <cell r="F46" t="str">
            <v>SHIFT</v>
          </cell>
          <cell r="G46" t="str">
            <v>A</v>
          </cell>
          <cell r="H46" t="str">
            <v>A</v>
          </cell>
          <cell r="I46" t="str">
            <v>W</v>
          </cell>
          <cell r="J46" t="str">
            <v>A</v>
          </cell>
          <cell r="K46" t="str">
            <v>A</v>
          </cell>
          <cell r="L46" t="str">
            <v>A</v>
          </cell>
          <cell r="M46" t="str">
            <v>A</v>
          </cell>
          <cell r="N46" t="str">
            <v>A</v>
          </cell>
          <cell r="O46" t="str">
            <v>A</v>
          </cell>
          <cell r="P46" t="str">
            <v>W</v>
          </cell>
          <cell r="Q46" t="str">
            <v>A</v>
          </cell>
          <cell r="R46" t="str">
            <v>A</v>
          </cell>
          <cell r="S46" t="str">
            <v>A</v>
          </cell>
          <cell r="T46" t="str">
            <v>A</v>
          </cell>
          <cell r="U46" t="str">
            <v>A</v>
          </cell>
          <cell r="V46" t="str">
            <v>A</v>
          </cell>
          <cell r="W46" t="str">
            <v>W</v>
          </cell>
          <cell r="X46" t="str">
            <v>L</v>
          </cell>
          <cell r="Y46" t="str">
            <v>A</v>
          </cell>
          <cell r="Z46" t="str">
            <v>A</v>
          </cell>
          <cell r="AA46" t="str">
            <v>A</v>
          </cell>
          <cell r="AB46" t="str">
            <v>A</v>
          </cell>
          <cell r="AC46" t="str">
            <v>A</v>
          </cell>
          <cell r="AD46" t="str">
            <v>W</v>
          </cell>
          <cell r="AE46" t="str">
            <v>A</v>
          </cell>
          <cell r="AF46" t="str">
            <v>A</v>
          </cell>
          <cell r="AG46" t="str">
            <v>A</v>
          </cell>
          <cell r="AH46" t="str">
            <v>A</v>
          </cell>
          <cell r="AI46" t="str">
            <v>L</v>
          </cell>
          <cell r="AJ46" t="str">
            <v>A</v>
          </cell>
          <cell r="AK46" t="str">
            <v>W</v>
          </cell>
          <cell r="AL46">
            <v>2</v>
          </cell>
          <cell r="AM46">
            <v>0</v>
          </cell>
          <cell r="AN46">
            <v>24</v>
          </cell>
          <cell r="AO46">
            <v>5</v>
          </cell>
          <cell r="AP46">
            <v>29</v>
          </cell>
          <cell r="AQ46">
            <v>0</v>
          </cell>
          <cell r="AR46">
            <v>29</v>
          </cell>
        </row>
        <row r="47">
          <cell r="F47" t="str">
            <v>ED</v>
          </cell>
        </row>
        <row r="48">
          <cell r="C48">
            <v>11920</v>
          </cell>
          <cell r="D48" t="str">
            <v>LAXMIDHAR ROUT</v>
          </cell>
          <cell r="E48" t="str">
            <v>Plumber</v>
          </cell>
          <cell r="F48" t="str">
            <v>SHIFT</v>
          </cell>
          <cell r="G48" t="str">
            <v>C</v>
          </cell>
          <cell r="H48" t="str">
            <v>L</v>
          </cell>
          <cell r="I48" t="str">
            <v>A</v>
          </cell>
          <cell r="J48" t="str">
            <v>B</v>
          </cell>
          <cell r="K48" t="str">
            <v>C</v>
          </cell>
          <cell r="L48" t="str">
            <v>W</v>
          </cell>
          <cell r="M48" t="str">
            <v>B</v>
          </cell>
          <cell r="N48" t="str">
            <v>C</v>
          </cell>
          <cell r="O48" t="str">
            <v>B</v>
          </cell>
          <cell r="P48" t="str">
            <v>A</v>
          </cell>
          <cell r="Q48" t="str">
            <v>C</v>
          </cell>
          <cell r="R48" t="str">
            <v>L</v>
          </cell>
          <cell r="S48" t="str">
            <v>W</v>
          </cell>
          <cell r="T48" t="str">
            <v>C</v>
          </cell>
          <cell r="U48" t="str">
            <v>C</v>
          </cell>
          <cell r="V48" t="str">
            <v>B</v>
          </cell>
          <cell r="W48" t="str">
            <v>A</v>
          </cell>
          <cell r="X48" t="str">
            <v>C</v>
          </cell>
          <cell r="Y48" t="str">
            <v>C</v>
          </cell>
          <cell r="Z48" t="str">
            <v>W</v>
          </cell>
          <cell r="AA48" t="str">
            <v>B</v>
          </cell>
          <cell r="AB48" t="str">
            <v>C</v>
          </cell>
          <cell r="AC48" t="str">
            <v>B</v>
          </cell>
          <cell r="AD48" t="str">
            <v>B</v>
          </cell>
          <cell r="AE48" t="str">
            <v>B</v>
          </cell>
          <cell r="AF48" t="str">
            <v>C</v>
          </cell>
          <cell r="AG48" t="str">
            <v>W</v>
          </cell>
          <cell r="AH48" t="str">
            <v>B</v>
          </cell>
          <cell r="AI48" t="str">
            <v>L</v>
          </cell>
          <cell r="AJ48" t="str">
            <v>C</v>
          </cell>
          <cell r="AK48" t="str">
            <v>B</v>
          </cell>
          <cell r="AL48">
            <v>3</v>
          </cell>
          <cell r="AM48">
            <v>0</v>
          </cell>
          <cell r="AN48">
            <v>24</v>
          </cell>
          <cell r="AO48">
            <v>4</v>
          </cell>
          <cell r="AP48">
            <v>28</v>
          </cell>
          <cell r="AQ48">
            <v>0</v>
          </cell>
          <cell r="AR48">
            <v>28</v>
          </cell>
        </row>
        <row r="49">
          <cell r="F49" t="str">
            <v>ED</v>
          </cell>
        </row>
        <row r="50">
          <cell r="C50">
            <v>11812</v>
          </cell>
          <cell r="D50" t="str">
            <v>SHEKAR MALIK</v>
          </cell>
          <cell r="E50" t="str">
            <v>Plumber</v>
          </cell>
          <cell r="F50" t="str">
            <v>SHIFT</v>
          </cell>
          <cell r="G50" t="str">
            <v>A</v>
          </cell>
          <cell r="H50" t="str">
            <v>A</v>
          </cell>
          <cell r="I50" t="str">
            <v>C</v>
          </cell>
          <cell r="J50" t="str">
            <v>C</v>
          </cell>
          <cell r="K50" t="str">
            <v>W</v>
          </cell>
          <cell r="L50" t="str">
            <v>B</v>
          </cell>
          <cell r="M50" t="str">
            <v>B</v>
          </cell>
          <cell r="N50" t="str">
            <v>A</v>
          </cell>
          <cell r="O50" t="str">
            <v>A</v>
          </cell>
          <cell r="P50" t="str">
            <v>C</v>
          </cell>
          <cell r="Q50" t="str">
            <v>B</v>
          </cell>
          <cell r="R50" t="str">
            <v>W</v>
          </cell>
          <cell r="S50" t="str">
            <v>A</v>
          </cell>
          <cell r="T50" t="str">
            <v>B</v>
          </cell>
          <cell r="U50" t="str">
            <v>A</v>
          </cell>
          <cell r="V50" t="str">
            <v>A</v>
          </cell>
          <cell r="W50" t="str">
            <v>C</v>
          </cell>
          <cell r="X50" t="str">
            <v>C</v>
          </cell>
          <cell r="Y50" t="str">
            <v>W</v>
          </cell>
          <cell r="Z50" t="str">
            <v>C</v>
          </cell>
          <cell r="AA50" t="str">
            <v>C</v>
          </cell>
          <cell r="AB50" t="str">
            <v>B</v>
          </cell>
          <cell r="AC50" t="str">
            <v>A</v>
          </cell>
          <cell r="AD50" t="str">
            <v>C</v>
          </cell>
          <cell r="AE50" t="str">
            <v>C</v>
          </cell>
          <cell r="AF50" t="str">
            <v>W</v>
          </cell>
          <cell r="AG50" t="str">
            <v>C</v>
          </cell>
          <cell r="AH50" t="str">
            <v>B</v>
          </cell>
          <cell r="AI50" t="str">
            <v>A</v>
          </cell>
          <cell r="AJ50" t="str">
            <v>A</v>
          </cell>
          <cell r="AK50" t="str">
            <v>C</v>
          </cell>
          <cell r="AL50">
            <v>0</v>
          </cell>
          <cell r="AM50">
            <v>0</v>
          </cell>
          <cell r="AN50">
            <v>27</v>
          </cell>
          <cell r="AO50">
            <v>4</v>
          </cell>
          <cell r="AP50">
            <v>31</v>
          </cell>
          <cell r="AQ50">
            <v>0</v>
          </cell>
          <cell r="AR50">
            <v>31</v>
          </cell>
        </row>
        <row r="51">
          <cell r="F51" t="str">
            <v>ED</v>
          </cell>
        </row>
        <row r="52">
          <cell r="C52">
            <v>11346</v>
          </cell>
          <cell r="D52" t="str">
            <v>M.ALOM</v>
          </cell>
          <cell r="E52" t="str">
            <v>PAINTER</v>
          </cell>
          <cell r="F52" t="str">
            <v>SHIFT</v>
          </cell>
          <cell r="G52" t="str">
            <v>G</v>
          </cell>
          <cell r="H52" t="str">
            <v>G</v>
          </cell>
          <cell r="I52" t="str">
            <v>W</v>
          </cell>
          <cell r="J52" t="str">
            <v>G</v>
          </cell>
          <cell r="K52" t="str">
            <v>G</v>
          </cell>
          <cell r="L52" t="str">
            <v>G</v>
          </cell>
          <cell r="M52" t="str">
            <v>G</v>
          </cell>
          <cell r="N52" t="str">
            <v>L</v>
          </cell>
          <cell r="O52" t="str">
            <v>G</v>
          </cell>
          <cell r="P52" t="str">
            <v>W</v>
          </cell>
          <cell r="Q52" t="str">
            <v>G</v>
          </cell>
          <cell r="R52" t="str">
            <v>G</v>
          </cell>
          <cell r="S52" t="str">
            <v>G</v>
          </cell>
          <cell r="T52" t="str">
            <v>G</v>
          </cell>
          <cell r="U52" t="str">
            <v>G</v>
          </cell>
          <cell r="V52" t="str">
            <v>G</v>
          </cell>
          <cell r="W52" t="str">
            <v>W</v>
          </cell>
          <cell r="X52" t="str">
            <v>G</v>
          </cell>
          <cell r="Y52" t="str">
            <v>G</v>
          </cell>
          <cell r="Z52" t="str">
            <v>L</v>
          </cell>
          <cell r="AA52" t="str">
            <v>G</v>
          </cell>
          <cell r="AB52" t="str">
            <v>G</v>
          </cell>
          <cell r="AC52" t="str">
            <v>G</v>
          </cell>
          <cell r="AD52" t="str">
            <v>W</v>
          </cell>
          <cell r="AE52" t="str">
            <v>G</v>
          </cell>
          <cell r="AF52" t="str">
            <v>G</v>
          </cell>
          <cell r="AG52" t="str">
            <v>G</v>
          </cell>
          <cell r="AH52" t="str">
            <v>G</v>
          </cell>
          <cell r="AI52" t="str">
            <v>L</v>
          </cell>
          <cell r="AJ52" t="str">
            <v>G</v>
          </cell>
          <cell r="AK52" t="str">
            <v>W</v>
          </cell>
          <cell r="AL52">
            <v>3</v>
          </cell>
          <cell r="AM52">
            <v>0</v>
          </cell>
          <cell r="AN52">
            <v>23</v>
          </cell>
          <cell r="AO52">
            <v>5</v>
          </cell>
          <cell r="AP52">
            <v>28</v>
          </cell>
          <cell r="AQ52">
            <v>0</v>
          </cell>
          <cell r="AR52">
            <v>28</v>
          </cell>
        </row>
        <row r="53">
          <cell r="F53" t="str">
            <v>ED</v>
          </cell>
        </row>
        <row r="54">
          <cell r="C54">
            <v>10040</v>
          </cell>
          <cell r="D54" t="str">
            <v>Ullash  Mallik</v>
          </cell>
          <cell r="E54" t="str">
            <v>Plumber</v>
          </cell>
          <cell r="F54" t="str">
            <v>SHIFT</v>
          </cell>
          <cell r="G54" t="str">
            <v>W</v>
          </cell>
          <cell r="H54" t="str">
            <v>B</v>
          </cell>
          <cell r="I54" t="str">
            <v>B</v>
          </cell>
          <cell r="J54" t="str">
            <v>A</v>
          </cell>
          <cell r="K54" t="str">
            <v>C</v>
          </cell>
          <cell r="L54" t="str">
            <v>C</v>
          </cell>
          <cell r="M54" t="str">
            <v>C</v>
          </cell>
          <cell r="N54" t="str">
            <v>W</v>
          </cell>
          <cell r="O54" t="str">
            <v>B</v>
          </cell>
          <cell r="P54" t="str">
            <v>B</v>
          </cell>
          <cell r="Q54" t="str">
            <v>A</v>
          </cell>
          <cell r="R54" t="str">
            <v>A</v>
          </cell>
          <cell r="S54" t="str">
            <v>B</v>
          </cell>
          <cell r="T54" t="str">
            <v>C</v>
          </cell>
          <cell r="U54" t="str">
            <v>W</v>
          </cell>
          <cell r="V54" t="str">
            <v>C</v>
          </cell>
          <cell r="W54" t="str">
            <v>B</v>
          </cell>
          <cell r="X54" t="str">
            <v>A</v>
          </cell>
          <cell r="Y54" t="str">
            <v>A</v>
          </cell>
          <cell r="Z54" t="str">
            <v>B</v>
          </cell>
          <cell r="AA54" t="str">
            <v>B</v>
          </cell>
          <cell r="AB54" t="str">
            <v>W</v>
          </cell>
          <cell r="AC54" t="str">
            <v>B</v>
          </cell>
          <cell r="AD54" t="str">
            <v>A</v>
          </cell>
          <cell r="AE54" t="str">
            <v>A</v>
          </cell>
          <cell r="AF54" t="str">
            <v>A</v>
          </cell>
          <cell r="AG54" t="str">
            <v>B</v>
          </cell>
          <cell r="AH54" t="str">
            <v>C</v>
          </cell>
          <cell r="AI54" t="str">
            <v>W</v>
          </cell>
          <cell r="AJ54" t="str">
            <v>B</v>
          </cell>
          <cell r="AK54" t="str">
            <v>A</v>
          </cell>
          <cell r="AL54">
            <v>0</v>
          </cell>
          <cell r="AM54">
            <v>0</v>
          </cell>
          <cell r="AN54">
            <v>26</v>
          </cell>
          <cell r="AO54">
            <v>5</v>
          </cell>
          <cell r="AP54">
            <v>31</v>
          </cell>
          <cell r="AQ54">
            <v>0</v>
          </cell>
          <cell r="AR54">
            <v>31</v>
          </cell>
        </row>
        <row r="55">
          <cell r="F55" t="str">
            <v>ED</v>
          </cell>
        </row>
        <row r="56">
          <cell r="C56">
            <v>11277</v>
          </cell>
          <cell r="D56" t="str">
            <v>Pawan  Kumar</v>
          </cell>
          <cell r="E56" t="str">
            <v>HVAC</v>
          </cell>
          <cell r="F56" t="str">
            <v>SHIFT</v>
          </cell>
          <cell r="G56" t="str">
            <v>B</v>
          </cell>
          <cell r="H56" t="str">
            <v>B</v>
          </cell>
          <cell r="I56" t="str">
            <v>W</v>
          </cell>
          <cell r="J56" t="str">
            <v>G</v>
          </cell>
          <cell r="K56" t="str">
            <v>A</v>
          </cell>
          <cell r="L56" t="str">
            <v>B</v>
          </cell>
          <cell r="M56" t="str">
            <v>A</v>
          </cell>
          <cell r="N56" t="str">
            <v>B</v>
          </cell>
          <cell r="O56" t="str">
            <v>L</v>
          </cell>
          <cell r="P56" t="str">
            <v>W</v>
          </cell>
          <cell r="Q56" t="str">
            <v>G</v>
          </cell>
          <cell r="R56" t="str">
            <v>A</v>
          </cell>
          <cell r="S56" t="str">
            <v>A</v>
          </cell>
          <cell r="T56" t="str">
            <v>L</v>
          </cell>
          <cell r="U56" t="str">
            <v>B</v>
          </cell>
          <cell r="V56" t="str">
            <v>B</v>
          </cell>
          <cell r="W56" t="str">
            <v>W</v>
          </cell>
          <cell r="X56" t="str">
            <v>G</v>
          </cell>
          <cell r="Y56" t="str">
            <v>A</v>
          </cell>
          <cell r="Z56" t="str">
            <v>A</v>
          </cell>
          <cell r="AA56" t="str">
            <v>B</v>
          </cell>
          <cell r="AB56" t="str">
            <v>B</v>
          </cell>
          <cell r="AC56" t="str">
            <v>B</v>
          </cell>
          <cell r="AD56" t="str">
            <v>W</v>
          </cell>
          <cell r="AE56" t="str">
            <v>G</v>
          </cell>
          <cell r="AF56" t="str">
            <v>A</v>
          </cell>
          <cell r="AG56" t="str">
            <v>A</v>
          </cell>
          <cell r="AH56" t="str">
            <v>B</v>
          </cell>
          <cell r="AI56" t="str">
            <v>B</v>
          </cell>
          <cell r="AJ56" t="str">
            <v>B</v>
          </cell>
          <cell r="AK56" t="str">
            <v>W</v>
          </cell>
          <cell r="AL56">
            <v>2</v>
          </cell>
          <cell r="AM56">
            <v>0</v>
          </cell>
          <cell r="AN56">
            <v>24</v>
          </cell>
          <cell r="AO56">
            <v>5</v>
          </cell>
          <cell r="AP56">
            <v>29</v>
          </cell>
          <cell r="AQ56">
            <v>0</v>
          </cell>
          <cell r="AR56">
            <v>29</v>
          </cell>
        </row>
        <row r="57">
          <cell r="F57" t="str">
            <v>ED</v>
          </cell>
        </row>
        <row r="58">
          <cell r="C58">
            <v>12140</v>
          </cell>
          <cell r="D58" t="str">
            <v>Sushant Rout</v>
          </cell>
          <cell r="E58" t="str">
            <v>Plumber</v>
          </cell>
          <cell r="F58" t="str">
            <v>SHIFT</v>
          </cell>
          <cell r="G58" t="str">
            <v>B</v>
          </cell>
          <cell r="H58" t="str">
            <v>C</v>
          </cell>
          <cell r="I58" t="str">
            <v>B</v>
          </cell>
          <cell r="J58" t="str">
            <v>B</v>
          </cell>
          <cell r="K58" t="str">
            <v>B</v>
          </cell>
          <cell r="L58" t="str">
            <v>A</v>
          </cell>
          <cell r="M58" t="str">
            <v>W</v>
          </cell>
          <cell r="N58" t="str">
            <v>B</v>
          </cell>
          <cell r="O58" t="str">
            <v>C</v>
          </cell>
          <cell r="P58" t="str">
            <v>B</v>
          </cell>
          <cell r="Q58" t="str">
            <v>C</v>
          </cell>
          <cell r="R58" t="str">
            <v>C</v>
          </cell>
          <cell r="S58" t="str">
            <v>C</v>
          </cell>
          <cell r="T58" t="str">
            <v>W</v>
          </cell>
          <cell r="U58" t="str">
            <v>C</v>
          </cell>
          <cell r="V58" t="str">
            <v>B</v>
          </cell>
          <cell r="W58" t="str">
            <v>B</v>
          </cell>
          <cell r="X58" t="str">
            <v>B</v>
          </cell>
          <cell r="Y58" t="str">
            <v>C</v>
          </cell>
          <cell r="Z58" t="str">
            <v>C</v>
          </cell>
          <cell r="AA58" t="str">
            <v>W</v>
          </cell>
          <cell r="AB58" t="str">
            <v>A</v>
          </cell>
          <cell r="AC58" t="str">
            <v>C</v>
          </cell>
          <cell r="AD58" t="str">
            <v>B</v>
          </cell>
          <cell r="AE58" t="str">
            <v>B</v>
          </cell>
          <cell r="AF58" t="str">
            <v>C</v>
          </cell>
          <cell r="AG58" t="str">
            <v>C</v>
          </cell>
          <cell r="AH58" t="str">
            <v>W</v>
          </cell>
          <cell r="AI58" t="str">
            <v>B</v>
          </cell>
          <cell r="AJ58" t="str">
            <v>C</v>
          </cell>
          <cell r="AK58" t="str">
            <v>B</v>
          </cell>
          <cell r="AL58">
            <v>0</v>
          </cell>
          <cell r="AM58">
            <v>0</v>
          </cell>
          <cell r="AN58">
            <v>27</v>
          </cell>
          <cell r="AO58">
            <v>4</v>
          </cell>
          <cell r="AP58">
            <v>31</v>
          </cell>
          <cell r="AQ58">
            <v>0</v>
          </cell>
          <cell r="AR58">
            <v>31</v>
          </cell>
        </row>
        <row r="59">
          <cell r="F59" t="str">
            <v>ED</v>
          </cell>
        </row>
        <row r="60">
          <cell r="C60">
            <v>12028</v>
          </cell>
          <cell r="D60" t="str">
            <v>DEBASISH</v>
          </cell>
          <cell r="E60" t="str">
            <v>Plumber</v>
          </cell>
          <cell r="F60" t="str">
            <v>SHIFT</v>
          </cell>
          <cell r="G60" t="str">
            <v>B</v>
          </cell>
          <cell r="H60" t="str">
            <v>W</v>
          </cell>
          <cell r="I60" t="str">
            <v>C</v>
          </cell>
          <cell r="J60" t="str">
            <v>C</v>
          </cell>
          <cell r="K60" t="str">
            <v>B</v>
          </cell>
          <cell r="L60" t="str">
            <v>C</v>
          </cell>
          <cell r="M60" t="str">
            <v>C</v>
          </cell>
          <cell r="N60" t="str">
            <v>B</v>
          </cell>
          <cell r="O60" t="str">
            <v>W</v>
          </cell>
          <cell r="P60" t="str">
            <v>C</v>
          </cell>
          <cell r="Q60" t="str">
            <v>C</v>
          </cell>
          <cell r="R60" t="str">
            <v>B</v>
          </cell>
          <cell r="S60" t="str">
            <v>C</v>
          </cell>
          <cell r="T60" t="str">
            <v>B</v>
          </cell>
          <cell r="U60" t="str">
            <v>B</v>
          </cell>
          <cell r="V60" t="str">
            <v>W</v>
          </cell>
          <cell r="W60" t="str">
            <v>C</v>
          </cell>
          <cell r="X60" t="str">
            <v>L</v>
          </cell>
          <cell r="Y60" t="str">
            <v>B</v>
          </cell>
          <cell r="Z60" t="str">
            <v>A</v>
          </cell>
          <cell r="AA60" t="str">
            <v>C</v>
          </cell>
          <cell r="AB60" t="str">
            <v>B</v>
          </cell>
          <cell r="AC60" t="str">
            <v>W</v>
          </cell>
          <cell r="AD60" t="str">
            <v>C</v>
          </cell>
          <cell r="AE60" t="str">
            <v>C</v>
          </cell>
          <cell r="AF60" t="str">
            <v>B</v>
          </cell>
          <cell r="AG60" t="str">
            <v>A</v>
          </cell>
          <cell r="AH60" t="str">
            <v>C</v>
          </cell>
          <cell r="AI60" t="str">
            <v>B</v>
          </cell>
          <cell r="AJ60" t="str">
            <v>W</v>
          </cell>
          <cell r="AK60" t="str">
            <v>C</v>
          </cell>
          <cell r="AL60">
            <v>1</v>
          </cell>
          <cell r="AM60">
            <v>0</v>
          </cell>
          <cell r="AN60">
            <v>25</v>
          </cell>
          <cell r="AO60">
            <v>5</v>
          </cell>
          <cell r="AP60">
            <v>30</v>
          </cell>
          <cell r="AQ60">
            <v>0</v>
          </cell>
          <cell r="AR60">
            <v>30</v>
          </cell>
        </row>
        <row r="61">
          <cell r="F61" t="str">
            <v>ED</v>
          </cell>
        </row>
        <row r="62">
          <cell r="C62">
            <v>11128</v>
          </cell>
          <cell r="D62" t="str">
            <v>SRIDHAR MALIK</v>
          </cell>
          <cell r="E62" t="str">
            <v>PLUMBER</v>
          </cell>
          <cell r="F62" t="str">
            <v>SHIFT</v>
          </cell>
          <cell r="G62" t="str">
            <v>LEAVE</v>
          </cell>
          <cell r="M62" t="str">
            <v>A</v>
          </cell>
          <cell r="N62" t="str">
            <v>C</v>
          </cell>
          <cell r="O62" t="str">
            <v>C</v>
          </cell>
          <cell r="P62" t="str">
            <v>A</v>
          </cell>
          <cell r="Q62" t="str">
            <v>W</v>
          </cell>
          <cell r="R62" t="str">
            <v>B</v>
          </cell>
          <cell r="S62" t="str">
            <v>B</v>
          </cell>
          <cell r="T62" t="str">
            <v>A</v>
          </cell>
          <cell r="U62" t="str">
            <v>B</v>
          </cell>
          <cell r="V62" t="str">
            <v>C</v>
          </cell>
          <cell r="W62" t="str">
            <v>A</v>
          </cell>
          <cell r="X62" t="str">
            <v>W</v>
          </cell>
          <cell r="Y62" t="str">
            <v>B</v>
          </cell>
          <cell r="Z62" t="str">
            <v>B</v>
          </cell>
          <cell r="AA62" t="str">
            <v>A</v>
          </cell>
          <cell r="AB62" t="str">
            <v>C</v>
          </cell>
          <cell r="AC62" t="str">
            <v>C</v>
          </cell>
          <cell r="AD62" t="str">
            <v>A</v>
          </cell>
          <cell r="AE62" t="str">
            <v>W</v>
          </cell>
          <cell r="AF62" t="str">
            <v>B</v>
          </cell>
          <cell r="AG62" t="str">
            <v>B</v>
          </cell>
          <cell r="AH62" t="str">
            <v>A</v>
          </cell>
          <cell r="AI62" t="str">
            <v>C</v>
          </cell>
          <cell r="AJ62" t="str">
            <v>B</v>
          </cell>
          <cell r="AK62" t="str">
            <v>A</v>
          </cell>
          <cell r="AL62">
            <v>0</v>
          </cell>
          <cell r="AM62">
            <v>0</v>
          </cell>
          <cell r="AN62">
            <v>22</v>
          </cell>
          <cell r="AO62">
            <v>3</v>
          </cell>
          <cell r="AP62">
            <v>25</v>
          </cell>
          <cell r="AQ62">
            <v>0</v>
          </cell>
          <cell r="AR62">
            <v>25</v>
          </cell>
        </row>
        <row r="63">
          <cell r="F63" t="str">
            <v>ED</v>
          </cell>
        </row>
        <row r="64">
          <cell r="C64" t="str">
            <v>NEW</v>
          </cell>
          <cell r="D64" t="str">
            <v>J.PRADEEP</v>
          </cell>
          <cell r="E64" t="str">
            <v>HVAC</v>
          </cell>
          <cell r="F64" t="str">
            <v>SHIFT</v>
          </cell>
          <cell r="H64" t="str">
            <v>G</v>
          </cell>
          <cell r="I64" t="str">
            <v>G</v>
          </cell>
          <cell r="J64" t="str">
            <v>G</v>
          </cell>
          <cell r="K64" t="str">
            <v>G</v>
          </cell>
          <cell r="L64" t="str">
            <v>G</v>
          </cell>
          <cell r="M64" t="str">
            <v>G</v>
          </cell>
          <cell r="N64" t="str">
            <v>G</v>
          </cell>
          <cell r="O64" t="str">
            <v>G</v>
          </cell>
          <cell r="P64" t="str">
            <v>G</v>
          </cell>
          <cell r="Q64" t="str">
            <v>G</v>
          </cell>
          <cell r="R64" t="str">
            <v>G</v>
          </cell>
          <cell r="S64" t="str">
            <v>W</v>
          </cell>
          <cell r="T64" t="str">
            <v>G</v>
          </cell>
          <cell r="U64" t="str">
            <v>G</v>
          </cell>
          <cell r="V64" t="str">
            <v>G</v>
          </cell>
          <cell r="W64" t="str">
            <v>G</v>
          </cell>
          <cell r="X64" t="str">
            <v>G</v>
          </cell>
          <cell r="Y64" t="str">
            <v>G</v>
          </cell>
          <cell r="Z64" t="str">
            <v>W</v>
          </cell>
          <cell r="AA64" t="str">
            <v>A</v>
          </cell>
          <cell r="AB64" t="str">
            <v>A</v>
          </cell>
          <cell r="AC64" t="str">
            <v>A</v>
          </cell>
          <cell r="AD64" t="str">
            <v>A</v>
          </cell>
          <cell r="AE64" t="str">
            <v>G</v>
          </cell>
          <cell r="AF64" t="str">
            <v>B</v>
          </cell>
          <cell r="AG64" t="str">
            <v>W</v>
          </cell>
          <cell r="AH64" t="str">
            <v>A</v>
          </cell>
          <cell r="AI64" t="str">
            <v>A</v>
          </cell>
          <cell r="AJ64" t="str">
            <v>A</v>
          </cell>
          <cell r="AK64" t="str">
            <v>G</v>
          </cell>
          <cell r="AL64">
            <v>0</v>
          </cell>
          <cell r="AM64">
            <v>0</v>
          </cell>
          <cell r="AN64">
            <v>27</v>
          </cell>
          <cell r="AO64">
            <v>3</v>
          </cell>
          <cell r="AP64">
            <v>30</v>
          </cell>
          <cell r="AQ64">
            <v>0</v>
          </cell>
          <cell r="AR64">
            <v>30</v>
          </cell>
        </row>
        <row r="65">
          <cell r="F65" t="str">
            <v>ED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"/>
      <sheetName val="BANK STATEMENT"/>
    </sheetNames>
    <sheetDataSet>
      <sheetData sheetId="0" refreshError="1"/>
      <sheetData sheetId="1">
        <row r="6">
          <cell r="B6">
            <v>11629</v>
          </cell>
          <cell r="C6" t="str">
            <v>Abdul Malik</v>
          </cell>
          <cell r="E6" t="str">
            <v>HK Boy</v>
          </cell>
          <cell r="F6" t="str">
            <v>P</v>
          </cell>
          <cell r="G6" t="str">
            <v>P</v>
          </cell>
          <cell r="H6" t="str">
            <v>P</v>
          </cell>
          <cell r="I6" t="str">
            <v>P</v>
          </cell>
          <cell r="J6" t="str">
            <v>W/O</v>
          </cell>
          <cell r="K6" t="str">
            <v>P</v>
          </cell>
          <cell r="L6" t="str">
            <v>P</v>
          </cell>
          <cell r="M6" t="str">
            <v>P</v>
          </cell>
          <cell r="N6" t="str">
            <v>P</v>
          </cell>
          <cell r="O6" t="str">
            <v>P</v>
          </cell>
          <cell r="P6" t="str">
            <v>P</v>
          </cell>
          <cell r="Q6" t="str">
            <v>W/O</v>
          </cell>
          <cell r="R6" t="str">
            <v>P</v>
          </cell>
          <cell r="S6" t="str">
            <v>P</v>
          </cell>
          <cell r="T6" t="str">
            <v>P</v>
          </cell>
          <cell r="U6" t="str">
            <v>P</v>
          </cell>
          <cell r="V6" t="str">
            <v>P</v>
          </cell>
          <cell r="W6" t="str">
            <v>P</v>
          </cell>
          <cell r="X6" t="str">
            <v>W/O</v>
          </cell>
          <cell r="Y6" t="str">
            <v>P</v>
          </cell>
          <cell r="Z6" t="str">
            <v>P</v>
          </cell>
          <cell r="AA6" t="str">
            <v>P</v>
          </cell>
          <cell r="AB6" t="str">
            <v>P</v>
          </cell>
          <cell r="AC6" t="str">
            <v>P</v>
          </cell>
          <cell r="AD6" t="str">
            <v>P</v>
          </cell>
          <cell r="AE6" t="str">
            <v>W/O</v>
          </cell>
          <cell r="AF6" t="str">
            <v>P</v>
          </cell>
          <cell r="AG6" t="str">
            <v>P</v>
          </cell>
          <cell r="AH6" t="str">
            <v>P</v>
          </cell>
          <cell r="AI6" t="str">
            <v>P</v>
          </cell>
          <cell r="AJ6" t="str">
            <v>P</v>
          </cell>
          <cell r="AK6">
            <v>31</v>
          </cell>
          <cell r="AL6">
            <v>27</v>
          </cell>
          <cell r="AM6">
            <v>4</v>
          </cell>
          <cell r="AN6">
            <v>0</v>
          </cell>
          <cell r="AO6">
            <v>0</v>
          </cell>
          <cell r="AP6">
            <v>0</v>
          </cell>
          <cell r="AQ6">
            <v>31</v>
          </cell>
          <cell r="AR6">
            <v>0</v>
          </cell>
        </row>
        <row r="8">
          <cell r="B8">
            <v>11799</v>
          </cell>
          <cell r="C8" t="str">
            <v>Sadikur Rehman</v>
          </cell>
          <cell r="E8" t="str">
            <v>HK Lady</v>
          </cell>
          <cell r="F8" t="str">
            <v>P</v>
          </cell>
          <cell r="G8" t="str">
            <v>P</v>
          </cell>
          <cell r="H8" t="str">
            <v>P</v>
          </cell>
          <cell r="I8" t="str">
            <v>P</v>
          </cell>
          <cell r="J8" t="str">
            <v>W/O</v>
          </cell>
          <cell r="K8" t="str">
            <v>P</v>
          </cell>
          <cell r="L8" t="str">
            <v>P</v>
          </cell>
          <cell r="M8" t="str">
            <v>P</v>
          </cell>
          <cell r="N8" t="str">
            <v>P</v>
          </cell>
          <cell r="O8" t="str">
            <v>P</v>
          </cell>
          <cell r="P8" t="str">
            <v>P</v>
          </cell>
          <cell r="Q8" t="str">
            <v>W/O</v>
          </cell>
          <cell r="R8" t="str">
            <v>P</v>
          </cell>
          <cell r="S8" t="str">
            <v>P</v>
          </cell>
          <cell r="T8" t="str">
            <v>P</v>
          </cell>
          <cell r="U8" t="str">
            <v>P</v>
          </cell>
          <cell r="V8" t="str">
            <v>P</v>
          </cell>
          <cell r="W8" t="str">
            <v>P</v>
          </cell>
          <cell r="X8" t="str">
            <v>W/O</v>
          </cell>
          <cell r="Y8" t="str">
            <v>P</v>
          </cell>
          <cell r="Z8" t="str">
            <v>P</v>
          </cell>
          <cell r="AA8" t="str">
            <v>P</v>
          </cell>
          <cell r="AB8" t="str">
            <v>A</v>
          </cell>
          <cell r="AC8" t="str">
            <v>P</v>
          </cell>
          <cell r="AD8" t="str">
            <v>P</v>
          </cell>
          <cell r="AE8" t="str">
            <v>W/O</v>
          </cell>
          <cell r="AF8" t="str">
            <v>P</v>
          </cell>
          <cell r="AG8" t="str">
            <v>P</v>
          </cell>
          <cell r="AH8" t="str">
            <v>P</v>
          </cell>
          <cell r="AI8" t="str">
            <v>P</v>
          </cell>
          <cell r="AJ8" t="str">
            <v>P</v>
          </cell>
          <cell r="AK8">
            <v>31</v>
          </cell>
          <cell r="AL8">
            <v>26</v>
          </cell>
          <cell r="AM8">
            <v>4</v>
          </cell>
          <cell r="AN8">
            <v>1</v>
          </cell>
          <cell r="AO8">
            <v>0</v>
          </cell>
          <cell r="AP8">
            <v>0</v>
          </cell>
          <cell r="AQ8">
            <v>30</v>
          </cell>
          <cell r="AR8">
            <v>0</v>
          </cell>
        </row>
        <row r="10">
          <cell r="B10">
            <v>11178</v>
          </cell>
          <cell r="C10" t="str">
            <v>Nehaboobee</v>
          </cell>
          <cell r="E10" t="str">
            <v>HK Boy</v>
          </cell>
          <cell r="F10" t="str">
            <v>P</v>
          </cell>
          <cell r="G10" t="str">
            <v>P</v>
          </cell>
          <cell r="H10" t="str">
            <v>P</v>
          </cell>
          <cell r="I10" t="str">
            <v>P</v>
          </cell>
          <cell r="J10" t="str">
            <v>W/O</v>
          </cell>
          <cell r="K10" t="str">
            <v>P</v>
          </cell>
          <cell r="L10" t="str">
            <v>P</v>
          </cell>
          <cell r="M10" t="str">
            <v>P</v>
          </cell>
          <cell r="N10" t="str">
            <v>P</v>
          </cell>
          <cell r="O10" t="str">
            <v>P</v>
          </cell>
          <cell r="P10" t="str">
            <v>P</v>
          </cell>
          <cell r="Q10" t="str">
            <v>W/O</v>
          </cell>
          <cell r="R10" t="str">
            <v>P</v>
          </cell>
          <cell r="S10" t="str">
            <v>P</v>
          </cell>
          <cell r="T10" t="str">
            <v>P</v>
          </cell>
          <cell r="U10" t="str">
            <v>P</v>
          </cell>
          <cell r="V10" t="str">
            <v>P</v>
          </cell>
          <cell r="W10" t="str">
            <v>P</v>
          </cell>
          <cell r="X10" t="str">
            <v>W/O</v>
          </cell>
          <cell r="Y10" t="str">
            <v>P</v>
          </cell>
          <cell r="Z10" t="str">
            <v>P</v>
          </cell>
          <cell r="AA10" t="str">
            <v>P</v>
          </cell>
          <cell r="AB10" t="str">
            <v>P</v>
          </cell>
          <cell r="AC10" t="str">
            <v>P</v>
          </cell>
          <cell r="AD10" t="str">
            <v>P</v>
          </cell>
          <cell r="AE10" t="str">
            <v>W/O</v>
          </cell>
          <cell r="AF10" t="str">
            <v>P</v>
          </cell>
          <cell r="AG10" t="str">
            <v>P</v>
          </cell>
          <cell r="AH10" t="str">
            <v>P</v>
          </cell>
          <cell r="AI10" t="str">
            <v>P</v>
          </cell>
          <cell r="AJ10" t="str">
            <v>P</v>
          </cell>
          <cell r="AK10">
            <v>31</v>
          </cell>
          <cell r="AL10">
            <v>27</v>
          </cell>
          <cell r="AM10">
            <v>4</v>
          </cell>
          <cell r="AN10">
            <v>0</v>
          </cell>
          <cell r="AO10">
            <v>0</v>
          </cell>
          <cell r="AP10">
            <v>0</v>
          </cell>
          <cell r="AQ10">
            <v>31</v>
          </cell>
          <cell r="AR10">
            <v>0</v>
          </cell>
        </row>
        <row r="12">
          <cell r="AK12">
            <v>93</v>
          </cell>
          <cell r="AL12">
            <v>80</v>
          </cell>
          <cell r="AM12">
            <v>12</v>
          </cell>
          <cell r="AN12">
            <v>1</v>
          </cell>
          <cell r="AO12">
            <v>0</v>
          </cell>
          <cell r="AP12">
            <v>0</v>
          </cell>
          <cell r="AQ12">
            <v>92</v>
          </cell>
          <cell r="AR12">
            <v>0</v>
          </cell>
        </row>
      </sheetData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"/>
      <sheetName val="BANK STMT"/>
    </sheetNames>
    <sheetDataSet>
      <sheetData sheetId="0" refreshError="1"/>
      <sheetData sheetId="1">
        <row r="4">
          <cell r="A4" t="str">
            <v>Empl Codes</v>
          </cell>
          <cell r="B4" t="str">
            <v>Name of Employee</v>
          </cell>
          <cell r="C4" t="str">
            <v>Designation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7</v>
          </cell>
          <cell r="K4">
            <v>8</v>
          </cell>
          <cell r="L4">
            <v>9</v>
          </cell>
          <cell r="M4">
            <v>10</v>
          </cell>
          <cell r="N4">
            <v>11</v>
          </cell>
          <cell r="O4">
            <v>12</v>
          </cell>
          <cell r="P4">
            <v>13</v>
          </cell>
          <cell r="Q4">
            <v>14</v>
          </cell>
          <cell r="R4">
            <v>15</v>
          </cell>
          <cell r="S4">
            <v>16</v>
          </cell>
          <cell r="T4">
            <v>17</v>
          </cell>
          <cell r="U4">
            <v>18</v>
          </cell>
          <cell r="V4">
            <v>19</v>
          </cell>
          <cell r="W4">
            <v>20</v>
          </cell>
          <cell r="X4">
            <v>21</v>
          </cell>
          <cell r="Y4">
            <v>22</v>
          </cell>
          <cell r="Z4">
            <v>23</v>
          </cell>
          <cell r="AA4">
            <v>24</v>
          </cell>
          <cell r="AB4">
            <v>25</v>
          </cell>
          <cell r="AC4">
            <v>26</v>
          </cell>
          <cell r="AD4">
            <v>27</v>
          </cell>
          <cell r="AE4">
            <v>28</v>
          </cell>
          <cell r="AF4">
            <v>29</v>
          </cell>
          <cell r="AG4">
            <v>30</v>
          </cell>
          <cell r="AH4">
            <v>31</v>
          </cell>
          <cell r="AI4" t="str">
            <v>Month Total days</v>
          </cell>
          <cell r="AJ4" t="str">
            <v>Present</v>
          </cell>
          <cell r="AK4" t="str">
            <v>W/Off</v>
          </cell>
          <cell r="AL4" t="str">
            <v>Absent</v>
          </cell>
          <cell r="AM4" t="str">
            <v>PH</v>
          </cell>
          <cell r="AN4" t="str">
            <v>C/OFF</v>
          </cell>
          <cell r="AO4" t="str">
            <v>TOTAL</v>
          </cell>
        </row>
        <row r="5">
          <cell r="D5" t="str">
            <v>WED</v>
          </cell>
          <cell r="E5" t="str">
            <v>THU</v>
          </cell>
          <cell r="F5" t="str">
            <v>FRI</v>
          </cell>
          <cell r="G5" t="str">
            <v>SAT</v>
          </cell>
          <cell r="H5" t="str">
            <v>SUN</v>
          </cell>
          <cell r="I5" t="str">
            <v>MON</v>
          </cell>
          <cell r="J5" t="str">
            <v>TUE</v>
          </cell>
          <cell r="K5" t="str">
            <v>WED</v>
          </cell>
          <cell r="L5" t="str">
            <v>THU</v>
          </cell>
          <cell r="M5" t="str">
            <v>FRI</v>
          </cell>
          <cell r="N5" t="str">
            <v>SAT</v>
          </cell>
          <cell r="O5" t="str">
            <v>SUN</v>
          </cell>
          <cell r="P5" t="str">
            <v>MON</v>
          </cell>
          <cell r="Q5" t="str">
            <v>TUE</v>
          </cell>
          <cell r="R5" t="str">
            <v>WED</v>
          </cell>
          <cell r="S5" t="str">
            <v>THU</v>
          </cell>
          <cell r="T5" t="str">
            <v>FRI</v>
          </cell>
          <cell r="U5" t="str">
            <v>SAT</v>
          </cell>
          <cell r="V5" t="str">
            <v>SUN</v>
          </cell>
          <cell r="W5" t="str">
            <v>MON</v>
          </cell>
          <cell r="X5" t="str">
            <v>TUE</v>
          </cell>
          <cell r="Y5" t="str">
            <v>WED</v>
          </cell>
          <cell r="Z5" t="str">
            <v>THU</v>
          </cell>
          <cell r="AA5" t="str">
            <v>FRI</v>
          </cell>
          <cell r="AB5" t="str">
            <v>SAT</v>
          </cell>
          <cell r="AC5" t="str">
            <v>SUN</v>
          </cell>
          <cell r="AD5" t="str">
            <v>MON</v>
          </cell>
          <cell r="AE5" t="str">
            <v>TUE</v>
          </cell>
          <cell r="AF5" t="str">
            <v>WED</v>
          </cell>
          <cell r="AG5" t="str">
            <v>THU</v>
          </cell>
          <cell r="AH5" t="str">
            <v>FRI</v>
          </cell>
        </row>
        <row r="6">
          <cell r="A6">
            <v>11390</v>
          </cell>
          <cell r="B6" t="str">
            <v>RAMAKRISHNA</v>
          </cell>
          <cell r="C6" t="str">
            <v>HK Supervisor</v>
          </cell>
          <cell r="D6" t="str">
            <v>P</v>
          </cell>
          <cell r="E6" t="str">
            <v>P</v>
          </cell>
          <cell r="F6" t="str">
            <v>P</v>
          </cell>
          <cell r="G6" t="str">
            <v>P</v>
          </cell>
          <cell r="H6" t="str">
            <v>W/O</v>
          </cell>
          <cell r="I6" t="str">
            <v>P</v>
          </cell>
          <cell r="J6" t="str">
            <v>P</v>
          </cell>
          <cell r="K6" t="str">
            <v>A</v>
          </cell>
          <cell r="L6" t="str">
            <v>A</v>
          </cell>
          <cell r="M6" t="str">
            <v>A</v>
          </cell>
          <cell r="N6" t="str">
            <v>A</v>
          </cell>
          <cell r="O6" t="str">
            <v>W/O</v>
          </cell>
          <cell r="P6" t="str">
            <v>A</v>
          </cell>
          <cell r="Q6" t="str">
            <v>A</v>
          </cell>
          <cell r="R6" t="str">
            <v>A</v>
          </cell>
          <cell r="S6" t="str">
            <v>P</v>
          </cell>
          <cell r="T6" t="str">
            <v>P</v>
          </cell>
          <cell r="U6" t="str">
            <v>P</v>
          </cell>
          <cell r="V6" t="str">
            <v>W/O</v>
          </cell>
          <cell r="W6" t="str">
            <v>P</v>
          </cell>
          <cell r="X6" t="str">
            <v>P</v>
          </cell>
          <cell r="Y6" t="str">
            <v>P</v>
          </cell>
          <cell r="Z6" t="str">
            <v>P</v>
          </cell>
          <cell r="AA6" t="str">
            <v>P</v>
          </cell>
          <cell r="AB6" t="str">
            <v>P</v>
          </cell>
          <cell r="AC6" t="str">
            <v>W/O</v>
          </cell>
          <cell r="AD6" t="str">
            <v>P</v>
          </cell>
          <cell r="AE6" t="str">
            <v>P</v>
          </cell>
          <cell r="AF6" t="str">
            <v>P</v>
          </cell>
          <cell r="AG6" t="str">
            <v>P</v>
          </cell>
          <cell r="AH6" t="str">
            <v>P</v>
          </cell>
          <cell r="AI6">
            <v>31</v>
          </cell>
          <cell r="AJ6">
            <v>20</v>
          </cell>
          <cell r="AK6">
            <v>4</v>
          </cell>
          <cell r="AL6">
            <v>7</v>
          </cell>
          <cell r="AM6">
            <v>0</v>
          </cell>
          <cell r="AN6">
            <v>0</v>
          </cell>
          <cell r="AO6">
            <v>24</v>
          </cell>
        </row>
        <row r="8">
          <cell r="A8">
            <v>1</v>
          </cell>
          <cell r="B8" t="str">
            <v>YOUNAS</v>
          </cell>
          <cell r="C8" t="str">
            <v>MST</v>
          </cell>
          <cell r="D8" t="str">
            <v>P</v>
          </cell>
          <cell r="E8" t="str">
            <v>P</v>
          </cell>
          <cell r="F8" t="str">
            <v>P</v>
          </cell>
          <cell r="G8" t="str">
            <v>P</v>
          </cell>
          <cell r="H8" t="str">
            <v>W/O</v>
          </cell>
          <cell r="I8" t="str">
            <v>P</v>
          </cell>
          <cell r="J8" t="str">
            <v>P</v>
          </cell>
          <cell r="K8" t="str">
            <v>P</v>
          </cell>
          <cell r="L8" t="str">
            <v>P</v>
          </cell>
          <cell r="M8" t="str">
            <v>P</v>
          </cell>
          <cell r="N8" t="str">
            <v>P</v>
          </cell>
          <cell r="O8" t="str">
            <v>W/O</v>
          </cell>
          <cell r="P8" t="str">
            <v>P</v>
          </cell>
          <cell r="Q8" t="str">
            <v>P</v>
          </cell>
          <cell r="R8" t="str">
            <v>P</v>
          </cell>
          <cell r="S8" t="str">
            <v>P</v>
          </cell>
          <cell r="T8" t="str">
            <v>P</v>
          </cell>
          <cell r="U8" t="str">
            <v>P</v>
          </cell>
          <cell r="V8" t="str">
            <v>W/O</v>
          </cell>
          <cell r="W8" t="str">
            <v>P</v>
          </cell>
          <cell r="X8" t="str">
            <v>P</v>
          </cell>
          <cell r="Y8" t="str">
            <v>A</v>
          </cell>
          <cell r="Z8" t="str">
            <v>P</v>
          </cell>
          <cell r="AA8" t="str">
            <v>P</v>
          </cell>
          <cell r="AB8" t="str">
            <v>P</v>
          </cell>
          <cell r="AC8" t="str">
            <v>W/O</v>
          </cell>
          <cell r="AD8" t="str">
            <v>P</v>
          </cell>
          <cell r="AE8" t="str">
            <v>P</v>
          </cell>
          <cell r="AF8" t="str">
            <v>P</v>
          </cell>
          <cell r="AG8" t="str">
            <v>P</v>
          </cell>
          <cell r="AH8" t="str">
            <v>P</v>
          </cell>
          <cell r="AI8">
            <v>31</v>
          </cell>
          <cell r="AJ8">
            <v>26</v>
          </cell>
          <cell r="AK8">
            <v>4</v>
          </cell>
          <cell r="AL8">
            <v>1</v>
          </cell>
          <cell r="AM8">
            <v>0</v>
          </cell>
          <cell r="AN8">
            <v>0</v>
          </cell>
          <cell r="AO8">
            <v>30</v>
          </cell>
        </row>
        <row r="10">
          <cell r="A10">
            <v>10383</v>
          </cell>
          <cell r="B10" t="str">
            <v>Radhamma</v>
          </cell>
          <cell r="C10" t="str">
            <v>Hk Lady</v>
          </cell>
          <cell r="D10" t="str">
            <v>P</v>
          </cell>
          <cell r="E10" t="str">
            <v>P</v>
          </cell>
          <cell r="F10" t="str">
            <v>P</v>
          </cell>
          <cell r="G10" t="str">
            <v>P</v>
          </cell>
          <cell r="H10" t="str">
            <v>W/O</v>
          </cell>
          <cell r="I10" t="str">
            <v>P</v>
          </cell>
          <cell r="J10" t="str">
            <v>P</v>
          </cell>
          <cell r="K10" t="str">
            <v>P</v>
          </cell>
          <cell r="L10" t="str">
            <v>P</v>
          </cell>
          <cell r="M10" t="str">
            <v>P</v>
          </cell>
          <cell r="N10" t="str">
            <v>P</v>
          </cell>
          <cell r="O10" t="str">
            <v>W/O</v>
          </cell>
          <cell r="P10" t="str">
            <v>P</v>
          </cell>
          <cell r="Q10" t="str">
            <v>P</v>
          </cell>
          <cell r="R10" t="str">
            <v>P</v>
          </cell>
          <cell r="S10" t="str">
            <v>P</v>
          </cell>
          <cell r="T10" t="str">
            <v>P</v>
          </cell>
          <cell r="U10" t="str">
            <v>P</v>
          </cell>
          <cell r="V10" t="str">
            <v>W/O</v>
          </cell>
          <cell r="W10" t="str">
            <v>P</v>
          </cell>
          <cell r="X10" t="str">
            <v>P</v>
          </cell>
          <cell r="Y10" t="str">
            <v>P</v>
          </cell>
          <cell r="Z10" t="str">
            <v>P</v>
          </cell>
          <cell r="AA10" t="str">
            <v>P</v>
          </cell>
          <cell r="AB10" t="str">
            <v>P</v>
          </cell>
          <cell r="AC10" t="str">
            <v>W/O</v>
          </cell>
          <cell r="AD10" t="str">
            <v>A</v>
          </cell>
          <cell r="AE10" t="str">
            <v>P</v>
          </cell>
          <cell r="AF10" t="str">
            <v>P</v>
          </cell>
          <cell r="AG10" t="str">
            <v>P</v>
          </cell>
          <cell r="AH10" t="str">
            <v>P</v>
          </cell>
          <cell r="AI10">
            <v>31</v>
          </cell>
          <cell r="AJ10">
            <v>26</v>
          </cell>
          <cell r="AK10">
            <v>4</v>
          </cell>
          <cell r="AL10">
            <v>1</v>
          </cell>
          <cell r="AM10">
            <v>0</v>
          </cell>
          <cell r="AN10">
            <v>0</v>
          </cell>
          <cell r="AO10">
            <v>30</v>
          </cell>
        </row>
        <row r="12">
          <cell r="A12">
            <v>10296</v>
          </cell>
          <cell r="B12" t="str">
            <v>RUPA</v>
          </cell>
          <cell r="C12" t="str">
            <v>Hk Lady</v>
          </cell>
          <cell r="D12" t="str">
            <v>P</v>
          </cell>
          <cell r="E12" t="str">
            <v>P</v>
          </cell>
          <cell r="F12" t="str">
            <v>P</v>
          </cell>
          <cell r="G12" t="str">
            <v>P</v>
          </cell>
          <cell r="H12" t="str">
            <v>W/O</v>
          </cell>
          <cell r="I12" t="str">
            <v>P</v>
          </cell>
          <cell r="J12" t="str">
            <v>P</v>
          </cell>
          <cell r="K12" t="str">
            <v>P</v>
          </cell>
          <cell r="L12" t="str">
            <v>P</v>
          </cell>
          <cell r="M12" t="str">
            <v>P</v>
          </cell>
          <cell r="N12" t="str">
            <v>P</v>
          </cell>
          <cell r="O12" t="str">
            <v>W/O</v>
          </cell>
          <cell r="P12" t="str">
            <v>P</v>
          </cell>
          <cell r="Q12" t="str">
            <v>P</v>
          </cell>
          <cell r="R12" t="str">
            <v>P</v>
          </cell>
          <cell r="S12" t="str">
            <v>P</v>
          </cell>
          <cell r="T12" t="str">
            <v>P</v>
          </cell>
          <cell r="U12" t="str">
            <v>P</v>
          </cell>
          <cell r="V12" t="str">
            <v>W/O</v>
          </cell>
          <cell r="W12" t="str">
            <v>P</v>
          </cell>
          <cell r="X12" t="str">
            <v>P</v>
          </cell>
          <cell r="Y12" t="str">
            <v>P</v>
          </cell>
          <cell r="Z12" t="str">
            <v>P</v>
          </cell>
          <cell r="AA12" t="str">
            <v>P</v>
          </cell>
          <cell r="AB12" t="str">
            <v>P</v>
          </cell>
          <cell r="AC12" t="str">
            <v>W/O</v>
          </cell>
          <cell r="AD12" t="str">
            <v>P</v>
          </cell>
          <cell r="AE12" t="str">
            <v>P</v>
          </cell>
          <cell r="AF12" t="str">
            <v>P</v>
          </cell>
          <cell r="AG12" t="str">
            <v>P</v>
          </cell>
          <cell r="AH12" t="str">
            <v>P</v>
          </cell>
          <cell r="AI12">
            <v>31</v>
          </cell>
          <cell r="AJ12">
            <v>27</v>
          </cell>
          <cell r="AK12">
            <v>4</v>
          </cell>
          <cell r="AL12">
            <v>0</v>
          </cell>
          <cell r="AM12">
            <v>0</v>
          </cell>
          <cell r="AN12">
            <v>0</v>
          </cell>
          <cell r="AO12">
            <v>31</v>
          </cell>
        </row>
        <row r="14">
          <cell r="A14">
            <v>11608</v>
          </cell>
          <cell r="B14" t="str">
            <v>Naseema Begum</v>
          </cell>
          <cell r="C14" t="str">
            <v>Hk Lady</v>
          </cell>
          <cell r="D14" t="str">
            <v>P</v>
          </cell>
          <cell r="E14" t="str">
            <v>P</v>
          </cell>
          <cell r="F14" t="str">
            <v>P</v>
          </cell>
          <cell r="G14" t="str">
            <v>P</v>
          </cell>
          <cell r="H14" t="str">
            <v>W/O</v>
          </cell>
          <cell r="I14" t="str">
            <v>P</v>
          </cell>
          <cell r="J14" t="str">
            <v>P</v>
          </cell>
          <cell r="K14" t="str">
            <v>P</v>
          </cell>
          <cell r="L14" t="str">
            <v>P</v>
          </cell>
          <cell r="M14" t="str">
            <v>P</v>
          </cell>
          <cell r="N14" t="str">
            <v>P</v>
          </cell>
          <cell r="O14" t="str">
            <v>W/O</v>
          </cell>
          <cell r="P14" t="str">
            <v>P</v>
          </cell>
          <cell r="Q14" t="str">
            <v>P</v>
          </cell>
          <cell r="R14" t="str">
            <v>P</v>
          </cell>
          <cell r="S14" t="str">
            <v>P</v>
          </cell>
          <cell r="T14" t="str">
            <v>P</v>
          </cell>
          <cell r="U14" t="str">
            <v>P</v>
          </cell>
          <cell r="V14" t="str">
            <v>W/O</v>
          </cell>
          <cell r="W14" t="str">
            <v>P</v>
          </cell>
          <cell r="X14" t="str">
            <v>P</v>
          </cell>
          <cell r="Y14" t="str">
            <v>P</v>
          </cell>
          <cell r="Z14" t="str">
            <v>P</v>
          </cell>
          <cell r="AA14" t="str">
            <v>P</v>
          </cell>
          <cell r="AB14" t="str">
            <v>P</v>
          </cell>
          <cell r="AC14" t="str">
            <v>W/O</v>
          </cell>
          <cell r="AD14" t="str">
            <v>P</v>
          </cell>
          <cell r="AE14" t="str">
            <v>P</v>
          </cell>
          <cell r="AF14" t="str">
            <v>P</v>
          </cell>
          <cell r="AG14" t="str">
            <v>P</v>
          </cell>
          <cell r="AH14" t="str">
            <v>P</v>
          </cell>
          <cell r="AI14">
            <v>31</v>
          </cell>
          <cell r="AJ14">
            <v>27</v>
          </cell>
          <cell r="AK14">
            <v>4</v>
          </cell>
          <cell r="AL14">
            <v>0</v>
          </cell>
          <cell r="AM14">
            <v>0</v>
          </cell>
          <cell r="AN14">
            <v>0</v>
          </cell>
          <cell r="AO14">
            <v>31</v>
          </cell>
        </row>
        <row r="16">
          <cell r="A16">
            <v>11414</v>
          </cell>
          <cell r="B16" t="str">
            <v>Vijaya Lakshmi</v>
          </cell>
          <cell r="C16" t="str">
            <v>Hk Lady</v>
          </cell>
          <cell r="D16" t="str">
            <v>A</v>
          </cell>
          <cell r="E16" t="str">
            <v>P</v>
          </cell>
          <cell r="F16" t="str">
            <v>P</v>
          </cell>
          <cell r="G16" t="str">
            <v>P</v>
          </cell>
          <cell r="H16" t="str">
            <v>W/O</v>
          </cell>
          <cell r="I16" t="str">
            <v>P</v>
          </cell>
          <cell r="J16" t="str">
            <v>P</v>
          </cell>
          <cell r="K16" t="str">
            <v>P</v>
          </cell>
          <cell r="L16" t="str">
            <v>P</v>
          </cell>
          <cell r="M16" t="str">
            <v>P</v>
          </cell>
          <cell r="N16" t="str">
            <v>P</v>
          </cell>
          <cell r="O16" t="str">
            <v>W/O</v>
          </cell>
          <cell r="P16" t="str">
            <v>P</v>
          </cell>
          <cell r="Q16" t="str">
            <v>P</v>
          </cell>
          <cell r="R16" t="str">
            <v>P</v>
          </cell>
          <cell r="S16" t="str">
            <v>P</v>
          </cell>
          <cell r="T16" t="str">
            <v>P</v>
          </cell>
          <cell r="U16" t="str">
            <v>P</v>
          </cell>
          <cell r="V16" t="str">
            <v>W/O</v>
          </cell>
          <cell r="W16" t="str">
            <v>P</v>
          </cell>
          <cell r="X16" t="str">
            <v>P</v>
          </cell>
          <cell r="Y16" t="str">
            <v>P</v>
          </cell>
          <cell r="Z16" t="str">
            <v>P</v>
          </cell>
          <cell r="AA16" t="str">
            <v>P</v>
          </cell>
          <cell r="AB16" t="str">
            <v>P</v>
          </cell>
          <cell r="AC16" t="str">
            <v>W/O</v>
          </cell>
          <cell r="AD16" t="str">
            <v>P</v>
          </cell>
          <cell r="AE16" t="str">
            <v>P</v>
          </cell>
          <cell r="AF16" t="str">
            <v>P</v>
          </cell>
          <cell r="AG16" t="str">
            <v>P</v>
          </cell>
          <cell r="AH16" t="str">
            <v>P</v>
          </cell>
          <cell r="AI16">
            <v>31</v>
          </cell>
          <cell r="AJ16">
            <v>26</v>
          </cell>
          <cell r="AK16">
            <v>4</v>
          </cell>
          <cell r="AL16">
            <v>1</v>
          </cell>
          <cell r="AM16">
            <v>0</v>
          </cell>
          <cell r="AN16">
            <v>0</v>
          </cell>
          <cell r="AO16">
            <v>30</v>
          </cell>
        </row>
        <row r="18">
          <cell r="A18">
            <v>11482</v>
          </cell>
          <cell r="B18" t="str">
            <v>Abdul Kalam</v>
          </cell>
          <cell r="C18" t="str">
            <v>HK Boy</v>
          </cell>
          <cell r="D18" t="str">
            <v>P</v>
          </cell>
          <cell r="E18" t="str">
            <v>P</v>
          </cell>
          <cell r="F18" t="str">
            <v>P</v>
          </cell>
          <cell r="G18" t="str">
            <v>W/O</v>
          </cell>
          <cell r="H18" t="str">
            <v>P</v>
          </cell>
          <cell r="I18" t="str">
            <v>P</v>
          </cell>
          <cell r="J18" t="str">
            <v>P</v>
          </cell>
          <cell r="K18" t="str">
            <v>P</v>
          </cell>
          <cell r="L18" t="str">
            <v>P</v>
          </cell>
          <cell r="M18" t="str">
            <v>P</v>
          </cell>
          <cell r="N18" t="str">
            <v>W/O</v>
          </cell>
          <cell r="O18" t="str">
            <v>P</v>
          </cell>
          <cell r="P18" t="str">
            <v>P</v>
          </cell>
          <cell r="Q18" t="str">
            <v>P</v>
          </cell>
          <cell r="R18" t="str">
            <v>P</v>
          </cell>
          <cell r="S18" t="str">
            <v>P</v>
          </cell>
          <cell r="T18" t="str">
            <v>P</v>
          </cell>
          <cell r="U18" t="str">
            <v>W/O</v>
          </cell>
          <cell r="V18" t="str">
            <v>P</v>
          </cell>
          <cell r="W18" t="str">
            <v>P</v>
          </cell>
          <cell r="X18" t="str">
            <v>P</v>
          </cell>
          <cell r="Y18" t="str">
            <v>P</v>
          </cell>
          <cell r="Z18" t="str">
            <v>P</v>
          </cell>
          <cell r="AA18" t="str">
            <v>P</v>
          </cell>
          <cell r="AB18" t="str">
            <v>W/O</v>
          </cell>
          <cell r="AC18" t="str">
            <v>P</v>
          </cell>
          <cell r="AD18" t="str">
            <v>P</v>
          </cell>
          <cell r="AE18" t="str">
            <v>P</v>
          </cell>
          <cell r="AF18" t="str">
            <v>P</v>
          </cell>
          <cell r="AG18" t="str">
            <v>P</v>
          </cell>
          <cell r="AH18" t="str">
            <v>P</v>
          </cell>
          <cell r="AI18">
            <v>31</v>
          </cell>
          <cell r="AJ18">
            <v>27</v>
          </cell>
          <cell r="AK18">
            <v>4</v>
          </cell>
          <cell r="AL18">
            <v>0</v>
          </cell>
          <cell r="AM18">
            <v>0</v>
          </cell>
          <cell r="AN18">
            <v>0</v>
          </cell>
          <cell r="AO18">
            <v>31</v>
          </cell>
        </row>
        <row r="20">
          <cell r="A20">
            <v>10732</v>
          </cell>
          <cell r="B20" t="str">
            <v>ANIKETH</v>
          </cell>
          <cell r="C20" t="str">
            <v>HK Boy</v>
          </cell>
          <cell r="D20" t="str">
            <v>P</v>
          </cell>
          <cell r="E20" t="str">
            <v>P</v>
          </cell>
          <cell r="F20" t="str">
            <v>P</v>
          </cell>
          <cell r="G20" t="str">
            <v>W/O</v>
          </cell>
          <cell r="H20" t="str">
            <v>P</v>
          </cell>
          <cell r="I20" t="str">
            <v>P</v>
          </cell>
          <cell r="J20" t="str">
            <v>P</v>
          </cell>
          <cell r="K20" t="str">
            <v>P</v>
          </cell>
          <cell r="L20" t="str">
            <v>P</v>
          </cell>
          <cell r="M20" t="str">
            <v>P</v>
          </cell>
          <cell r="N20" t="str">
            <v>W/O</v>
          </cell>
          <cell r="O20" t="str">
            <v>P</v>
          </cell>
          <cell r="P20" t="str">
            <v>P</v>
          </cell>
          <cell r="Q20" t="str">
            <v>P</v>
          </cell>
          <cell r="R20" t="str">
            <v>P</v>
          </cell>
          <cell r="S20" t="str">
            <v>P</v>
          </cell>
          <cell r="T20" t="str">
            <v>P</v>
          </cell>
          <cell r="U20" t="str">
            <v>W/O</v>
          </cell>
          <cell r="V20" t="str">
            <v>P</v>
          </cell>
          <cell r="W20" t="str">
            <v>P</v>
          </cell>
          <cell r="X20" t="str">
            <v>P</v>
          </cell>
          <cell r="Y20" t="str">
            <v>P</v>
          </cell>
          <cell r="Z20" t="str">
            <v>P</v>
          </cell>
          <cell r="AA20" t="str">
            <v>P</v>
          </cell>
          <cell r="AB20" t="str">
            <v>W/O</v>
          </cell>
          <cell r="AC20" t="str">
            <v>P</v>
          </cell>
          <cell r="AD20" t="str">
            <v>P</v>
          </cell>
          <cell r="AE20" t="str">
            <v>P</v>
          </cell>
          <cell r="AF20" t="str">
            <v>P</v>
          </cell>
          <cell r="AG20" t="str">
            <v>P</v>
          </cell>
          <cell r="AH20" t="str">
            <v>P</v>
          </cell>
          <cell r="AI20">
            <v>31</v>
          </cell>
          <cell r="AJ20">
            <v>27</v>
          </cell>
          <cell r="AK20">
            <v>4</v>
          </cell>
          <cell r="AL20">
            <v>0</v>
          </cell>
          <cell r="AM20">
            <v>0</v>
          </cell>
          <cell r="AN20">
            <v>0</v>
          </cell>
          <cell r="AO20">
            <v>31</v>
          </cell>
        </row>
        <row r="22">
          <cell r="A22">
            <v>10952</v>
          </cell>
          <cell r="B22" t="str">
            <v>SAMIN</v>
          </cell>
          <cell r="C22" t="str">
            <v>HK Boy</v>
          </cell>
          <cell r="D22" t="str">
            <v>P</v>
          </cell>
          <cell r="E22" t="str">
            <v>P</v>
          </cell>
          <cell r="F22" t="str">
            <v>P</v>
          </cell>
          <cell r="G22" t="str">
            <v>W/O</v>
          </cell>
          <cell r="H22" t="str">
            <v>P</v>
          </cell>
          <cell r="I22" t="str">
            <v>P</v>
          </cell>
          <cell r="J22" t="str">
            <v>P</v>
          </cell>
          <cell r="K22" t="str">
            <v>P</v>
          </cell>
          <cell r="L22" t="str">
            <v>P</v>
          </cell>
          <cell r="M22" t="str">
            <v>P</v>
          </cell>
          <cell r="N22" t="str">
            <v>W/O</v>
          </cell>
          <cell r="O22" t="str">
            <v>P</v>
          </cell>
          <cell r="P22" t="str">
            <v>P</v>
          </cell>
          <cell r="Q22" t="str">
            <v>P</v>
          </cell>
          <cell r="R22" t="str">
            <v>P</v>
          </cell>
          <cell r="S22" t="str">
            <v>P</v>
          </cell>
          <cell r="T22" t="str">
            <v>P</v>
          </cell>
          <cell r="U22" t="str">
            <v>W/O</v>
          </cell>
          <cell r="V22" t="str">
            <v>P</v>
          </cell>
          <cell r="W22" t="str">
            <v>P</v>
          </cell>
          <cell r="X22" t="str">
            <v>P</v>
          </cell>
          <cell r="Y22" t="str">
            <v>P</v>
          </cell>
          <cell r="Z22" t="str">
            <v>P</v>
          </cell>
          <cell r="AA22" t="str">
            <v>P</v>
          </cell>
          <cell r="AB22" t="str">
            <v>W/O</v>
          </cell>
          <cell r="AC22" t="str">
            <v>P</v>
          </cell>
          <cell r="AD22" t="str">
            <v>P</v>
          </cell>
          <cell r="AE22" t="str">
            <v>P</v>
          </cell>
          <cell r="AF22" t="str">
            <v>P</v>
          </cell>
          <cell r="AG22" t="str">
            <v>P</v>
          </cell>
          <cell r="AH22" t="str">
            <v>P</v>
          </cell>
          <cell r="AI22">
            <v>31</v>
          </cell>
          <cell r="AJ22">
            <v>27</v>
          </cell>
          <cell r="AK22">
            <v>4</v>
          </cell>
          <cell r="AL22">
            <v>0</v>
          </cell>
          <cell r="AM22">
            <v>0</v>
          </cell>
          <cell r="AN22">
            <v>0</v>
          </cell>
          <cell r="AO22">
            <v>31</v>
          </cell>
        </row>
        <row r="24">
          <cell r="A24">
            <v>11741</v>
          </cell>
          <cell r="B24" t="str">
            <v xml:space="preserve">Imdhadul </v>
          </cell>
          <cell r="C24" t="str">
            <v>HK Boy</v>
          </cell>
          <cell r="D24" t="str">
            <v>A</v>
          </cell>
          <cell r="E24" t="str">
            <v>A</v>
          </cell>
          <cell r="F24" t="str">
            <v>P</v>
          </cell>
          <cell r="G24" t="str">
            <v>P</v>
          </cell>
          <cell r="H24" t="str">
            <v>W/O</v>
          </cell>
          <cell r="I24" t="str">
            <v>P</v>
          </cell>
          <cell r="J24" t="str">
            <v>P</v>
          </cell>
          <cell r="K24" t="str">
            <v>P</v>
          </cell>
          <cell r="L24" t="str">
            <v>P</v>
          </cell>
          <cell r="M24" t="str">
            <v>P</v>
          </cell>
          <cell r="N24" t="str">
            <v>W/O</v>
          </cell>
          <cell r="O24" t="str">
            <v>P</v>
          </cell>
          <cell r="P24" t="str">
            <v>P</v>
          </cell>
          <cell r="Q24" t="str">
            <v>P</v>
          </cell>
          <cell r="R24" t="str">
            <v>P</v>
          </cell>
          <cell r="S24" t="str">
            <v>P</v>
          </cell>
          <cell r="T24" t="str">
            <v>A</v>
          </cell>
          <cell r="U24" t="str">
            <v>P</v>
          </cell>
          <cell r="V24" t="str">
            <v>W/O</v>
          </cell>
          <cell r="W24" t="str">
            <v>P</v>
          </cell>
          <cell r="X24" t="str">
            <v>P</v>
          </cell>
          <cell r="Y24" t="str">
            <v>P</v>
          </cell>
          <cell r="Z24" t="str">
            <v>P</v>
          </cell>
          <cell r="AA24" t="str">
            <v>P</v>
          </cell>
          <cell r="AB24" t="str">
            <v>P</v>
          </cell>
          <cell r="AC24" t="str">
            <v>W/O</v>
          </cell>
          <cell r="AD24" t="str">
            <v>P</v>
          </cell>
          <cell r="AE24" t="str">
            <v>P</v>
          </cell>
          <cell r="AF24" t="str">
            <v>P</v>
          </cell>
          <cell r="AG24" t="str">
            <v>P</v>
          </cell>
          <cell r="AH24" t="str">
            <v>P</v>
          </cell>
          <cell r="AI24">
            <v>31</v>
          </cell>
          <cell r="AJ24">
            <v>24</v>
          </cell>
          <cell r="AK24">
            <v>4</v>
          </cell>
          <cell r="AL24">
            <v>3</v>
          </cell>
          <cell r="AM24">
            <v>0</v>
          </cell>
          <cell r="AN24">
            <v>0</v>
          </cell>
          <cell r="AO24">
            <v>28</v>
          </cell>
        </row>
        <row r="26">
          <cell r="A26">
            <v>11953</v>
          </cell>
          <cell r="B26" t="str">
            <v>Joynal Hussain Laskar</v>
          </cell>
          <cell r="C26" t="str">
            <v>HK Boy</v>
          </cell>
          <cell r="D26" t="str">
            <v>P</v>
          </cell>
          <cell r="E26" t="str">
            <v>P</v>
          </cell>
          <cell r="F26" t="str">
            <v>P</v>
          </cell>
          <cell r="G26" t="str">
            <v>P</v>
          </cell>
          <cell r="H26" t="str">
            <v>W/O</v>
          </cell>
          <cell r="I26" t="str">
            <v>P</v>
          </cell>
          <cell r="J26" t="str">
            <v>P</v>
          </cell>
          <cell r="K26" t="str">
            <v>P</v>
          </cell>
          <cell r="L26" t="str">
            <v>P</v>
          </cell>
          <cell r="M26" t="str">
            <v>P</v>
          </cell>
          <cell r="N26" t="str">
            <v>P</v>
          </cell>
          <cell r="O26" t="str">
            <v>W/O</v>
          </cell>
          <cell r="P26" t="str">
            <v>P</v>
          </cell>
          <cell r="Q26" t="str">
            <v>P</v>
          </cell>
          <cell r="R26" t="str">
            <v>P</v>
          </cell>
          <cell r="S26" t="str">
            <v>P</v>
          </cell>
          <cell r="T26" t="str">
            <v>P</v>
          </cell>
          <cell r="U26" t="str">
            <v>P</v>
          </cell>
          <cell r="V26" t="str">
            <v>W/O</v>
          </cell>
          <cell r="W26" t="str">
            <v>P</v>
          </cell>
          <cell r="X26" t="str">
            <v>P</v>
          </cell>
          <cell r="Y26" t="str">
            <v>P</v>
          </cell>
          <cell r="Z26" t="str">
            <v>P</v>
          </cell>
          <cell r="AA26" t="str">
            <v>P</v>
          </cell>
          <cell r="AB26" t="str">
            <v>P</v>
          </cell>
          <cell r="AC26" t="str">
            <v>W/O</v>
          </cell>
          <cell r="AD26" t="str">
            <v>P</v>
          </cell>
          <cell r="AE26" t="str">
            <v>P</v>
          </cell>
          <cell r="AF26" t="str">
            <v>P</v>
          </cell>
          <cell r="AG26" t="str">
            <v>P</v>
          </cell>
          <cell r="AH26" t="str">
            <v>P</v>
          </cell>
          <cell r="AI26">
            <v>31</v>
          </cell>
          <cell r="AJ26">
            <v>27</v>
          </cell>
          <cell r="AK26">
            <v>4</v>
          </cell>
          <cell r="AL26">
            <v>0</v>
          </cell>
          <cell r="AM26">
            <v>0</v>
          </cell>
          <cell r="AN26">
            <v>0</v>
          </cell>
          <cell r="AO26">
            <v>31</v>
          </cell>
        </row>
        <row r="28">
          <cell r="A28">
            <v>2</v>
          </cell>
          <cell r="B28" t="str">
            <v>Nasim Ahmed</v>
          </cell>
          <cell r="C28" t="str">
            <v>HK Boy</v>
          </cell>
          <cell r="L28" t="str">
            <v>P</v>
          </cell>
          <cell r="M28" t="str">
            <v>P</v>
          </cell>
          <cell r="N28" t="str">
            <v>P</v>
          </cell>
          <cell r="O28" t="str">
            <v>P</v>
          </cell>
          <cell r="P28" t="str">
            <v>P</v>
          </cell>
          <cell r="Q28" t="str">
            <v>P</v>
          </cell>
          <cell r="R28" t="str">
            <v>P</v>
          </cell>
          <cell r="S28" t="str">
            <v>P</v>
          </cell>
          <cell r="T28" t="str">
            <v>P</v>
          </cell>
          <cell r="U28" t="str">
            <v>P</v>
          </cell>
          <cell r="V28" t="str">
            <v>W/O</v>
          </cell>
          <cell r="W28" t="str">
            <v>A</v>
          </cell>
          <cell r="X28" t="str">
            <v>P</v>
          </cell>
          <cell r="Y28" t="str">
            <v>P</v>
          </cell>
          <cell r="Z28" t="str">
            <v>P</v>
          </cell>
          <cell r="AA28" t="str">
            <v>P</v>
          </cell>
          <cell r="AB28" t="str">
            <v>P</v>
          </cell>
          <cell r="AC28" t="str">
            <v>W/O</v>
          </cell>
          <cell r="AD28" t="str">
            <v>P</v>
          </cell>
          <cell r="AE28" t="str">
            <v>P</v>
          </cell>
          <cell r="AF28" t="str">
            <v>P</v>
          </cell>
          <cell r="AG28" t="str">
            <v>P</v>
          </cell>
          <cell r="AH28" t="str">
            <v>P</v>
          </cell>
          <cell r="AI28">
            <v>31</v>
          </cell>
          <cell r="AJ28">
            <v>20</v>
          </cell>
          <cell r="AK28">
            <v>2</v>
          </cell>
          <cell r="AL28">
            <v>1</v>
          </cell>
          <cell r="AM28">
            <v>0</v>
          </cell>
          <cell r="AN28">
            <v>0</v>
          </cell>
          <cell r="AO28">
            <v>22</v>
          </cell>
        </row>
        <row r="30">
          <cell r="A30">
            <v>11775</v>
          </cell>
          <cell r="B30" t="str">
            <v>Sridhar</v>
          </cell>
          <cell r="C30" t="str">
            <v>HK Boy</v>
          </cell>
          <cell r="D30" t="str">
            <v>P</v>
          </cell>
          <cell r="E30" t="str">
            <v>P</v>
          </cell>
          <cell r="F30" t="str">
            <v>P</v>
          </cell>
          <cell r="G30" t="str">
            <v>P</v>
          </cell>
          <cell r="H30" t="str">
            <v>W/O</v>
          </cell>
          <cell r="I30" t="str">
            <v>P</v>
          </cell>
          <cell r="AI30">
            <v>31</v>
          </cell>
          <cell r="AJ30">
            <v>5</v>
          </cell>
          <cell r="AK30">
            <v>1</v>
          </cell>
          <cell r="AL30">
            <v>0</v>
          </cell>
          <cell r="AM30">
            <v>0</v>
          </cell>
          <cell r="AN30">
            <v>0</v>
          </cell>
          <cell r="AO30">
            <v>6</v>
          </cell>
        </row>
        <row r="32">
          <cell r="B32" t="str">
            <v>EXSTRA MANPOWER</v>
          </cell>
          <cell r="AI32" t="str">
            <v>TOTAL</v>
          </cell>
          <cell r="AJ32">
            <v>309</v>
          </cell>
          <cell r="AK32">
            <v>47</v>
          </cell>
          <cell r="AL32">
            <v>14</v>
          </cell>
          <cell r="AM32">
            <v>0</v>
          </cell>
          <cell r="AN32">
            <v>0</v>
          </cell>
          <cell r="AO32">
            <v>356</v>
          </cell>
        </row>
      </sheetData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"/>
      <sheetName val="BANK STMT"/>
    </sheetNames>
    <sheetDataSet>
      <sheetData sheetId="0" refreshError="1"/>
      <sheetData sheetId="1">
        <row r="6">
          <cell r="A6">
            <v>12022</v>
          </cell>
          <cell r="B6" t="str">
            <v>Kuruma Vijaya Kumar</v>
          </cell>
          <cell r="C6" t="str">
            <v>Facility Excutive</v>
          </cell>
          <cell r="D6" t="str">
            <v>P</v>
          </cell>
          <cell r="E6" t="str">
            <v>P</v>
          </cell>
          <cell r="F6" t="str">
            <v>P</v>
          </cell>
          <cell r="G6" t="str">
            <v>P</v>
          </cell>
          <cell r="H6" t="str">
            <v>W/O</v>
          </cell>
          <cell r="I6" t="str">
            <v>P</v>
          </cell>
          <cell r="J6" t="str">
            <v>P</v>
          </cell>
          <cell r="K6" t="str">
            <v>P</v>
          </cell>
          <cell r="L6" t="str">
            <v>P</v>
          </cell>
          <cell r="M6" t="str">
            <v>P</v>
          </cell>
          <cell r="N6" t="str">
            <v>P</v>
          </cell>
          <cell r="O6" t="str">
            <v>W/O</v>
          </cell>
          <cell r="P6" t="str">
            <v>P</v>
          </cell>
          <cell r="Q6" t="str">
            <v>P</v>
          </cell>
          <cell r="R6" t="str">
            <v>P</v>
          </cell>
          <cell r="S6" t="str">
            <v>P</v>
          </cell>
          <cell r="T6" t="str">
            <v>P</v>
          </cell>
          <cell r="U6" t="str">
            <v>P</v>
          </cell>
          <cell r="V6" t="str">
            <v>W/O</v>
          </cell>
          <cell r="W6" t="str">
            <v>P</v>
          </cell>
          <cell r="X6" t="str">
            <v>P</v>
          </cell>
          <cell r="Y6" t="str">
            <v>P</v>
          </cell>
          <cell r="Z6" t="str">
            <v>P</v>
          </cell>
          <cell r="AA6" t="str">
            <v>P</v>
          </cell>
          <cell r="AB6" t="str">
            <v>P</v>
          </cell>
          <cell r="AC6" t="str">
            <v>W/O</v>
          </cell>
          <cell r="AD6" t="str">
            <v>P</v>
          </cell>
          <cell r="AE6" t="str">
            <v>P</v>
          </cell>
          <cell r="AF6" t="str">
            <v>P</v>
          </cell>
          <cell r="AG6" t="str">
            <v>P</v>
          </cell>
          <cell r="AH6" t="str">
            <v>P</v>
          </cell>
          <cell r="AI6">
            <v>31</v>
          </cell>
          <cell r="AJ6">
            <v>27</v>
          </cell>
          <cell r="AK6">
            <v>4</v>
          </cell>
          <cell r="AL6">
            <v>0</v>
          </cell>
          <cell r="AM6">
            <v>0</v>
          </cell>
          <cell r="AN6">
            <v>0</v>
          </cell>
          <cell r="AO6">
            <v>31</v>
          </cell>
        </row>
        <row r="8">
          <cell r="A8">
            <v>2</v>
          </cell>
          <cell r="B8" t="str">
            <v>S Mahesh</v>
          </cell>
          <cell r="C8" t="str">
            <v>HK SUP</v>
          </cell>
          <cell r="D8" t="str">
            <v>P</v>
          </cell>
          <cell r="E8" t="str">
            <v>P</v>
          </cell>
          <cell r="F8" t="str">
            <v>P</v>
          </cell>
          <cell r="G8" t="str">
            <v>P</v>
          </cell>
          <cell r="H8" t="str">
            <v>W/O</v>
          </cell>
          <cell r="I8" t="str">
            <v>P</v>
          </cell>
          <cell r="J8" t="str">
            <v>A</v>
          </cell>
          <cell r="K8" t="str">
            <v>P</v>
          </cell>
          <cell r="L8" t="str">
            <v>P</v>
          </cell>
          <cell r="M8" t="str">
            <v>P</v>
          </cell>
          <cell r="N8" t="str">
            <v>P</v>
          </cell>
          <cell r="O8" t="str">
            <v>W/O</v>
          </cell>
          <cell r="P8" t="str">
            <v>P</v>
          </cell>
          <cell r="Q8" t="str">
            <v>P</v>
          </cell>
          <cell r="R8" t="str">
            <v>P</v>
          </cell>
          <cell r="S8" t="str">
            <v>P</v>
          </cell>
          <cell r="T8" t="str">
            <v>P</v>
          </cell>
          <cell r="U8" t="str">
            <v>P</v>
          </cell>
          <cell r="V8" t="str">
            <v>W/O</v>
          </cell>
          <cell r="W8" t="str">
            <v>P</v>
          </cell>
          <cell r="X8" t="str">
            <v>P</v>
          </cell>
          <cell r="Y8" t="str">
            <v>P</v>
          </cell>
          <cell r="Z8" t="str">
            <v>P</v>
          </cell>
          <cell r="AA8" t="str">
            <v>P</v>
          </cell>
          <cell r="AB8" t="str">
            <v>W/O</v>
          </cell>
          <cell r="AC8" t="str">
            <v>P</v>
          </cell>
          <cell r="AD8" t="str">
            <v>P</v>
          </cell>
          <cell r="AE8" t="str">
            <v>P</v>
          </cell>
          <cell r="AF8" t="str">
            <v>P</v>
          </cell>
          <cell r="AG8" t="str">
            <v>P</v>
          </cell>
          <cell r="AH8" t="str">
            <v>P</v>
          </cell>
          <cell r="AI8">
            <v>31</v>
          </cell>
          <cell r="AJ8">
            <v>26</v>
          </cell>
          <cell r="AK8">
            <v>4</v>
          </cell>
          <cell r="AL8">
            <v>1</v>
          </cell>
          <cell r="AM8">
            <v>0</v>
          </cell>
          <cell r="AN8">
            <v>0</v>
          </cell>
          <cell r="AO8">
            <v>30</v>
          </cell>
        </row>
        <row r="10">
          <cell r="A10">
            <v>10605</v>
          </cell>
          <cell r="B10" t="str">
            <v>G Narendra</v>
          </cell>
          <cell r="C10" t="str">
            <v>MST</v>
          </cell>
          <cell r="D10" t="str">
            <v>P</v>
          </cell>
          <cell r="E10" t="str">
            <v>P</v>
          </cell>
          <cell r="F10" t="str">
            <v>P</v>
          </cell>
          <cell r="G10" t="str">
            <v>P</v>
          </cell>
          <cell r="H10" t="str">
            <v>W/O</v>
          </cell>
          <cell r="I10" t="str">
            <v>P</v>
          </cell>
          <cell r="J10" t="str">
            <v>C/O</v>
          </cell>
          <cell r="K10" t="str">
            <v>A</v>
          </cell>
          <cell r="L10" t="str">
            <v>P</v>
          </cell>
          <cell r="M10" t="str">
            <v>P</v>
          </cell>
          <cell r="N10" t="str">
            <v>P</v>
          </cell>
          <cell r="O10" t="str">
            <v>W/O</v>
          </cell>
          <cell r="P10" t="str">
            <v>P</v>
          </cell>
          <cell r="Q10" t="str">
            <v>P</v>
          </cell>
          <cell r="R10" t="str">
            <v>P</v>
          </cell>
          <cell r="S10" t="str">
            <v>P</v>
          </cell>
          <cell r="T10" t="str">
            <v>P</v>
          </cell>
          <cell r="U10" t="str">
            <v>P</v>
          </cell>
          <cell r="V10" t="str">
            <v>W/O</v>
          </cell>
          <cell r="W10" t="str">
            <v>P</v>
          </cell>
          <cell r="X10" t="str">
            <v>P</v>
          </cell>
          <cell r="Y10" t="str">
            <v>P</v>
          </cell>
          <cell r="Z10" t="str">
            <v>P</v>
          </cell>
          <cell r="AA10" t="str">
            <v>P</v>
          </cell>
          <cell r="AB10" t="str">
            <v>P</v>
          </cell>
          <cell r="AC10" t="str">
            <v>W/O</v>
          </cell>
          <cell r="AD10" t="str">
            <v>P</v>
          </cell>
          <cell r="AE10" t="str">
            <v>P</v>
          </cell>
          <cell r="AF10" t="str">
            <v>P</v>
          </cell>
          <cell r="AG10" t="str">
            <v>P</v>
          </cell>
          <cell r="AH10" t="str">
            <v>P</v>
          </cell>
          <cell r="AI10">
            <v>31</v>
          </cell>
          <cell r="AJ10">
            <v>25</v>
          </cell>
          <cell r="AK10">
            <v>4</v>
          </cell>
          <cell r="AL10">
            <v>1</v>
          </cell>
          <cell r="AM10">
            <v>0</v>
          </cell>
          <cell r="AN10">
            <v>1</v>
          </cell>
          <cell r="AO10">
            <v>30</v>
          </cell>
        </row>
        <row r="12">
          <cell r="A12">
            <v>11997</v>
          </cell>
          <cell r="B12" t="str">
            <v>Shantha Bai</v>
          </cell>
          <cell r="C12" t="str">
            <v>Hk Lady</v>
          </cell>
          <cell r="D12" t="str">
            <v>P</v>
          </cell>
          <cell r="E12" t="str">
            <v>P</v>
          </cell>
          <cell r="F12" t="str">
            <v>P</v>
          </cell>
          <cell r="G12" t="str">
            <v>W/O</v>
          </cell>
          <cell r="H12" t="str">
            <v>A</v>
          </cell>
          <cell r="I12" t="str">
            <v>P</v>
          </cell>
          <cell r="J12" t="str">
            <v>P</v>
          </cell>
          <cell r="K12" t="str">
            <v>P</v>
          </cell>
          <cell r="L12" t="str">
            <v>P</v>
          </cell>
          <cell r="M12" t="str">
            <v>P</v>
          </cell>
          <cell r="N12" t="str">
            <v>W/O</v>
          </cell>
          <cell r="O12" t="str">
            <v>P</v>
          </cell>
          <cell r="P12" t="str">
            <v>P</v>
          </cell>
          <cell r="Q12" t="str">
            <v>P</v>
          </cell>
          <cell r="R12" t="str">
            <v>P</v>
          </cell>
          <cell r="S12" t="str">
            <v>P</v>
          </cell>
          <cell r="T12" t="str">
            <v>P</v>
          </cell>
          <cell r="U12" t="str">
            <v>P</v>
          </cell>
          <cell r="V12" t="str">
            <v>W/O</v>
          </cell>
          <cell r="W12" t="str">
            <v>P</v>
          </cell>
          <cell r="X12" t="str">
            <v>P</v>
          </cell>
          <cell r="Y12" t="str">
            <v>P</v>
          </cell>
          <cell r="Z12" t="str">
            <v>P</v>
          </cell>
          <cell r="AA12" t="str">
            <v>P</v>
          </cell>
          <cell r="AB12" t="str">
            <v>P</v>
          </cell>
          <cell r="AC12" t="str">
            <v>W/O</v>
          </cell>
          <cell r="AD12" t="str">
            <v>P</v>
          </cell>
          <cell r="AE12" t="str">
            <v>A</v>
          </cell>
          <cell r="AF12" t="str">
            <v>P</v>
          </cell>
          <cell r="AG12" t="str">
            <v>P</v>
          </cell>
          <cell r="AH12" t="str">
            <v>P</v>
          </cell>
          <cell r="AI12">
            <v>31</v>
          </cell>
          <cell r="AJ12">
            <v>25</v>
          </cell>
          <cell r="AK12">
            <v>4</v>
          </cell>
          <cell r="AL12">
            <v>2</v>
          </cell>
          <cell r="AM12">
            <v>0</v>
          </cell>
          <cell r="AN12">
            <v>0</v>
          </cell>
          <cell r="AO12">
            <v>29</v>
          </cell>
        </row>
        <row r="14">
          <cell r="A14">
            <v>12053</v>
          </cell>
          <cell r="B14" t="str">
            <v>B. VASUDHA</v>
          </cell>
          <cell r="C14" t="str">
            <v>Hk Lady</v>
          </cell>
          <cell r="D14" t="str">
            <v>P</v>
          </cell>
          <cell r="E14" t="str">
            <v>P</v>
          </cell>
          <cell r="F14" t="str">
            <v>P</v>
          </cell>
          <cell r="G14" t="str">
            <v>W/O</v>
          </cell>
          <cell r="H14" t="str">
            <v>P</v>
          </cell>
          <cell r="I14" t="str">
            <v>P</v>
          </cell>
          <cell r="J14" t="str">
            <v>P</v>
          </cell>
          <cell r="K14" t="str">
            <v>P</v>
          </cell>
          <cell r="L14" t="str">
            <v>P</v>
          </cell>
          <cell r="M14" t="str">
            <v>P</v>
          </cell>
          <cell r="N14" t="str">
            <v>W/O</v>
          </cell>
          <cell r="O14" t="str">
            <v>P</v>
          </cell>
          <cell r="P14" t="str">
            <v>P</v>
          </cell>
          <cell r="Q14" t="str">
            <v>P</v>
          </cell>
          <cell r="R14" t="str">
            <v>P</v>
          </cell>
          <cell r="S14" t="str">
            <v>P</v>
          </cell>
          <cell r="T14" t="str">
            <v>P</v>
          </cell>
          <cell r="U14" t="str">
            <v>W/O</v>
          </cell>
          <cell r="V14" t="str">
            <v>P</v>
          </cell>
          <cell r="W14" t="str">
            <v>A</v>
          </cell>
          <cell r="X14" t="str">
            <v>P</v>
          </cell>
          <cell r="Y14" t="str">
            <v>P</v>
          </cell>
          <cell r="Z14" t="str">
            <v>P</v>
          </cell>
          <cell r="AA14" t="str">
            <v>P</v>
          </cell>
          <cell r="AB14" t="str">
            <v>W/O</v>
          </cell>
          <cell r="AC14" t="str">
            <v>P</v>
          </cell>
          <cell r="AD14" t="str">
            <v>P</v>
          </cell>
          <cell r="AE14" t="str">
            <v>P</v>
          </cell>
          <cell r="AF14" t="str">
            <v>P</v>
          </cell>
          <cell r="AG14" t="str">
            <v>P</v>
          </cell>
          <cell r="AH14" t="str">
            <v>P</v>
          </cell>
          <cell r="AI14">
            <v>31</v>
          </cell>
          <cell r="AJ14">
            <v>26</v>
          </cell>
          <cell r="AK14">
            <v>4</v>
          </cell>
          <cell r="AL14">
            <v>1</v>
          </cell>
          <cell r="AM14">
            <v>0</v>
          </cell>
          <cell r="AN14">
            <v>0</v>
          </cell>
          <cell r="AO14">
            <v>30</v>
          </cell>
        </row>
        <row r="16">
          <cell r="A16">
            <v>12073</v>
          </cell>
          <cell r="B16" t="str">
            <v>Arathi</v>
          </cell>
          <cell r="C16" t="str">
            <v>HK Lady</v>
          </cell>
          <cell r="D16" t="str">
            <v>P</v>
          </cell>
          <cell r="E16" t="str">
            <v>P</v>
          </cell>
          <cell r="F16" t="str">
            <v>A</v>
          </cell>
          <cell r="G16" t="str">
            <v>W/O</v>
          </cell>
          <cell r="H16" t="str">
            <v>P</v>
          </cell>
          <cell r="I16" t="str">
            <v>P</v>
          </cell>
          <cell r="J16" t="str">
            <v>P</v>
          </cell>
          <cell r="K16" t="str">
            <v>P</v>
          </cell>
          <cell r="L16" t="str">
            <v>P</v>
          </cell>
          <cell r="M16" t="str">
            <v>P</v>
          </cell>
          <cell r="N16" t="str">
            <v>P</v>
          </cell>
          <cell r="O16" t="str">
            <v>W/O</v>
          </cell>
          <cell r="P16" t="str">
            <v>A</v>
          </cell>
          <cell r="Q16" t="str">
            <v>P</v>
          </cell>
          <cell r="R16" t="str">
            <v>P</v>
          </cell>
          <cell r="S16" t="str">
            <v>P</v>
          </cell>
          <cell r="T16" t="str">
            <v>P</v>
          </cell>
          <cell r="U16" t="str">
            <v>W/O</v>
          </cell>
          <cell r="V16" t="str">
            <v>A</v>
          </cell>
          <cell r="W16" t="str">
            <v>A</v>
          </cell>
          <cell r="X16" t="str">
            <v>A</v>
          </cell>
          <cell r="Y16" t="str">
            <v>A</v>
          </cell>
          <cell r="Z16" t="str">
            <v>A</v>
          </cell>
          <cell r="AA16" t="str">
            <v>A</v>
          </cell>
          <cell r="AB16" t="str">
            <v>A</v>
          </cell>
          <cell r="AC16" t="str">
            <v>A</v>
          </cell>
          <cell r="AD16" t="str">
            <v>A</v>
          </cell>
          <cell r="AE16" t="str">
            <v>A</v>
          </cell>
          <cell r="AF16" t="str">
            <v>A</v>
          </cell>
          <cell r="AG16" t="str">
            <v>A</v>
          </cell>
          <cell r="AH16" t="str">
            <v>A</v>
          </cell>
          <cell r="AI16">
            <v>31</v>
          </cell>
          <cell r="AJ16">
            <v>13</v>
          </cell>
          <cell r="AK16">
            <v>3</v>
          </cell>
          <cell r="AL16">
            <v>15</v>
          </cell>
          <cell r="AM16">
            <v>0</v>
          </cell>
          <cell r="AN16">
            <v>0</v>
          </cell>
          <cell r="AO16">
            <v>16</v>
          </cell>
        </row>
        <row r="18">
          <cell r="A18">
            <v>12070</v>
          </cell>
          <cell r="B18" t="str">
            <v>Radhika</v>
          </cell>
          <cell r="C18" t="str">
            <v>HK Lady</v>
          </cell>
          <cell r="D18" t="str">
            <v>A</v>
          </cell>
          <cell r="E18" t="str">
            <v>P</v>
          </cell>
          <cell r="F18" t="str">
            <v>P</v>
          </cell>
          <cell r="G18" t="str">
            <v>P</v>
          </cell>
          <cell r="H18" t="str">
            <v>W/O</v>
          </cell>
          <cell r="I18" t="str">
            <v>P</v>
          </cell>
          <cell r="J18" t="str">
            <v>P</v>
          </cell>
          <cell r="K18" t="str">
            <v>P</v>
          </cell>
          <cell r="L18" t="str">
            <v>P</v>
          </cell>
          <cell r="M18" t="str">
            <v>P</v>
          </cell>
          <cell r="N18" t="str">
            <v>P</v>
          </cell>
          <cell r="O18" t="str">
            <v>W/O</v>
          </cell>
          <cell r="P18" t="str">
            <v>A</v>
          </cell>
          <cell r="Q18" t="str">
            <v>A</v>
          </cell>
          <cell r="R18" t="str">
            <v>A</v>
          </cell>
          <cell r="S18" t="str">
            <v>A</v>
          </cell>
          <cell r="T18" t="str">
            <v>A</v>
          </cell>
          <cell r="U18" t="str">
            <v>A</v>
          </cell>
          <cell r="V18" t="str">
            <v>A</v>
          </cell>
          <cell r="W18" t="str">
            <v>P</v>
          </cell>
          <cell r="X18" t="str">
            <v>P</v>
          </cell>
          <cell r="Y18" t="str">
            <v>P</v>
          </cell>
          <cell r="Z18" t="str">
            <v>P</v>
          </cell>
          <cell r="AA18" t="str">
            <v>P</v>
          </cell>
          <cell r="AB18" t="str">
            <v>P</v>
          </cell>
          <cell r="AC18" t="str">
            <v>W/O</v>
          </cell>
          <cell r="AD18" t="str">
            <v>P</v>
          </cell>
          <cell r="AE18" t="str">
            <v>P</v>
          </cell>
          <cell r="AF18" t="str">
            <v>P</v>
          </cell>
          <cell r="AG18" t="str">
            <v>P</v>
          </cell>
          <cell r="AH18" t="str">
            <v>P</v>
          </cell>
          <cell r="AI18">
            <v>31</v>
          </cell>
          <cell r="AJ18">
            <v>20</v>
          </cell>
          <cell r="AK18">
            <v>3</v>
          </cell>
          <cell r="AL18">
            <v>8</v>
          </cell>
          <cell r="AM18">
            <v>0</v>
          </cell>
          <cell r="AN18">
            <v>0</v>
          </cell>
          <cell r="AO18">
            <v>23</v>
          </cell>
        </row>
        <row r="20">
          <cell r="A20">
            <v>10896</v>
          </cell>
          <cell r="B20" t="str">
            <v>Ramulu nayak</v>
          </cell>
          <cell r="C20" t="str">
            <v>HK Boy</v>
          </cell>
          <cell r="D20" t="str">
            <v>P</v>
          </cell>
          <cell r="E20" t="str">
            <v>P</v>
          </cell>
          <cell r="F20" t="str">
            <v>P</v>
          </cell>
          <cell r="G20" t="str">
            <v>W/O</v>
          </cell>
          <cell r="H20" t="str">
            <v>A</v>
          </cell>
          <cell r="I20" t="str">
            <v>P</v>
          </cell>
          <cell r="J20" t="str">
            <v>P</v>
          </cell>
          <cell r="K20" t="str">
            <v>P</v>
          </cell>
          <cell r="L20" t="str">
            <v>P</v>
          </cell>
          <cell r="M20" t="str">
            <v>P</v>
          </cell>
          <cell r="N20" t="str">
            <v>W/O</v>
          </cell>
          <cell r="O20" t="str">
            <v>P</v>
          </cell>
          <cell r="P20" t="str">
            <v>P</v>
          </cell>
          <cell r="Q20" t="str">
            <v>P</v>
          </cell>
          <cell r="R20" t="str">
            <v>P</v>
          </cell>
          <cell r="S20" t="str">
            <v>P</v>
          </cell>
          <cell r="T20" t="str">
            <v>P</v>
          </cell>
          <cell r="U20" t="str">
            <v>P</v>
          </cell>
          <cell r="V20" t="str">
            <v>W/O</v>
          </cell>
          <cell r="W20" t="str">
            <v>P</v>
          </cell>
          <cell r="X20" t="str">
            <v>P</v>
          </cell>
          <cell r="Y20" t="str">
            <v>P</v>
          </cell>
          <cell r="Z20" t="str">
            <v>P</v>
          </cell>
          <cell r="AA20" t="str">
            <v>P</v>
          </cell>
          <cell r="AB20" t="str">
            <v>P</v>
          </cell>
          <cell r="AC20" t="str">
            <v>W/O</v>
          </cell>
          <cell r="AD20" t="str">
            <v>P</v>
          </cell>
          <cell r="AE20" t="str">
            <v>A</v>
          </cell>
          <cell r="AF20" t="str">
            <v>P</v>
          </cell>
          <cell r="AG20" t="str">
            <v>P</v>
          </cell>
          <cell r="AH20" t="str">
            <v>P</v>
          </cell>
          <cell r="AI20">
            <v>31</v>
          </cell>
          <cell r="AJ20">
            <v>25</v>
          </cell>
          <cell r="AK20">
            <v>4</v>
          </cell>
          <cell r="AL20">
            <v>2</v>
          </cell>
          <cell r="AM20">
            <v>0</v>
          </cell>
          <cell r="AN20">
            <v>0</v>
          </cell>
          <cell r="AO20">
            <v>29</v>
          </cell>
        </row>
        <row r="22">
          <cell r="A22">
            <v>1</v>
          </cell>
          <cell r="B22" t="str">
            <v>Kota yadaiah</v>
          </cell>
          <cell r="C22" t="str">
            <v>HK Boy</v>
          </cell>
          <cell r="D22" t="str">
            <v>P</v>
          </cell>
          <cell r="E22" t="str">
            <v>P</v>
          </cell>
          <cell r="F22" t="str">
            <v>P</v>
          </cell>
          <cell r="G22" t="str">
            <v>P</v>
          </cell>
          <cell r="H22" t="str">
            <v>W/O</v>
          </cell>
          <cell r="I22" t="str">
            <v>P</v>
          </cell>
          <cell r="J22" t="str">
            <v>P</v>
          </cell>
          <cell r="K22" t="str">
            <v>P</v>
          </cell>
          <cell r="L22" t="str">
            <v>P</v>
          </cell>
          <cell r="M22" t="str">
            <v>P</v>
          </cell>
          <cell r="N22" t="str">
            <v>P</v>
          </cell>
          <cell r="O22" t="str">
            <v>W/O</v>
          </cell>
          <cell r="P22" t="str">
            <v>P</v>
          </cell>
          <cell r="Q22" t="str">
            <v>P</v>
          </cell>
          <cell r="R22" t="str">
            <v>P</v>
          </cell>
          <cell r="S22" t="str">
            <v>P</v>
          </cell>
          <cell r="T22" t="str">
            <v>P</v>
          </cell>
          <cell r="U22" t="str">
            <v>W/O</v>
          </cell>
          <cell r="V22" t="str">
            <v>A</v>
          </cell>
          <cell r="W22" t="str">
            <v>A</v>
          </cell>
          <cell r="X22" t="str">
            <v>A</v>
          </cell>
          <cell r="Y22" t="str">
            <v>A</v>
          </cell>
          <cell r="Z22" t="str">
            <v>A</v>
          </cell>
          <cell r="AA22" t="str">
            <v>A</v>
          </cell>
          <cell r="AB22" t="str">
            <v>A</v>
          </cell>
          <cell r="AC22" t="str">
            <v>A</v>
          </cell>
          <cell r="AD22" t="str">
            <v>A</v>
          </cell>
          <cell r="AE22" t="str">
            <v>A</v>
          </cell>
          <cell r="AF22" t="str">
            <v>A</v>
          </cell>
          <cell r="AG22" t="str">
            <v>A</v>
          </cell>
          <cell r="AH22" t="str">
            <v>A</v>
          </cell>
          <cell r="AI22">
            <v>31</v>
          </cell>
          <cell r="AJ22">
            <v>15</v>
          </cell>
          <cell r="AK22">
            <v>3</v>
          </cell>
          <cell r="AL22">
            <v>13</v>
          </cell>
          <cell r="AM22">
            <v>0</v>
          </cell>
          <cell r="AN22">
            <v>0</v>
          </cell>
          <cell r="AO22">
            <v>18</v>
          </cell>
        </row>
        <row r="24">
          <cell r="A24">
            <v>12039</v>
          </cell>
          <cell r="B24" t="str">
            <v>Rupan Das</v>
          </cell>
          <cell r="C24" t="str">
            <v>HK Boy</v>
          </cell>
          <cell r="D24" t="str">
            <v>P</v>
          </cell>
          <cell r="E24" t="str">
            <v>P</v>
          </cell>
          <cell r="F24" t="str">
            <v>P</v>
          </cell>
          <cell r="G24" t="str">
            <v>W/O</v>
          </cell>
          <cell r="H24" t="str">
            <v>P</v>
          </cell>
          <cell r="I24" t="str">
            <v>P</v>
          </cell>
          <cell r="J24" t="str">
            <v>P</v>
          </cell>
          <cell r="K24" t="str">
            <v>P</v>
          </cell>
          <cell r="L24" t="str">
            <v>P</v>
          </cell>
          <cell r="M24" t="str">
            <v>P</v>
          </cell>
          <cell r="N24" t="str">
            <v>P</v>
          </cell>
          <cell r="O24" t="str">
            <v>W/O</v>
          </cell>
          <cell r="P24" t="str">
            <v>P</v>
          </cell>
          <cell r="Q24" t="str">
            <v>P</v>
          </cell>
          <cell r="R24" t="str">
            <v>P</v>
          </cell>
          <cell r="S24" t="str">
            <v>P</v>
          </cell>
          <cell r="T24" t="str">
            <v>P</v>
          </cell>
          <cell r="U24" t="str">
            <v>P</v>
          </cell>
          <cell r="V24" t="str">
            <v>W/O</v>
          </cell>
          <cell r="W24" t="str">
            <v>P</v>
          </cell>
          <cell r="X24" t="str">
            <v>P</v>
          </cell>
          <cell r="Y24" t="str">
            <v>P</v>
          </cell>
          <cell r="Z24" t="str">
            <v>P</v>
          </cell>
          <cell r="AA24" t="str">
            <v>P</v>
          </cell>
          <cell r="AB24" t="str">
            <v>P</v>
          </cell>
          <cell r="AC24" t="str">
            <v>W/O</v>
          </cell>
          <cell r="AD24" t="str">
            <v>P</v>
          </cell>
          <cell r="AE24" t="str">
            <v>P</v>
          </cell>
          <cell r="AF24" t="str">
            <v>P</v>
          </cell>
          <cell r="AG24" t="str">
            <v>P</v>
          </cell>
          <cell r="AH24" t="str">
            <v>P</v>
          </cell>
          <cell r="AI24">
            <v>31</v>
          </cell>
          <cell r="AJ24">
            <v>27</v>
          </cell>
          <cell r="AK24">
            <v>4</v>
          </cell>
          <cell r="AL24">
            <v>0</v>
          </cell>
          <cell r="AM24">
            <v>0</v>
          </cell>
          <cell r="AN24">
            <v>0</v>
          </cell>
          <cell r="AO24">
            <v>31</v>
          </cell>
        </row>
        <row r="26">
          <cell r="A26">
            <v>12034</v>
          </cell>
          <cell r="B26" t="str">
            <v xml:space="preserve">Faizur Rahman </v>
          </cell>
          <cell r="C26" t="str">
            <v>HK Boy</v>
          </cell>
          <cell r="D26" t="str">
            <v>P</v>
          </cell>
          <cell r="E26" t="str">
            <v>P</v>
          </cell>
          <cell r="F26" t="str">
            <v>P</v>
          </cell>
          <cell r="G26" t="str">
            <v>W/O</v>
          </cell>
          <cell r="H26" t="str">
            <v>P</v>
          </cell>
          <cell r="I26" t="str">
            <v>P</v>
          </cell>
          <cell r="J26" t="str">
            <v>P</v>
          </cell>
          <cell r="K26" t="str">
            <v>P</v>
          </cell>
          <cell r="L26" t="str">
            <v>P</v>
          </cell>
          <cell r="M26" t="str">
            <v>P</v>
          </cell>
          <cell r="N26" t="str">
            <v>W/O</v>
          </cell>
          <cell r="O26" t="str">
            <v>P</v>
          </cell>
          <cell r="P26" t="str">
            <v>P</v>
          </cell>
          <cell r="Q26" t="str">
            <v>P</v>
          </cell>
          <cell r="R26" t="str">
            <v>P</v>
          </cell>
          <cell r="S26" t="str">
            <v>P</v>
          </cell>
          <cell r="T26" t="str">
            <v>P</v>
          </cell>
          <cell r="U26" t="str">
            <v>W/O</v>
          </cell>
          <cell r="V26" t="str">
            <v>P</v>
          </cell>
          <cell r="W26" t="str">
            <v>P</v>
          </cell>
          <cell r="X26" t="str">
            <v>P</v>
          </cell>
          <cell r="Y26" t="str">
            <v>A</v>
          </cell>
          <cell r="Z26" t="str">
            <v>A</v>
          </cell>
          <cell r="AA26" t="str">
            <v>P</v>
          </cell>
          <cell r="AB26" t="str">
            <v>W/O</v>
          </cell>
          <cell r="AC26" t="str">
            <v>P</v>
          </cell>
          <cell r="AD26" t="str">
            <v>P</v>
          </cell>
          <cell r="AE26" t="str">
            <v>P</v>
          </cell>
          <cell r="AF26" t="str">
            <v>P</v>
          </cell>
          <cell r="AG26" t="str">
            <v>P</v>
          </cell>
          <cell r="AH26" t="str">
            <v>P</v>
          </cell>
          <cell r="AI26">
            <v>31</v>
          </cell>
          <cell r="AJ26">
            <v>25</v>
          </cell>
          <cell r="AK26">
            <v>4</v>
          </cell>
          <cell r="AL26">
            <v>2</v>
          </cell>
          <cell r="AM26">
            <v>0</v>
          </cell>
          <cell r="AN26">
            <v>0</v>
          </cell>
          <cell r="AO26">
            <v>29</v>
          </cell>
        </row>
        <row r="28">
          <cell r="A28">
            <v>3</v>
          </cell>
          <cell r="B28" t="str">
            <v>Dilwar hussain</v>
          </cell>
          <cell r="C28" t="str">
            <v>HK Boy</v>
          </cell>
          <cell r="D28" t="str">
            <v>NEW JOINING</v>
          </cell>
          <cell r="G28" t="str">
            <v>P</v>
          </cell>
          <cell r="H28" t="str">
            <v>P</v>
          </cell>
          <cell r="I28" t="str">
            <v>P</v>
          </cell>
          <cell r="J28" t="str">
            <v>P</v>
          </cell>
          <cell r="K28" t="str">
            <v>P</v>
          </cell>
          <cell r="L28" t="str">
            <v>P</v>
          </cell>
          <cell r="M28" t="str">
            <v>P</v>
          </cell>
          <cell r="N28" t="str">
            <v>W/O</v>
          </cell>
          <cell r="O28" t="str">
            <v>P</v>
          </cell>
          <cell r="P28" t="str">
            <v>P</v>
          </cell>
          <cell r="Q28" t="str">
            <v>P</v>
          </cell>
          <cell r="R28" t="str">
            <v>P</v>
          </cell>
          <cell r="S28" t="str">
            <v>P</v>
          </cell>
          <cell r="T28" t="str">
            <v>P</v>
          </cell>
          <cell r="U28" t="str">
            <v>W/O</v>
          </cell>
          <cell r="V28" t="str">
            <v>P</v>
          </cell>
          <cell r="W28" t="str">
            <v>P</v>
          </cell>
          <cell r="X28" t="str">
            <v>P</v>
          </cell>
          <cell r="Y28" t="str">
            <v>P</v>
          </cell>
          <cell r="Z28" t="str">
            <v>P</v>
          </cell>
          <cell r="AA28" t="str">
            <v>P</v>
          </cell>
          <cell r="AB28" t="str">
            <v>W/O</v>
          </cell>
          <cell r="AC28" t="str">
            <v>P</v>
          </cell>
          <cell r="AD28" t="str">
            <v>P</v>
          </cell>
          <cell r="AE28" t="str">
            <v>P</v>
          </cell>
          <cell r="AF28" t="str">
            <v>P</v>
          </cell>
          <cell r="AG28" t="str">
            <v>P</v>
          </cell>
          <cell r="AH28" t="str">
            <v>P</v>
          </cell>
          <cell r="AI28">
            <v>31</v>
          </cell>
          <cell r="AJ28">
            <v>25</v>
          </cell>
          <cell r="AK28">
            <v>3</v>
          </cell>
          <cell r="AL28">
            <v>0</v>
          </cell>
          <cell r="AM28">
            <v>0</v>
          </cell>
          <cell r="AN28">
            <v>0</v>
          </cell>
          <cell r="AO28">
            <v>28</v>
          </cell>
        </row>
        <row r="30">
          <cell r="A30">
            <v>4</v>
          </cell>
          <cell r="B30" t="str">
            <v>Sujatha kerketta</v>
          </cell>
          <cell r="C30" t="str">
            <v>HK Lady</v>
          </cell>
          <cell r="D30" t="str">
            <v>NEW JOINING</v>
          </cell>
          <cell r="P30" t="str">
            <v>P</v>
          </cell>
          <cell r="Q30" t="str">
            <v>P</v>
          </cell>
          <cell r="R30" t="str">
            <v>P</v>
          </cell>
          <cell r="S30" t="str">
            <v>P</v>
          </cell>
          <cell r="T30" t="str">
            <v>P</v>
          </cell>
          <cell r="U30" t="str">
            <v>P</v>
          </cell>
          <cell r="V30" t="str">
            <v>W/O</v>
          </cell>
          <cell r="W30" t="str">
            <v>P</v>
          </cell>
          <cell r="X30" t="str">
            <v>P</v>
          </cell>
          <cell r="Y30" t="str">
            <v>P</v>
          </cell>
          <cell r="Z30" t="str">
            <v>P</v>
          </cell>
          <cell r="AA30" t="str">
            <v>P</v>
          </cell>
          <cell r="AB30" t="str">
            <v>P</v>
          </cell>
          <cell r="AC30" t="str">
            <v>W/O</v>
          </cell>
          <cell r="AD30" t="str">
            <v>P</v>
          </cell>
          <cell r="AE30" t="str">
            <v>P</v>
          </cell>
          <cell r="AF30" t="str">
            <v>P</v>
          </cell>
          <cell r="AG30" t="str">
            <v>P</v>
          </cell>
          <cell r="AH30" t="str">
            <v>P</v>
          </cell>
          <cell r="AI30">
            <v>31</v>
          </cell>
          <cell r="AJ30">
            <v>17</v>
          </cell>
          <cell r="AK30">
            <v>2</v>
          </cell>
          <cell r="AL30">
            <v>0</v>
          </cell>
          <cell r="AM30">
            <v>0</v>
          </cell>
          <cell r="AN30">
            <v>0</v>
          </cell>
          <cell r="AO30">
            <v>19</v>
          </cell>
        </row>
        <row r="32">
          <cell r="A32">
            <v>5</v>
          </cell>
          <cell r="B32" t="str">
            <v>Kinkar</v>
          </cell>
          <cell r="C32" t="str">
            <v>HK Boy</v>
          </cell>
          <cell r="D32" t="str">
            <v>NEW JOINING</v>
          </cell>
          <cell r="X32" t="str">
            <v>P</v>
          </cell>
          <cell r="Y32" t="str">
            <v>P</v>
          </cell>
          <cell r="Z32" t="str">
            <v>P</v>
          </cell>
          <cell r="AA32" t="str">
            <v>P</v>
          </cell>
          <cell r="AB32" t="str">
            <v>P</v>
          </cell>
          <cell r="AC32" t="str">
            <v>W/O</v>
          </cell>
          <cell r="AD32" t="str">
            <v>P</v>
          </cell>
          <cell r="AE32" t="str">
            <v>P</v>
          </cell>
          <cell r="AF32" t="str">
            <v>P</v>
          </cell>
          <cell r="AG32" t="str">
            <v>A</v>
          </cell>
          <cell r="AH32" t="str">
            <v>P</v>
          </cell>
          <cell r="AI32">
            <v>31</v>
          </cell>
          <cell r="AJ32">
            <v>9</v>
          </cell>
          <cell r="AK32">
            <v>1</v>
          </cell>
          <cell r="AL32">
            <v>1</v>
          </cell>
          <cell r="AM32">
            <v>0</v>
          </cell>
          <cell r="AN32">
            <v>0</v>
          </cell>
          <cell r="AO32">
            <v>10</v>
          </cell>
        </row>
      </sheetData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 1"/>
      <sheetName val="ATTANDANCE"/>
      <sheetName val="PAYSHEET"/>
      <sheetName val="BANK STMT"/>
    </sheetNames>
    <sheetDataSet>
      <sheetData sheetId="0" refreshError="1"/>
      <sheetData sheetId="1">
        <row r="5">
          <cell r="B5">
            <v>10279</v>
          </cell>
          <cell r="C5" t="str">
            <v xml:space="preserve"> R.ANIL KUMAR</v>
          </cell>
          <cell r="D5" t="str">
            <v>TECH EXE</v>
          </cell>
          <cell r="E5" t="str">
            <v>A</v>
          </cell>
          <cell r="F5" t="str">
            <v>G</v>
          </cell>
          <cell r="G5" t="str">
            <v>W/O</v>
          </cell>
          <cell r="H5" t="str">
            <v>G</v>
          </cell>
          <cell r="I5" t="str">
            <v>G</v>
          </cell>
          <cell r="J5" t="str">
            <v>A</v>
          </cell>
          <cell r="K5" t="str">
            <v>A</v>
          </cell>
          <cell r="L5" t="str">
            <v>A</v>
          </cell>
          <cell r="M5" t="str">
            <v>G</v>
          </cell>
          <cell r="N5" t="str">
            <v>W/O</v>
          </cell>
          <cell r="O5" t="str">
            <v>G</v>
          </cell>
          <cell r="P5" t="str">
            <v>G</v>
          </cell>
          <cell r="Q5" t="str">
            <v>A</v>
          </cell>
          <cell r="R5" t="str">
            <v>A</v>
          </cell>
          <cell r="S5" t="str">
            <v>A</v>
          </cell>
          <cell r="T5" t="str">
            <v>G</v>
          </cell>
          <cell r="U5" t="str">
            <v>W/O</v>
          </cell>
          <cell r="V5" t="str">
            <v>G</v>
          </cell>
          <cell r="W5" t="str">
            <v>G</v>
          </cell>
          <cell r="X5" t="str">
            <v>A</v>
          </cell>
          <cell r="Y5" t="str">
            <v>A</v>
          </cell>
          <cell r="Z5" t="str">
            <v>A</v>
          </cell>
          <cell r="AA5" t="str">
            <v>G</v>
          </cell>
          <cell r="AB5" t="str">
            <v>W/O</v>
          </cell>
          <cell r="AC5" t="str">
            <v>G</v>
          </cell>
          <cell r="AD5" t="str">
            <v>G</v>
          </cell>
          <cell r="AE5" t="str">
            <v>A</v>
          </cell>
          <cell r="AF5" t="str">
            <v>A</v>
          </cell>
          <cell r="AG5" t="str">
            <v>A</v>
          </cell>
          <cell r="AH5" t="str">
            <v>G</v>
          </cell>
          <cell r="AI5">
            <v>30</v>
          </cell>
          <cell r="AJ5">
            <v>30</v>
          </cell>
          <cell r="AK5">
            <v>0</v>
          </cell>
          <cell r="AL5">
            <v>30</v>
          </cell>
        </row>
        <row r="6">
          <cell r="D6" t="str">
            <v>OT</v>
          </cell>
        </row>
        <row r="7">
          <cell r="B7">
            <v>11585</v>
          </cell>
          <cell r="C7" t="str">
            <v>K.SUDHAKAR</v>
          </cell>
          <cell r="D7" t="str">
            <v>MST</v>
          </cell>
          <cell r="E7" t="str">
            <v>B</v>
          </cell>
          <cell r="F7" t="str">
            <v>B</v>
          </cell>
          <cell r="G7" t="str">
            <v>A</v>
          </cell>
          <cell r="H7" t="str">
            <v>C</v>
          </cell>
          <cell r="I7" t="str">
            <v>C</v>
          </cell>
          <cell r="J7" t="str">
            <v>B</v>
          </cell>
          <cell r="K7" t="str">
            <v>W/O</v>
          </cell>
          <cell r="L7" t="str">
            <v>B</v>
          </cell>
          <cell r="M7" t="str">
            <v>A</v>
          </cell>
          <cell r="N7" t="str">
            <v>B</v>
          </cell>
          <cell r="O7" t="str">
            <v>A</v>
          </cell>
          <cell r="P7" t="str">
            <v>A</v>
          </cell>
          <cell r="Q7" t="str">
            <v>C</v>
          </cell>
          <cell r="R7" t="str">
            <v>W/O</v>
          </cell>
          <cell r="S7" t="str">
            <v>B</v>
          </cell>
          <cell r="T7" t="str">
            <v>C</v>
          </cell>
          <cell r="U7" t="str">
            <v>B</v>
          </cell>
          <cell r="V7" t="str">
            <v>C</v>
          </cell>
          <cell r="W7" t="str">
            <v>B</v>
          </cell>
          <cell r="X7" t="str">
            <v>B</v>
          </cell>
          <cell r="Y7" t="str">
            <v>W/O</v>
          </cell>
          <cell r="Z7" t="str">
            <v>B</v>
          </cell>
          <cell r="AA7" t="str">
            <v>A</v>
          </cell>
          <cell r="AB7" t="str">
            <v>A</v>
          </cell>
          <cell r="AC7" t="str">
            <v>B</v>
          </cell>
          <cell r="AD7" t="str">
            <v>A</v>
          </cell>
          <cell r="AE7" t="str">
            <v>C</v>
          </cell>
          <cell r="AF7" t="str">
            <v>W/O</v>
          </cell>
          <cell r="AG7" t="str">
            <v>C</v>
          </cell>
          <cell r="AH7" t="str">
            <v>C</v>
          </cell>
          <cell r="AI7">
            <v>30</v>
          </cell>
          <cell r="AJ7">
            <v>30</v>
          </cell>
          <cell r="AK7">
            <v>0</v>
          </cell>
          <cell r="AL7">
            <v>30</v>
          </cell>
        </row>
        <row r="8">
          <cell r="D8" t="str">
            <v>OT</v>
          </cell>
        </row>
        <row r="9">
          <cell r="B9">
            <v>11906</v>
          </cell>
          <cell r="C9" t="str">
            <v>CH.BHARATH</v>
          </cell>
          <cell r="D9" t="str">
            <v>MST</v>
          </cell>
          <cell r="E9" t="str">
            <v>W/O</v>
          </cell>
          <cell r="F9" t="str">
            <v>A</v>
          </cell>
          <cell r="G9" t="str">
            <v>C</v>
          </cell>
          <cell r="H9" t="str">
            <v>B</v>
          </cell>
          <cell r="I9" t="str">
            <v>B</v>
          </cell>
          <cell r="J9" t="str">
            <v>C</v>
          </cell>
          <cell r="K9" t="str">
            <v>B</v>
          </cell>
          <cell r="L9" t="str">
            <v>W/O</v>
          </cell>
          <cell r="M9" t="str">
            <v>B</v>
          </cell>
          <cell r="N9" t="str">
            <v>C</v>
          </cell>
          <cell r="O9" t="str">
            <v>C</v>
          </cell>
          <cell r="P9" t="str">
            <v>B</v>
          </cell>
          <cell r="Q9" t="str">
            <v>B</v>
          </cell>
          <cell r="R9" t="str">
            <v>B</v>
          </cell>
          <cell r="S9" t="str">
            <v>W/O</v>
          </cell>
          <cell r="T9" t="str">
            <v>A</v>
          </cell>
          <cell r="U9" t="str">
            <v>C</v>
          </cell>
          <cell r="V9" t="str">
            <v>B</v>
          </cell>
          <cell r="W9" t="str">
            <v>A</v>
          </cell>
          <cell r="X9" t="str">
            <v>C</v>
          </cell>
          <cell r="Y9" t="str">
            <v>B</v>
          </cell>
          <cell r="Z9" t="str">
            <v>W/O</v>
          </cell>
          <cell r="AA9" t="str">
            <v>B</v>
          </cell>
          <cell r="AB9" t="str">
            <v>C</v>
          </cell>
          <cell r="AC9" t="str">
            <v>C</v>
          </cell>
          <cell r="AD9" t="str">
            <v>B</v>
          </cell>
          <cell r="AE9" t="str">
            <v>B</v>
          </cell>
          <cell r="AF9" t="str">
            <v>B</v>
          </cell>
          <cell r="AG9" t="str">
            <v>W/O</v>
          </cell>
          <cell r="AH9" t="str">
            <v>A</v>
          </cell>
          <cell r="AI9">
            <v>30</v>
          </cell>
          <cell r="AJ9">
            <v>30</v>
          </cell>
          <cell r="AK9">
            <v>0</v>
          </cell>
          <cell r="AL9">
            <v>30</v>
          </cell>
        </row>
        <row r="10">
          <cell r="D10" t="str">
            <v>OT</v>
          </cell>
        </row>
        <row r="11">
          <cell r="B11">
            <v>11590</v>
          </cell>
          <cell r="C11" t="str">
            <v>A.NARENDRA</v>
          </cell>
          <cell r="D11" t="str">
            <v>MST</v>
          </cell>
          <cell r="E11" t="str">
            <v>C</v>
          </cell>
          <cell r="F11" t="str">
            <v>C</v>
          </cell>
          <cell r="G11" t="str">
            <v>B</v>
          </cell>
          <cell r="H11" t="str">
            <v>A</v>
          </cell>
          <cell r="I11" t="str">
            <v>A</v>
          </cell>
          <cell r="J11" t="str">
            <v>W/O</v>
          </cell>
          <cell r="K11" t="str">
            <v>C</v>
          </cell>
          <cell r="L11" t="str">
            <v>C</v>
          </cell>
          <cell r="M11" t="str">
            <v>C</v>
          </cell>
          <cell r="N11" t="str">
            <v>A</v>
          </cell>
          <cell r="O11" t="str">
            <v>B</v>
          </cell>
          <cell r="P11" t="str">
            <v>C</v>
          </cell>
          <cell r="Q11" t="str">
            <v>W/O</v>
          </cell>
          <cell r="R11" t="str">
            <v>C</v>
          </cell>
          <cell r="S11" t="str">
            <v>C</v>
          </cell>
          <cell r="T11" t="str">
            <v>B</v>
          </cell>
          <cell r="U11" t="str">
            <v>A</v>
          </cell>
          <cell r="V11" t="str">
            <v>A</v>
          </cell>
          <cell r="W11" t="str">
            <v>C</v>
          </cell>
          <cell r="X11" t="str">
            <v>W/O</v>
          </cell>
          <cell r="Y11" t="str">
            <v>C</v>
          </cell>
          <cell r="Z11" t="str">
            <v>C</v>
          </cell>
          <cell r="AA11" t="str">
            <v>C</v>
          </cell>
          <cell r="AB11" t="str">
            <v>B</v>
          </cell>
          <cell r="AC11" t="str">
            <v>A</v>
          </cell>
          <cell r="AD11" t="str">
            <v>C</v>
          </cell>
          <cell r="AE11" t="str">
            <v>W/O</v>
          </cell>
          <cell r="AF11" t="str">
            <v>C</v>
          </cell>
          <cell r="AG11" t="str">
            <v>B</v>
          </cell>
          <cell r="AH11" t="str">
            <v>B</v>
          </cell>
          <cell r="AI11">
            <v>30</v>
          </cell>
          <cell r="AJ11">
            <v>30</v>
          </cell>
          <cell r="AK11">
            <v>0</v>
          </cell>
          <cell r="AL11">
            <v>30</v>
          </cell>
        </row>
        <row r="12">
          <cell r="D12" t="str">
            <v>OT</v>
          </cell>
        </row>
        <row r="13">
          <cell r="B13">
            <v>12066</v>
          </cell>
          <cell r="C13" t="str">
            <v>P.DEEPAK</v>
          </cell>
          <cell r="D13" t="str">
            <v>PLUMBER</v>
          </cell>
          <cell r="E13" t="str">
            <v>G</v>
          </cell>
          <cell r="F13" t="str">
            <v>G</v>
          </cell>
          <cell r="G13" t="str">
            <v>W/O</v>
          </cell>
          <cell r="H13" t="str">
            <v>G</v>
          </cell>
          <cell r="I13" t="str">
            <v>G</v>
          </cell>
          <cell r="J13" t="str">
            <v>G</v>
          </cell>
          <cell r="K13" t="str">
            <v>G</v>
          </cell>
          <cell r="L13" t="str">
            <v>G</v>
          </cell>
          <cell r="M13" t="str">
            <v>G</v>
          </cell>
          <cell r="N13" t="str">
            <v>W/O</v>
          </cell>
          <cell r="O13" t="str">
            <v>G</v>
          </cell>
          <cell r="P13" t="str">
            <v>G</v>
          </cell>
          <cell r="Q13" t="str">
            <v>G</v>
          </cell>
          <cell r="R13" t="str">
            <v>G</v>
          </cell>
          <cell r="S13" t="str">
            <v>G</v>
          </cell>
          <cell r="T13" t="str">
            <v>G</v>
          </cell>
          <cell r="U13" t="str">
            <v>W/O</v>
          </cell>
          <cell r="V13" t="str">
            <v>G</v>
          </cell>
          <cell r="W13" t="str">
            <v>G</v>
          </cell>
          <cell r="X13" t="str">
            <v>G</v>
          </cell>
          <cell r="Y13" t="str">
            <v>G</v>
          </cell>
          <cell r="Z13" t="str">
            <v>G</v>
          </cell>
          <cell r="AA13" t="str">
            <v>G</v>
          </cell>
          <cell r="AB13" t="str">
            <v>W/O</v>
          </cell>
          <cell r="AC13" t="str">
            <v>G</v>
          </cell>
          <cell r="AD13" t="str">
            <v>G</v>
          </cell>
          <cell r="AE13" t="str">
            <v>G</v>
          </cell>
          <cell r="AF13" t="str">
            <v>G</v>
          </cell>
          <cell r="AG13" t="str">
            <v>G</v>
          </cell>
          <cell r="AH13" t="str">
            <v>G</v>
          </cell>
          <cell r="AI13">
            <v>30</v>
          </cell>
          <cell r="AJ13">
            <v>30</v>
          </cell>
          <cell r="AK13">
            <v>0</v>
          </cell>
          <cell r="AL13">
            <v>30</v>
          </cell>
        </row>
        <row r="14">
          <cell r="D14" t="str">
            <v>OT</v>
          </cell>
        </row>
      </sheetData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ANDANCE"/>
      <sheetName val="PAYSHEET"/>
      <sheetName val="BANK STMT"/>
    </sheetNames>
    <sheetDataSet>
      <sheetData sheetId="0" refreshError="1"/>
      <sheetData sheetId="1">
        <row r="6">
          <cell r="B6">
            <v>11693</v>
          </cell>
          <cell r="C6" t="str">
            <v>G.Pavan kumar</v>
          </cell>
          <cell r="E6" t="str">
            <v>MST CUM SUPERVISOR</v>
          </cell>
          <cell r="F6" t="str">
            <v>P</v>
          </cell>
          <cell r="G6" t="str">
            <v>P</v>
          </cell>
          <cell r="H6" t="str">
            <v>P</v>
          </cell>
          <cell r="I6" t="str">
            <v>P</v>
          </cell>
          <cell r="J6" t="str">
            <v>W/O</v>
          </cell>
          <cell r="K6" t="str">
            <v>P</v>
          </cell>
          <cell r="L6" t="str">
            <v>P</v>
          </cell>
          <cell r="M6" t="str">
            <v>P</v>
          </cell>
          <cell r="N6" t="str">
            <v>P</v>
          </cell>
          <cell r="O6" t="str">
            <v>P</v>
          </cell>
          <cell r="P6" t="str">
            <v>P</v>
          </cell>
          <cell r="Q6" t="str">
            <v>W/O</v>
          </cell>
          <cell r="R6" t="str">
            <v>P</v>
          </cell>
          <cell r="S6" t="str">
            <v>P</v>
          </cell>
          <cell r="T6" t="str">
            <v>P</v>
          </cell>
          <cell r="U6" t="str">
            <v>P</v>
          </cell>
          <cell r="V6" t="str">
            <v>P</v>
          </cell>
          <cell r="W6" t="str">
            <v>P</v>
          </cell>
          <cell r="X6" t="str">
            <v>W/O</v>
          </cell>
          <cell r="Y6" t="str">
            <v>P</v>
          </cell>
          <cell r="Z6" t="str">
            <v>P</v>
          </cell>
          <cell r="AA6" t="str">
            <v>P</v>
          </cell>
          <cell r="AB6" t="str">
            <v>P</v>
          </cell>
          <cell r="AC6" t="str">
            <v>P</v>
          </cell>
          <cell r="AD6" t="str">
            <v>P</v>
          </cell>
          <cell r="AE6" t="str">
            <v>W/O</v>
          </cell>
          <cell r="AF6" t="str">
            <v>P</v>
          </cell>
          <cell r="AG6" t="str">
            <v>P</v>
          </cell>
          <cell r="AH6" t="str">
            <v>P</v>
          </cell>
          <cell r="AI6" t="str">
            <v>P</v>
          </cell>
          <cell r="AJ6" t="str">
            <v>P</v>
          </cell>
          <cell r="AK6">
            <v>31</v>
          </cell>
          <cell r="AL6">
            <v>27</v>
          </cell>
          <cell r="AM6">
            <v>4</v>
          </cell>
          <cell r="AN6">
            <v>0</v>
          </cell>
          <cell r="AO6">
            <v>0</v>
          </cell>
          <cell r="AP6">
            <v>0</v>
          </cell>
          <cell r="AQ6">
            <v>31</v>
          </cell>
          <cell r="AR6">
            <v>0</v>
          </cell>
        </row>
        <row r="8">
          <cell r="B8">
            <v>11728</v>
          </cell>
          <cell r="C8" t="str">
            <v>Abdul chowdary</v>
          </cell>
          <cell r="E8" t="str">
            <v>Pantry Boy</v>
          </cell>
          <cell r="F8" t="str">
            <v>P</v>
          </cell>
          <cell r="G8" t="str">
            <v>P</v>
          </cell>
          <cell r="H8" t="str">
            <v>P</v>
          </cell>
          <cell r="I8" t="str">
            <v>P</v>
          </cell>
          <cell r="J8" t="str">
            <v>W/O</v>
          </cell>
          <cell r="K8" t="str">
            <v>P</v>
          </cell>
          <cell r="L8" t="str">
            <v>P</v>
          </cell>
          <cell r="M8" t="str">
            <v>P</v>
          </cell>
          <cell r="N8" t="str">
            <v>A</v>
          </cell>
          <cell r="O8" t="str">
            <v>P</v>
          </cell>
          <cell r="P8" t="str">
            <v>P</v>
          </cell>
          <cell r="Q8" t="str">
            <v>W/O</v>
          </cell>
          <cell r="R8" t="str">
            <v>P</v>
          </cell>
          <cell r="S8" t="str">
            <v>P</v>
          </cell>
          <cell r="T8" t="str">
            <v>P</v>
          </cell>
          <cell r="U8" t="str">
            <v>P</v>
          </cell>
          <cell r="V8" t="str">
            <v>P</v>
          </cell>
          <cell r="W8" t="str">
            <v>P</v>
          </cell>
          <cell r="X8" t="str">
            <v>W/O</v>
          </cell>
          <cell r="Y8" t="str">
            <v>P</v>
          </cell>
          <cell r="Z8" t="str">
            <v>P</v>
          </cell>
          <cell r="AA8" t="str">
            <v>P</v>
          </cell>
          <cell r="AB8" t="str">
            <v>P</v>
          </cell>
          <cell r="AC8" t="str">
            <v>P</v>
          </cell>
          <cell r="AD8" t="str">
            <v>P</v>
          </cell>
          <cell r="AE8" t="str">
            <v>W/O</v>
          </cell>
          <cell r="AF8" t="str">
            <v>P</v>
          </cell>
          <cell r="AG8" t="str">
            <v>P</v>
          </cell>
          <cell r="AH8" t="str">
            <v>P</v>
          </cell>
          <cell r="AI8" t="str">
            <v>P</v>
          </cell>
          <cell r="AJ8" t="str">
            <v>P</v>
          </cell>
          <cell r="AK8">
            <v>31</v>
          </cell>
          <cell r="AL8">
            <v>26</v>
          </cell>
          <cell r="AM8">
            <v>4</v>
          </cell>
          <cell r="AN8">
            <v>0</v>
          </cell>
          <cell r="AO8">
            <v>1</v>
          </cell>
          <cell r="AP8">
            <v>0</v>
          </cell>
          <cell r="AQ8">
            <v>30</v>
          </cell>
          <cell r="AR8">
            <v>0</v>
          </cell>
        </row>
        <row r="10">
          <cell r="B10">
            <v>11820</v>
          </cell>
          <cell r="C10" t="str">
            <v>Ram Kuma</v>
          </cell>
          <cell r="E10" t="str">
            <v>Pantry Boy</v>
          </cell>
          <cell r="F10" t="str">
            <v>P</v>
          </cell>
          <cell r="G10" t="str">
            <v>P</v>
          </cell>
          <cell r="H10" t="str">
            <v>P</v>
          </cell>
          <cell r="I10" t="str">
            <v>P</v>
          </cell>
          <cell r="J10" t="str">
            <v>W/O</v>
          </cell>
          <cell r="K10" t="str">
            <v>P</v>
          </cell>
          <cell r="L10" t="str">
            <v>P</v>
          </cell>
          <cell r="M10" t="str">
            <v>P</v>
          </cell>
          <cell r="N10" t="str">
            <v>P</v>
          </cell>
          <cell r="O10" t="str">
            <v>P</v>
          </cell>
          <cell r="P10" t="str">
            <v>P</v>
          </cell>
          <cell r="Q10" t="str">
            <v>W/O</v>
          </cell>
          <cell r="R10" t="str">
            <v>P</v>
          </cell>
          <cell r="S10" t="str">
            <v>P</v>
          </cell>
          <cell r="T10" t="str">
            <v>P</v>
          </cell>
          <cell r="U10" t="str">
            <v>P</v>
          </cell>
          <cell r="V10" t="str">
            <v>P</v>
          </cell>
          <cell r="W10" t="str">
            <v>P</v>
          </cell>
          <cell r="X10" t="str">
            <v>W/O</v>
          </cell>
          <cell r="Y10" t="str">
            <v>P</v>
          </cell>
          <cell r="Z10" t="str">
            <v>P</v>
          </cell>
          <cell r="AA10" t="str">
            <v>P</v>
          </cell>
          <cell r="AB10" t="str">
            <v>P</v>
          </cell>
          <cell r="AC10" t="str">
            <v>P</v>
          </cell>
          <cell r="AD10" t="str">
            <v>P</v>
          </cell>
          <cell r="AE10" t="str">
            <v>W/O</v>
          </cell>
          <cell r="AF10" t="str">
            <v>P</v>
          </cell>
          <cell r="AG10" t="str">
            <v>P</v>
          </cell>
          <cell r="AH10" t="str">
            <v>P</v>
          </cell>
          <cell r="AI10" t="str">
            <v>P</v>
          </cell>
          <cell r="AJ10" t="str">
            <v>P</v>
          </cell>
          <cell r="AK10">
            <v>31</v>
          </cell>
          <cell r="AL10">
            <v>27</v>
          </cell>
          <cell r="AM10">
            <v>4</v>
          </cell>
          <cell r="AN10">
            <v>2</v>
          </cell>
          <cell r="AO10">
            <v>0</v>
          </cell>
          <cell r="AP10">
            <v>0</v>
          </cell>
          <cell r="AQ10">
            <v>31</v>
          </cell>
          <cell r="AR10">
            <v>0.22222222222222221</v>
          </cell>
        </row>
        <row r="11">
          <cell r="N11">
            <v>2</v>
          </cell>
        </row>
        <row r="12">
          <cell r="B12">
            <v>11653</v>
          </cell>
          <cell r="C12" t="str">
            <v>Nagavath Jyothi</v>
          </cell>
          <cell r="E12" t="str">
            <v>Housekeeping</v>
          </cell>
          <cell r="F12" t="str">
            <v>P</v>
          </cell>
          <cell r="G12" t="str">
            <v>P</v>
          </cell>
          <cell r="H12" t="str">
            <v>P</v>
          </cell>
          <cell r="I12" t="str">
            <v>P</v>
          </cell>
          <cell r="J12" t="str">
            <v>W/O</v>
          </cell>
          <cell r="K12" t="str">
            <v>P</v>
          </cell>
          <cell r="L12" t="str">
            <v>P</v>
          </cell>
          <cell r="M12" t="str">
            <v>P</v>
          </cell>
          <cell r="N12" t="str">
            <v>P</v>
          </cell>
          <cell r="O12" t="str">
            <v>P</v>
          </cell>
          <cell r="P12" t="str">
            <v>P</v>
          </cell>
          <cell r="Q12" t="str">
            <v>W/O</v>
          </cell>
          <cell r="R12" t="str">
            <v>P</v>
          </cell>
          <cell r="S12" t="str">
            <v>P</v>
          </cell>
          <cell r="T12" t="str">
            <v>P</v>
          </cell>
          <cell r="U12" t="str">
            <v>P</v>
          </cell>
          <cell r="V12" t="str">
            <v>P</v>
          </cell>
          <cell r="W12" t="str">
            <v>P</v>
          </cell>
          <cell r="X12" t="str">
            <v>W/O</v>
          </cell>
          <cell r="Y12" t="str">
            <v>P</v>
          </cell>
          <cell r="Z12" t="str">
            <v>P</v>
          </cell>
          <cell r="AA12" t="str">
            <v>A</v>
          </cell>
          <cell r="AB12" t="str">
            <v>P</v>
          </cell>
          <cell r="AC12" t="str">
            <v>P</v>
          </cell>
          <cell r="AD12" t="str">
            <v>P</v>
          </cell>
          <cell r="AE12" t="str">
            <v>W/O</v>
          </cell>
          <cell r="AF12" t="str">
            <v>P</v>
          </cell>
          <cell r="AG12" t="str">
            <v>P</v>
          </cell>
          <cell r="AH12" t="str">
            <v>P</v>
          </cell>
          <cell r="AI12" t="str">
            <v>P</v>
          </cell>
          <cell r="AJ12" t="str">
            <v>P</v>
          </cell>
          <cell r="AK12">
            <v>31</v>
          </cell>
          <cell r="AL12">
            <v>26</v>
          </cell>
          <cell r="AM12">
            <v>4</v>
          </cell>
          <cell r="AN12">
            <v>0</v>
          </cell>
          <cell r="AO12">
            <v>1</v>
          </cell>
          <cell r="AP12">
            <v>0</v>
          </cell>
          <cell r="AQ12">
            <v>30</v>
          </cell>
          <cell r="AR12">
            <v>0</v>
          </cell>
        </row>
        <row r="14">
          <cell r="B14">
            <v>11321</v>
          </cell>
          <cell r="C14" t="str">
            <v>kamrul islam</v>
          </cell>
          <cell r="E14" t="str">
            <v>Housekeeping</v>
          </cell>
          <cell r="F14" t="str">
            <v>P</v>
          </cell>
          <cell r="G14" t="str">
            <v>P</v>
          </cell>
          <cell r="H14" t="str">
            <v>P</v>
          </cell>
          <cell r="I14" t="str">
            <v>P</v>
          </cell>
          <cell r="J14" t="str">
            <v>W/O</v>
          </cell>
          <cell r="K14" t="str">
            <v>P</v>
          </cell>
          <cell r="L14" t="str">
            <v>P</v>
          </cell>
          <cell r="M14" t="str">
            <v>P</v>
          </cell>
          <cell r="N14" t="str">
            <v>P</v>
          </cell>
          <cell r="O14" t="str">
            <v>P</v>
          </cell>
          <cell r="P14" t="str">
            <v>P</v>
          </cell>
          <cell r="Q14" t="str">
            <v>W/O</v>
          </cell>
          <cell r="R14" t="str">
            <v>P</v>
          </cell>
          <cell r="S14" t="str">
            <v>P</v>
          </cell>
          <cell r="T14" t="str">
            <v>P</v>
          </cell>
          <cell r="U14" t="str">
            <v>P</v>
          </cell>
          <cell r="V14" t="str">
            <v>P</v>
          </cell>
          <cell r="W14" t="str">
            <v>P</v>
          </cell>
          <cell r="X14" t="str">
            <v>W/O</v>
          </cell>
          <cell r="Y14" t="str">
            <v>P</v>
          </cell>
          <cell r="Z14" t="str">
            <v>P</v>
          </cell>
          <cell r="AA14" t="str">
            <v>P</v>
          </cell>
          <cell r="AB14" t="str">
            <v>P</v>
          </cell>
          <cell r="AC14" t="str">
            <v>P</v>
          </cell>
          <cell r="AD14" t="str">
            <v>P</v>
          </cell>
          <cell r="AE14" t="str">
            <v>W/O</v>
          </cell>
          <cell r="AF14" t="str">
            <v>P</v>
          </cell>
          <cell r="AG14" t="str">
            <v>P</v>
          </cell>
          <cell r="AH14" t="str">
            <v>P</v>
          </cell>
          <cell r="AI14" t="str">
            <v>P</v>
          </cell>
          <cell r="AJ14" t="str">
            <v>P</v>
          </cell>
          <cell r="AK14">
            <v>31</v>
          </cell>
          <cell r="AL14">
            <v>27</v>
          </cell>
          <cell r="AM14">
            <v>4</v>
          </cell>
          <cell r="AN14">
            <v>2</v>
          </cell>
          <cell r="AO14">
            <v>0</v>
          </cell>
          <cell r="AP14">
            <v>0</v>
          </cell>
          <cell r="AQ14">
            <v>31</v>
          </cell>
          <cell r="AR14">
            <v>0.22222222222222221</v>
          </cell>
        </row>
        <row r="15">
          <cell r="U15">
            <v>2</v>
          </cell>
        </row>
        <row r="16">
          <cell r="B16">
            <v>11255</v>
          </cell>
          <cell r="C16" t="str">
            <v>Vinod Prasad</v>
          </cell>
          <cell r="E16" t="str">
            <v>Housekeeping</v>
          </cell>
          <cell r="F16" t="str">
            <v>P</v>
          </cell>
          <cell r="G16" t="str">
            <v>P</v>
          </cell>
          <cell r="H16" t="str">
            <v>P</v>
          </cell>
          <cell r="I16" t="str">
            <v>P</v>
          </cell>
          <cell r="J16" t="str">
            <v>W/O</v>
          </cell>
          <cell r="K16" t="str">
            <v>P</v>
          </cell>
          <cell r="L16" t="str">
            <v>P</v>
          </cell>
          <cell r="M16" t="str">
            <v>P</v>
          </cell>
          <cell r="N16" t="str">
            <v>P</v>
          </cell>
          <cell r="O16" t="str">
            <v>P</v>
          </cell>
          <cell r="P16" t="str">
            <v>P</v>
          </cell>
          <cell r="Q16" t="str">
            <v>W/O</v>
          </cell>
          <cell r="R16" t="str">
            <v>P</v>
          </cell>
          <cell r="S16" t="str">
            <v>P</v>
          </cell>
          <cell r="T16" t="str">
            <v>P</v>
          </cell>
          <cell r="U16" t="str">
            <v>P</v>
          </cell>
          <cell r="V16" t="str">
            <v>P</v>
          </cell>
          <cell r="W16" t="str">
            <v>P</v>
          </cell>
          <cell r="X16" t="str">
            <v>W/O</v>
          </cell>
          <cell r="Y16" t="str">
            <v>P</v>
          </cell>
          <cell r="Z16" t="str">
            <v>P</v>
          </cell>
          <cell r="AA16" t="str">
            <v>P</v>
          </cell>
          <cell r="AB16" t="str">
            <v>P</v>
          </cell>
          <cell r="AC16" t="str">
            <v>P</v>
          </cell>
          <cell r="AD16" t="str">
            <v>P</v>
          </cell>
          <cell r="AE16" t="str">
            <v>W/O</v>
          </cell>
          <cell r="AF16" t="str">
            <v>P</v>
          </cell>
          <cell r="AG16" t="str">
            <v>P</v>
          </cell>
          <cell r="AH16" t="str">
            <v>P</v>
          </cell>
          <cell r="AI16" t="str">
            <v>P</v>
          </cell>
          <cell r="AJ16" t="str">
            <v>P</v>
          </cell>
          <cell r="AK16">
            <v>31</v>
          </cell>
          <cell r="AL16">
            <v>27</v>
          </cell>
          <cell r="AM16">
            <v>4</v>
          </cell>
          <cell r="AN16">
            <v>0</v>
          </cell>
          <cell r="AO16">
            <v>0</v>
          </cell>
          <cell r="AP16">
            <v>0</v>
          </cell>
          <cell r="AQ16">
            <v>31</v>
          </cell>
          <cell r="AR16">
            <v>0</v>
          </cell>
        </row>
        <row r="18">
          <cell r="B18">
            <v>12042</v>
          </cell>
          <cell r="C18" t="str">
            <v>Shila</v>
          </cell>
          <cell r="E18" t="str">
            <v>Housekeeping</v>
          </cell>
          <cell r="F18" t="str">
            <v>P</v>
          </cell>
          <cell r="G18" t="str">
            <v>P</v>
          </cell>
          <cell r="H18" t="str">
            <v>P</v>
          </cell>
          <cell r="I18" t="str">
            <v>P</v>
          </cell>
          <cell r="J18" t="str">
            <v>W/O</v>
          </cell>
          <cell r="K18" t="str">
            <v>P</v>
          </cell>
          <cell r="L18" t="str">
            <v>P</v>
          </cell>
          <cell r="M18" t="str">
            <v>P</v>
          </cell>
          <cell r="N18" t="str">
            <v>P</v>
          </cell>
          <cell r="O18" t="str">
            <v>P</v>
          </cell>
          <cell r="P18" t="str">
            <v>P</v>
          </cell>
          <cell r="Q18" t="str">
            <v>W/O</v>
          </cell>
          <cell r="R18" t="str">
            <v>P</v>
          </cell>
          <cell r="S18" t="str">
            <v>P</v>
          </cell>
          <cell r="T18" t="str">
            <v>P</v>
          </cell>
          <cell r="U18" t="str">
            <v>P</v>
          </cell>
          <cell r="V18" t="str">
            <v>P</v>
          </cell>
          <cell r="W18" t="str">
            <v>P</v>
          </cell>
          <cell r="X18" t="str">
            <v>W/O</v>
          </cell>
          <cell r="Y18" t="str">
            <v>P</v>
          </cell>
          <cell r="Z18" t="str">
            <v>P</v>
          </cell>
          <cell r="AA18" t="str">
            <v>P</v>
          </cell>
          <cell r="AB18" t="str">
            <v>P</v>
          </cell>
          <cell r="AC18" t="str">
            <v>P</v>
          </cell>
          <cell r="AD18" t="str">
            <v>P</v>
          </cell>
          <cell r="AE18" t="str">
            <v>W/O</v>
          </cell>
          <cell r="AF18" t="str">
            <v>P</v>
          </cell>
          <cell r="AG18" t="str">
            <v>P</v>
          </cell>
          <cell r="AH18" t="str">
            <v>P</v>
          </cell>
          <cell r="AI18" t="str">
            <v>P</v>
          </cell>
          <cell r="AJ18" t="str">
            <v>P</v>
          </cell>
          <cell r="AK18">
            <v>31</v>
          </cell>
          <cell r="AL18">
            <v>27</v>
          </cell>
          <cell r="AM18">
            <v>4</v>
          </cell>
          <cell r="AN18">
            <v>0</v>
          </cell>
          <cell r="AO18">
            <v>0</v>
          </cell>
          <cell r="AP18">
            <v>0</v>
          </cell>
          <cell r="AQ18">
            <v>31</v>
          </cell>
          <cell r="AR18">
            <v>0</v>
          </cell>
        </row>
        <row r="20">
          <cell r="B20">
            <v>1</v>
          </cell>
          <cell r="C20" t="str">
            <v>Johur Uddin</v>
          </cell>
          <cell r="E20" t="str">
            <v>Housekeeping</v>
          </cell>
          <cell r="F20" t="str">
            <v>P</v>
          </cell>
          <cell r="G20" t="str">
            <v>P</v>
          </cell>
          <cell r="H20" t="str">
            <v>P</v>
          </cell>
          <cell r="I20" t="str">
            <v>P</v>
          </cell>
          <cell r="J20" t="str">
            <v>W/O</v>
          </cell>
          <cell r="K20" t="str">
            <v>P</v>
          </cell>
          <cell r="L20" t="str">
            <v>P</v>
          </cell>
          <cell r="M20" t="str">
            <v>P</v>
          </cell>
          <cell r="N20" t="str">
            <v>P</v>
          </cell>
          <cell r="O20" t="str">
            <v>P</v>
          </cell>
          <cell r="P20" t="str">
            <v>P</v>
          </cell>
          <cell r="Q20" t="str">
            <v>W/O</v>
          </cell>
          <cell r="R20" t="str">
            <v>P</v>
          </cell>
          <cell r="S20" t="str">
            <v>P</v>
          </cell>
          <cell r="T20" t="str">
            <v>P</v>
          </cell>
          <cell r="U20" t="str">
            <v>P</v>
          </cell>
          <cell r="V20" t="str">
            <v>P</v>
          </cell>
          <cell r="W20" t="str">
            <v>P</v>
          </cell>
          <cell r="X20" t="str">
            <v>W/O</v>
          </cell>
          <cell r="Y20" t="str">
            <v>P</v>
          </cell>
          <cell r="Z20" t="str">
            <v>P</v>
          </cell>
          <cell r="AA20" t="str">
            <v>P</v>
          </cell>
          <cell r="AB20" t="str">
            <v>P</v>
          </cell>
          <cell r="AC20" t="str">
            <v>P</v>
          </cell>
          <cell r="AD20" t="str">
            <v>P</v>
          </cell>
          <cell r="AE20" t="str">
            <v>W/O</v>
          </cell>
          <cell r="AF20" t="str">
            <v>P</v>
          </cell>
          <cell r="AG20" t="str">
            <v>P</v>
          </cell>
          <cell r="AH20" t="str">
            <v>P</v>
          </cell>
          <cell r="AI20" t="str">
            <v>P</v>
          </cell>
          <cell r="AJ20" t="str">
            <v>P</v>
          </cell>
          <cell r="AK20">
            <v>31</v>
          </cell>
          <cell r="AL20">
            <v>27</v>
          </cell>
          <cell r="AM20">
            <v>4</v>
          </cell>
          <cell r="AN20">
            <v>3</v>
          </cell>
          <cell r="AO20">
            <v>0</v>
          </cell>
          <cell r="AP20">
            <v>0</v>
          </cell>
          <cell r="AQ20">
            <v>31</v>
          </cell>
          <cell r="AR20">
            <v>0.33333333333333331</v>
          </cell>
        </row>
        <row r="21">
          <cell r="S21">
            <v>3</v>
          </cell>
        </row>
      </sheetData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ATTENDANCE"/>
      <sheetName val="PAYSHEET"/>
      <sheetName val="BANK STMT"/>
    </sheetNames>
    <sheetDataSet>
      <sheetData sheetId="0"/>
      <sheetData sheetId="1">
        <row r="7">
          <cell r="B7">
            <v>11119</v>
          </cell>
          <cell r="C7" t="str">
            <v>Atakula Sandeep Kumar Reddy</v>
          </cell>
          <cell r="D7" t="str">
            <v>HK Supervisor</v>
          </cell>
          <cell r="E7" t="str">
            <v>P</v>
          </cell>
          <cell r="F7" t="str">
            <v>P</v>
          </cell>
          <cell r="G7" t="str">
            <v>P</v>
          </cell>
          <cell r="H7" t="str">
            <v>P</v>
          </cell>
          <cell r="I7" t="str">
            <v>W/O</v>
          </cell>
          <cell r="J7" t="str">
            <v>P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P</v>
          </cell>
          <cell r="P7" t="str">
            <v>W/O</v>
          </cell>
          <cell r="Q7" t="str">
            <v>P</v>
          </cell>
          <cell r="R7" t="str">
            <v>P</v>
          </cell>
          <cell r="S7" t="str">
            <v>P</v>
          </cell>
          <cell r="T7" t="str">
            <v>P</v>
          </cell>
          <cell r="U7" t="str">
            <v>P</v>
          </cell>
          <cell r="V7" t="str">
            <v>P</v>
          </cell>
          <cell r="W7" t="str">
            <v>W/O</v>
          </cell>
          <cell r="X7" t="str">
            <v>P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P</v>
          </cell>
          <cell r="AC7" t="str">
            <v>P</v>
          </cell>
          <cell r="AD7" t="str">
            <v>W/O</v>
          </cell>
          <cell r="AE7" t="str">
            <v>P</v>
          </cell>
          <cell r="AF7" t="str">
            <v>P</v>
          </cell>
          <cell r="AG7" t="str">
            <v>P</v>
          </cell>
          <cell r="AH7" t="str">
            <v>P</v>
          </cell>
          <cell r="AI7" t="str">
            <v>P</v>
          </cell>
          <cell r="AJ7">
            <v>31</v>
          </cell>
          <cell r="AK7">
            <v>27</v>
          </cell>
          <cell r="AL7">
            <v>4</v>
          </cell>
          <cell r="AM7">
            <v>0</v>
          </cell>
          <cell r="AN7">
            <v>0</v>
          </cell>
          <cell r="AO7">
            <v>27</v>
          </cell>
          <cell r="AP7">
            <v>0</v>
          </cell>
          <cell r="AQ7">
            <v>0</v>
          </cell>
          <cell r="AR7">
            <v>31</v>
          </cell>
        </row>
        <row r="8">
          <cell r="I8">
            <v>9</v>
          </cell>
          <cell r="P8">
            <v>9</v>
          </cell>
          <cell r="W8">
            <v>9</v>
          </cell>
        </row>
        <row r="9">
          <cell r="B9">
            <v>11731</v>
          </cell>
          <cell r="C9" t="str">
            <v>V.Sandhya</v>
          </cell>
          <cell r="D9" t="str">
            <v>HK Supervisor</v>
          </cell>
          <cell r="E9" t="str">
            <v>P</v>
          </cell>
          <cell r="F9" t="str">
            <v>P</v>
          </cell>
          <cell r="G9" t="str">
            <v>P</v>
          </cell>
          <cell r="H9" t="str">
            <v>P</v>
          </cell>
          <cell r="I9" t="str">
            <v>W/O</v>
          </cell>
          <cell r="J9" t="str">
            <v>P</v>
          </cell>
          <cell r="K9" t="str">
            <v>P</v>
          </cell>
          <cell r="L9" t="str">
            <v>P</v>
          </cell>
          <cell r="M9" t="str">
            <v>P</v>
          </cell>
          <cell r="N9" t="str">
            <v>P</v>
          </cell>
          <cell r="O9" t="str">
            <v>P</v>
          </cell>
          <cell r="P9" t="str">
            <v>W/O</v>
          </cell>
          <cell r="Q9" t="str">
            <v>P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P</v>
          </cell>
          <cell r="V9" t="str">
            <v>P</v>
          </cell>
          <cell r="W9" t="str">
            <v>W/O</v>
          </cell>
          <cell r="X9" t="str">
            <v>P</v>
          </cell>
          <cell r="Y9" t="str">
            <v>P</v>
          </cell>
          <cell r="Z9" t="str">
            <v>P</v>
          </cell>
          <cell r="AA9" t="str">
            <v>P</v>
          </cell>
          <cell r="AB9" t="str">
            <v>P</v>
          </cell>
          <cell r="AC9" t="str">
            <v>P</v>
          </cell>
          <cell r="AD9" t="str">
            <v>W/O</v>
          </cell>
          <cell r="AE9" t="str">
            <v>P</v>
          </cell>
          <cell r="AF9" t="str">
            <v>P</v>
          </cell>
          <cell r="AG9" t="str">
            <v>P</v>
          </cell>
          <cell r="AH9" t="str">
            <v>P</v>
          </cell>
          <cell r="AI9" t="str">
            <v>P</v>
          </cell>
          <cell r="AJ9">
            <v>31</v>
          </cell>
          <cell r="AK9">
            <v>27</v>
          </cell>
          <cell r="AL9">
            <v>4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31</v>
          </cell>
        </row>
        <row r="11">
          <cell r="B11">
            <v>11655</v>
          </cell>
          <cell r="C11" t="str">
            <v>K.Mahesh</v>
          </cell>
          <cell r="D11" t="str">
            <v>HK Subordinate</v>
          </cell>
          <cell r="E11" t="str">
            <v>P</v>
          </cell>
          <cell r="F11" t="str">
            <v>P</v>
          </cell>
          <cell r="G11" t="str">
            <v>P</v>
          </cell>
          <cell r="H11" t="str">
            <v>P</v>
          </cell>
          <cell r="I11" t="str">
            <v>W/O</v>
          </cell>
          <cell r="J11" t="str">
            <v>P</v>
          </cell>
          <cell r="K11" t="str">
            <v>P</v>
          </cell>
          <cell r="L11" t="str">
            <v>P</v>
          </cell>
          <cell r="M11" t="str">
            <v>P</v>
          </cell>
          <cell r="N11" t="str">
            <v>P</v>
          </cell>
          <cell r="O11" t="str">
            <v>P</v>
          </cell>
          <cell r="P11" t="str">
            <v>W/O</v>
          </cell>
          <cell r="Q11" t="str">
            <v>P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P</v>
          </cell>
          <cell r="V11" t="str">
            <v>P</v>
          </cell>
          <cell r="W11" t="str">
            <v>W/O</v>
          </cell>
          <cell r="X11" t="str">
            <v>P</v>
          </cell>
          <cell r="Y11" t="str">
            <v>P</v>
          </cell>
          <cell r="Z11" t="str">
            <v>P</v>
          </cell>
          <cell r="AA11" t="str">
            <v>P</v>
          </cell>
          <cell r="AB11" t="str">
            <v>P</v>
          </cell>
          <cell r="AC11" t="str">
            <v>P</v>
          </cell>
          <cell r="AD11" t="str">
            <v>W/O</v>
          </cell>
          <cell r="AE11" t="str">
            <v>P</v>
          </cell>
          <cell r="AF11" t="str">
            <v>P</v>
          </cell>
          <cell r="AG11" t="str">
            <v>P</v>
          </cell>
          <cell r="AH11" t="str">
            <v>P</v>
          </cell>
          <cell r="AI11" t="str">
            <v>P</v>
          </cell>
          <cell r="AJ11">
            <v>31</v>
          </cell>
          <cell r="AK11">
            <v>27</v>
          </cell>
          <cell r="AL11">
            <v>4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31</v>
          </cell>
        </row>
        <row r="13">
          <cell r="B13">
            <v>11117</v>
          </cell>
          <cell r="C13" t="str">
            <v>T.Jayamma</v>
          </cell>
          <cell r="D13" t="str">
            <v>HK Lady</v>
          </cell>
          <cell r="E13" t="str">
            <v>P</v>
          </cell>
          <cell r="F13" t="str">
            <v>P</v>
          </cell>
          <cell r="G13" t="str">
            <v>P</v>
          </cell>
          <cell r="H13" t="str">
            <v>P</v>
          </cell>
          <cell r="I13" t="str">
            <v>W/O</v>
          </cell>
          <cell r="J13" t="str">
            <v>P</v>
          </cell>
          <cell r="K13" t="str">
            <v>P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P</v>
          </cell>
          <cell r="P13" t="str">
            <v>W/O</v>
          </cell>
          <cell r="Q13" t="str">
            <v>P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P</v>
          </cell>
          <cell r="V13" t="str">
            <v>P</v>
          </cell>
          <cell r="W13" t="str">
            <v>W/O</v>
          </cell>
          <cell r="X13" t="str">
            <v>P</v>
          </cell>
          <cell r="Y13" t="str">
            <v>P</v>
          </cell>
          <cell r="Z13" t="str">
            <v>P</v>
          </cell>
          <cell r="AA13" t="str">
            <v>P</v>
          </cell>
          <cell r="AB13" t="str">
            <v>P</v>
          </cell>
          <cell r="AC13" t="str">
            <v>P</v>
          </cell>
          <cell r="AD13" t="str">
            <v>W/O</v>
          </cell>
          <cell r="AE13" t="str">
            <v>P</v>
          </cell>
          <cell r="AF13" t="str">
            <v>P</v>
          </cell>
          <cell r="AG13" t="str">
            <v>P</v>
          </cell>
          <cell r="AH13" t="str">
            <v>P</v>
          </cell>
          <cell r="AI13" t="str">
            <v>P</v>
          </cell>
          <cell r="AJ13">
            <v>31</v>
          </cell>
          <cell r="AK13">
            <v>27</v>
          </cell>
          <cell r="AL13">
            <v>4</v>
          </cell>
          <cell r="AM13">
            <v>0</v>
          </cell>
          <cell r="AN13">
            <v>0</v>
          </cell>
          <cell r="AO13">
            <v>9</v>
          </cell>
          <cell r="AP13">
            <v>0</v>
          </cell>
          <cell r="AQ13">
            <v>0</v>
          </cell>
          <cell r="AR13">
            <v>31</v>
          </cell>
        </row>
        <row r="14">
          <cell r="I14">
            <v>9</v>
          </cell>
        </row>
        <row r="15">
          <cell r="B15">
            <v>11118</v>
          </cell>
          <cell r="C15" t="str">
            <v>Managali Chittemma</v>
          </cell>
          <cell r="D15" t="str">
            <v>HK Lady</v>
          </cell>
          <cell r="E15" t="str">
            <v>P</v>
          </cell>
          <cell r="F15" t="str">
            <v>P</v>
          </cell>
          <cell r="G15" t="str">
            <v>P</v>
          </cell>
          <cell r="H15" t="str">
            <v>P</v>
          </cell>
          <cell r="I15" t="str">
            <v>W/O</v>
          </cell>
          <cell r="J15" t="str">
            <v>P</v>
          </cell>
          <cell r="K15" t="str">
            <v>P</v>
          </cell>
          <cell r="L15" t="str">
            <v>P</v>
          </cell>
          <cell r="M15" t="str">
            <v>P</v>
          </cell>
          <cell r="N15" t="str">
            <v>P</v>
          </cell>
          <cell r="O15" t="str">
            <v>P</v>
          </cell>
          <cell r="P15" t="str">
            <v>W/O</v>
          </cell>
          <cell r="Q15" t="str">
            <v>P</v>
          </cell>
          <cell r="R15" t="str">
            <v>P</v>
          </cell>
          <cell r="S15" t="str">
            <v>P</v>
          </cell>
          <cell r="T15" t="str">
            <v>P</v>
          </cell>
          <cell r="U15" t="str">
            <v>P</v>
          </cell>
          <cell r="V15" t="str">
            <v>P</v>
          </cell>
          <cell r="W15" t="str">
            <v>W/O</v>
          </cell>
          <cell r="X15" t="str">
            <v>P</v>
          </cell>
          <cell r="Y15" t="str">
            <v>P</v>
          </cell>
          <cell r="Z15" t="str">
            <v>P</v>
          </cell>
          <cell r="AA15" t="str">
            <v>P</v>
          </cell>
          <cell r="AB15" t="str">
            <v>P</v>
          </cell>
          <cell r="AC15" t="str">
            <v>P</v>
          </cell>
          <cell r="AD15" t="str">
            <v>W/O</v>
          </cell>
          <cell r="AE15" t="str">
            <v>P</v>
          </cell>
          <cell r="AF15" t="str">
            <v>P</v>
          </cell>
          <cell r="AG15" t="str">
            <v>P</v>
          </cell>
          <cell r="AH15" t="str">
            <v>P</v>
          </cell>
          <cell r="AI15" t="str">
            <v>P</v>
          </cell>
          <cell r="AJ15">
            <v>31</v>
          </cell>
          <cell r="AK15">
            <v>27</v>
          </cell>
          <cell r="AL15">
            <v>4</v>
          </cell>
          <cell r="AM15">
            <v>0</v>
          </cell>
          <cell r="AN15">
            <v>0</v>
          </cell>
          <cell r="AO15">
            <v>18</v>
          </cell>
          <cell r="AP15">
            <v>0</v>
          </cell>
          <cell r="AQ15">
            <v>0</v>
          </cell>
          <cell r="AR15">
            <v>31</v>
          </cell>
        </row>
        <row r="16">
          <cell r="P16">
            <v>9</v>
          </cell>
          <cell r="W16">
            <v>9</v>
          </cell>
        </row>
        <row r="17">
          <cell r="B17">
            <v>11123</v>
          </cell>
          <cell r="C17" t="str">
            <v>Sapavat Chitti</v>
          </cell>
          <cell r="D17" t="str">
            <v>HK Lady</v>
          </cell>
          <cell r="E17" t="str">
            <v>P</v>
          </cell>
          <cell r="F17" t="str">
            <v>P</v>
          </cell>
          <cell r="G17" t="str">
            <v>P</v>
          </cell>
          <cell r="H17" t="str">
            <v>P</v>
          </cell>
          <cell r="I17" t="str">
            <v>W/O</v>
          </cell>
          <cell r="J17" t="str">
            <v>P</v>
          </cell>
          <cell r="K17" t="str">
            <v>P</v>
          </cell>
          <cell r="L17" t="str">
            <v>P</v>
          </cell>
          <cell r="M17" t="str">
            <v>P</v>
          </cell>
          <cell r="N17" t="str">
            <v>P</v>
          </cell>
          <cell r="O17" t="str">
            <v>P</v>
          </cell>
          <cell r="P17" t="str">
            <v>W/O</v>
          </cell>
          <cell r="Q17" t="str">
            <v>P</v>
          </cell>
          <cell r="R17" t="str">
            <v>P</v>
          </cell>
          <cell r="S17" t="str">
            <v>P</v>
          </cell>
          <cell r="T17" t="str">
            <v>P</v>
          </cell>
          <cell r="U17" t="str">
            <v>P</v>
          </cell>
          <cell r="V17" t="str">
            <v>P</v>
          </cell>
          <cell r="W17" t="str">
            <v>W/O</v>
          </cell>
          <cell r="X17" t="str">
            <v>P</v>
          </cell>
          <cell r="Y17" t="str">
            <v>P</v>
          </cell>
          <cell r="Z17" t="str">
            <v>P</v>
          </cell>
          <cell r="AA17" t="str">
            <v>P</v>
          </cell>
          <cell r="AB17" t="str">
            <v>P</v>
          </cell>
          <cell r="AC17" t="str">
            <v>P</v>
          </cell>
          <cell r="AD17" t="str">
            <v>W/O</v>
          </cell>
          <cell r="AE17" t="str">
            <v>P</v>
          </cell>
          <cell r="AF17" t="str">
            <v>P</v>
          </cell>
          <cell r="AG17" t="str">
            <v>P</v>
          </cell>
          <cell r="AH17" t="str">
            <v>P</v>
          </cell>
          <cell r="AI17" t="str">
            <v>P</v>
          </cell>
          <cell r="AJ17">
            <v>31</v>
          </cell>
          <cell r="AK17">
            <v>27</v>
          </cell>
          <cell r="AL17">
            <v>4</v>
          </cell>
          <cell r="AM17">
            <v>0</v>
          </cell>
          <cell r="AN17">
            <v>0</v>
          </cell>
          <cell r="AO17">
            <v>9</v>
          </cell>
          <cell r="AP17">
            <v>0</v>
          </cell>
          <cell r="AQ17">
            <v>0</v>
          </cell>
          <cell r="AR17">
            <v>31</v>
          </cell>
        </row>
        <row r="18">
          <cell r="AD18">
            <v>9</v>
          </cell>
        </row>
        <row r="19">
          <cell r="B19">
            <v>11124</v>
          </cell>
          <cell r="C19" t="str">
            <v>Tagaram Suvartha</v>
          </cell>
          <cell r="D19" t="str">
            <v>HK Lady</v>
          </cell>
          <cell r="E19" t="str">
            <v>P</v>
          </cell>
          <cell r="F19" t="str">
            <v>P</v>
          </cell>
          <cell r="G19" t="str">
            <v>P</v>
          </cell>
          <cell r="H19" t="str">
            <v>P</v>
          </cell>
          <cell r="I19" t="str">
            <v>W/O</v>
          </cell>
          <cell r="J19" t="str">
            <v>P</v>
          </cell>
          <cell r="K19" t="str">
            <v>P</v>
          </cell>
          <cell r="L19" t="str">
            <v>P</v>
          </cell>
          <cell r="M19" t="str">
            <v>P</v>
          </cell>
          <cell r="N19" t="str">
            <v>P</v>
          </cell>
          <cell r="O19" t="str">
            <v>P</v>
          </cell>
          <cell r="P19" t="str">
            <v>W/O</v>
          </cell>
          <cell r="Q19" t="str">
            <v>P</v>
          </cell>
          <cell r="R19" t="str">
            <v>P</v>
          </cell>
          <cell r="S19" t="str">
            <v>P</v>
          </cell>
          <cell r="T19" t="str">
            <v>P</v>
          </cell>
          <cell r="U19" t="str">
            <v>P</v>
          </cell>
          <cell r="V19" t="str">
            <v>P</v>
          </cell>
          <cell r="W19" t="str">
            <v>W/O</v>
          </cell>
          <cell r="X19" t="str">
            <v>P</v>
          </cell>
          <cell r="Y19" t="str">
            <v>P</v>
          </cell>
          <cell r="Z19" t="str">
            <v>P</v>
          </cell>
          <cell r="AA19" t="str">
            <v>P</v>
          </cell>
          <cell r="AB19" t="str">
            <v>P</v>
          </cell>
          <cell r="AC19" t="str">
            <v>P</v>
          </cell>
          <cell r="AD19" t="str">
            <v>W/O</v>
          </cell>
          <cell r="AE19" t="str">
            <v>P</v>
          </cell>
          <cell r="AF19" t="str">
            <v>P</v>
          </cell>
          <cell r="AG19" t="str">
            <v>P</v>
          </cell>
          <cell r="AH19" t="str">
            <v>P</v>
          </cell>
          <cell r="AI19" t="str">
            <v>P</v>
          </cell>
          <cell r="AJ19">
            <v>31</v>
          </cell>
          <cell r="AK19">
            <v>27</v>
          </cell>
          <cell r="AL19">
            <v>4</v>
          </cell>
          <cell r="AM19">
            <v>0</v>
          </cell>
          <cell r="AN19">
            <v>0</v>
          </cell>
          <cell r="AO19">
            <v>18</v>
          </cell>
          <cell r="AP19">
            <v>0</v>
          </cell>
          <cell r="AQ19">
            <v>0</v>
          </cell>
          <cell r="AR19">
            <v>31</v>
          </cell>
        </row>
        <row r="20">
          <cell r="H20">
            <v>9</v>
          </cell>
          <cell r="P20">
            <v>9</v>
          </cell>
        </row>
        <row r="21">
          <cell r="B21">
            <v>10723</v>
          </cell>
          <cell r="C21" t="str">
            <v>Srinu</v>
          </cell>
          <cell r="D21" t="str">
            <v>HK Boy</v>
          </cell>
          <cell r="E21" t="str">
            <v>P</v>
          </cell>
          <cell r="F21" t="str">
            <v>A</v>
          </cell>
          <cell r="G21" t="str">
            <v>A</v>
          </cell>
          <cell r="H21" t="str">
            <v>P</v>
          </cell>
          <cell r="I21" t="str">
            <v>W/O</v>
          </cell>
          <cell r="J21" t="str">
            <v>P</v>
          </cell>
          <cell r="K21" t="str">
            <v>P</v>
          </cell>
          <cell r="L21" t="str">
            <v>P</v>
          </cell>
          <cell r="M21" t="str">
            <v>P</v>
          </cell>
          <cell r="N21" t="str">
            <v>P</v>
          </cell>
          <cell r="O21" t="str">
            <v>P</v>
          </cell>
          <cell r="P21" t="str">
            <v>W/O</v>
          </cell>
          <cell r="Q21" t="str">
            <v>P</v>
          </cell>
          <cell r="R21" t="str">
            <v>P</v>
          </cell>
          <cell r="AJ21">
            <v>31</v>
          </cell>
          <cell r="AK21">
            <v>10</v>
          </cell>
          <cell r="AL21">
            <v>2</v>
          </cell>
          <cell r="AM21">
            <v>0</v>
          </cell>
          <cell r="AN21">
            <v>0</v>
          </cell>
          <cell r="AO21">
            <v>0</v>
          </cell>
          <cell r="AP21">
            <v>2</v>
          </cell>
          <cell r="AQ21">
            <v>0</v>
          </cell>
          <cell r="AR21">
            <v>12</v>
          </cell>
        </row>
        <row r="23">
          <cell r="L23" t="str">
            <v>Total:-</v>
          </cell>
          <cell r="AJ23">
            <v>248</v>
          </cell>
          <cell r="AK23">
            <v>199</v>
          </cell>
          <cell r="AL23">
            <v>30</v>
          </cell>
          <cell r="AQ23">
            <v>0</v>
          </cell>
          <cell r="AR23">
            <v>229</v>
          </cell>
        </row>
        <row r="24">
          <cell r="AL24" t="str">
            <v>Grand Total:-</v>
          </cell>
          <cell r="AR24">
            <v>238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49D0-828F-4E99-B904-7C17390FED6F}">
  <dimension ref="A1:P579"/>
  <sheetViews>
    <sheetView showGridLines="0" tabSelected="1" zoomScale="82" zoomScaleNormal="129" workbookViewId="0">
      <pane ySplit="1" topLeftCell="A2" activePane="bottomLeft" state="frozen"/>
      <selection pane="bottomLeft" activeCell="T4" sqref="T4"/>
    </sheetView>
  </sheetViews>
  <sheetFormatPr defaultRowHeight="15.75" x14ac:dyDescent="0.25"/>
  <cols>
    <col min="1" max="1" width="21" style="5" bestFit="1" customWidth="1"/>
    <col min="2" max="2" width="6.28515625" style="10" bestFit="1" customWidth="1"/>
    <col min="3" max="3" width="7.28515625" style="10" bestFit="1" customWidth="1"/>
    <col min="4" max="4" width="54.42578125" style="10" bestFit="1" customWidth="1"/>
    <col min="5" max="5" width="29" style="10" bestFit="1" customWidth="1"/>
    <col min="6" max="6" width="7.140625" style="10" bestFit="1" customWidth="1"/>
    <col min="7" max="7" width="7" style="10" bestFit="1" customWidth="1"/>
    <col min="8" max="8" width="9.42578125" style="98" bestFit="1" customWidth="1"/>
    <col min="9" max="9" width="12.28515625" style="98" bestFit="1" customWidth="1"/>
    <col min="10" max="10" width="9.85546875" style="98" bestFit="1" customWidth="1"/>
    <col min="11" max="11" width="10.5703125" style="98" bestFit="1" customWidth="1"/>
    <col min="12" max="12" width="12.140625" style="98" bestFit="1" customWidth="1"/>
    <col min="13" max="13" width="11.42578125" style="98" bestFit="1" customWidth="1"/>
    <col min="14" max="14" width="8.5703125" style="10" bestFit="1" customWidth="1"/>
    <col min="15" max="15" width="9" style="10" bestFit="1" customWidth="1"/>
    <col min="16" max="16" width="11.42578125" style="10" bestFit="1" customWidth="1"/>
    <col min="17" max="16384" width="9.140625" style="10"/>
  </cols>
  <sheetData>
    <row r="1" spans="1:16" s="5" customFormat="1" ht="94.5" x14ac:dyDescent="0.25">
      <c r="A1" s="99" t="s">
        <v>0</v>
      </c>
      <c r="B1" s="100" t="s">
        <v>1</v>
      </c>
      <c r="C1" s="101" t="s">
        <v>2</v>
      </c>
      <c r="D1" s="100" t="s">
        <v>3</v>
      </c>
      <c r="E1" s="100" t="s">
        <v>4</v>
      </c>
      <c r="F1" s="100" t="s">
        <v>5</v>
      </c>
      <c r="G1" s="100" t="s">
        <v>6</v>
      </c>
      <c r="H1" s="102" t="s">
        <v>7</v>
      </c>
      <c r="I1" s="103" t="s">
        <v>8</v>
      </c>
      <c r="J1" s="103" t="s">
        <v>9</v>
      </c>
      <c r="K1" s="103" t="s">
        <v>10</v>
      </c>
      <c r="L1" s="103" t="s">
        <v>11</v>
      </c>
      <c r="M1" s="104" t="s">
        <v>12</v>
      </c>
      <c r="N1" s="100" t="s">
        <v>32</v>
      </c>
      <c r="O1" s="100" t="s">
        <v>33</v>
      </c>
      <c r="P1" s="99" t="s">
        <v>34</v>
      </c>
    </row>
    <row r="2" spans="1:16" x14ac:dyDescent="0.25">
      <c r="A2" s="2" t="s">
        <v>18</v>
      </c>
      <c r="B2" s="6">
        <v>1</v>
      </c>
      <c r="C2" s="7">
        <v>11569</v>
      </c>
      <c r="D2" s="6" t="s">
        <v>16</v>
      </c>
      <c r="E2" s="6" t="s">
        <v>17</v>
      </c>
      <c r="F2" s="6">
        <v>31</v>
      </c>
      <c r="G2" s="6">
        <v>31</v>
      </c>
      <c r="H2" s="14">
        <v>21158.692800000001</v>
      </c>
      <c r="I2" s="14">
        <v>1800</v>
      </c>
      <c r="J2" s="14">
        <v>158.69019599999999</v>
      </c>
      <c r="K2" s="14">
        <v>200</v>
      </c>
      <c r="L2" s="14">
        <v>2158.690196</v>
      </c>
      <c r="M2" s="15">
        <v>19000.002604000001</v>
      </c>
      <c r="N2" s="8">
        <v>1950</v>
      </c>
      <c r="O2" s="8">
        <v>687.6575160000001</v>
      </c>
      <c r="P2" s="2">
        <v>400</v>
      </c>
    </row>
    <row r="3" spans="1:16" x14ac:dyDescent="0.25">
      <c r="A3" s="2" t="s">
        <v>18</v>
      </c>
      <c r="B3" s="6">
        <f t="shared" ref="B3:B66" si="0">B2+1</f>
        <v>2</v>
      </c>
      <c r="C3" s="7">
        <v>10548</v>
      </c>
      <c r="D3" s="8" t="s">
        <v>23</v>
      </c>
      <c r="E3" s="6" t="s">
        <v>15</v>
      </c>
      <c r="F3" s="6">
        <v>31</v>
      </c>
      <c r="G3" s="6">
        <v>29</v>
      </c>
      <c r="H3" s="14">
        <v>17860.981193548389</v>
      </c>
      <c r="I3" s="14">
        <v>1698.2145174193549</v>
      </c>
      <c r="J3" s="14">
        <v>133.95735895161292</v>
      </c>
      <c r="K3" s="14">
        <v>150</v>
      </c>
      <c r="L3" s="14">
        <v>1982.1718763709678</v>
      </c>
      <c r="M3" s="15">
        <v>15878.80931717742</v>
      </c>
      <c r="N3" s="8">
        <v>1839.7323938709678</v>
      </c>
      <c r="O3" s="8">
        <v>580.48188879032261</v>
      </c>
      <c r="P3" s="2">
        <v>400</v>
      </c>
    </row>
    <row r="4" spans="1:16" x14ac:dyDescent="0.25">
      <c r="A4" s="2" t="s">
        <v>22</v>
      </c>
      <c r="B4" s="6">
        <f t="shared" si="0"/>
        <v>3</v>
      </c>
      <c r="C4" s="16">
        <v>11716</v>
      </c>
      <c r="D4" s="17" t="s">
        <v>24</v>
      </c>
      <c r="E4" s="18" t="s">
        <v>19</v>
      </c>
      <c r="F4" s="2">
        <v>31</v>
      </c>
      <c r="G4" s="2">
        <v>30</v>
      </c>
      <c r="H4" s="14">
        <v>19181.624419354841</v>
      </c>
      <c r="I4" s="14">
        <v>1446.1548387096773</v>
      </c>
      <c r="J4" s="14">
        <v>122.71209677419354</v>
      </c>
      <c r="K4" s="14">
        <v>150</v>
      </c>
      <c r="L4" s="14">
        <v>1718.8669354838707</v>
      </c>
      <c r="M4" s="15">
        <v>17463</v>
      </c>
      <c r="N4" s="8">
        <v>1566.6677419354837</v>
      </c>
      <c r="O4" s="6"/>
      <c r="P4" s="6"/>
    </row>
    <row r="5" spans="1:16" x14ac:dyDescent="0.25">
      <c r="A5" s="2" t="s">
        <v>22</v>
      </c>
      <c r="B5" s="6">
        <f t="shared" si="0"/>
        <v>4</v>
      </c>
      <c r="C5" s="19">
        <v>11191</v>
      </c>
      <c r="D5" s="17" t="s">
        <v>25</v>
      </c>
      <c r="E5" s="18" t="s">
        <v>20</v>
      </c>
      <c r="F5" s="2">
        <v>31</v>
      </c>
      <c r="G5" s="2">
        <v>31</v>
      </c>
      <c r="H5" s="14">
        <v>26694.768899999999</v>
      </c>
      <c r="I5" s="14">
        <v>1494.36</v>
      </c>
      <c r="J5" s="14">
        <v>0</v>
      </c>
      <c r="K5" s="14">
        <v>200</v>
      </c>
      <c r="L5" s="14">
        <v>1694.36</v>
      </c>
      <c r="M5" s="15">
        <v>25000</v>
      </c>
      <c r="N5" s="8">
        <v>1618.89</v>
      </c>
      <c r="O5" s="6"/>
      <c r="P5" s="6"/>
    </row>
    <row r="6" spans="1:16" x14ac:dyDescent="0.25">
      <c r="A6" s="2" t="s">
        <v>22</v>
      </c>
      <c r="B6" s="6">
        <f t="shared" si="0"/>
        <v>5</v>
      </c>
      <c r="C6" s="16">
        <v>1</v>
      </c>
      <c r="D6" s="20" t="s">
        <v>21</v>
      </c>
      <c r="E6" s="18" t="s">
        <v>20</v>
      </c>
      <c r="F6" s="2">
        <v>31</v>
      </c>
      <c r="G6" s="2">
        <v>31</v>
      </c>
      <c r="H6" s="14">
        <v>26694.768899999999</v>
      </c>
      <c r="I6" s="14">
        <v>0</v>
      </c>
      <c r="J6" s="14">
        <v>0</v>
      </c>
      <c r="K6" s="14">
        <v>200</v>
      </c>
      <c r="L6" s="14">
        <v>0</v>
      </c>
      <c r="M6" s="15">
        <v>25000</v>
      </c>
      <c r="N6" s="8">
        <v>0</v>
      </c>
      <c r="O6" s="6"/>
      <c r="P6" s="6"/>
    </row>
    <row r="7" spans="1:16" x14ac:dyDescent="0.25">
      <c r="A7" s="2" t="s">
        <v>22</v>
      </c>
      <c r="B7" s="6">
        <f t="shared" si="0"/>
        <v>6</v>
      </c>
      <c r="C7" s="19">
        <v>10655</v>
      </c>
      <c r="D7" s="17" t="s">
        <v>26</v>
      </c>
      <c r="E7" s="18" t="s">
        <v>20</v>
      </c>
      <c r="F7" s="2">
        <v>31</v>
      </c>
      <c r="G7" s="2">
        <v>26</v>
      </c>
      <c r="H7" s="14">
        <v>14701.288625806452</v>
      </c>
      <c r="I7" s="14">
        <v>1250.3148387096774</v>
      </c>
      <c r="J7" s="14">
        <v>90.259838709677425</v>
      </c>
      <c r="K7" s="14">
        <v>0</v>
      </c>
      <c r="L7" s="14">
        <v>1340.5746774193549</v>
      </c>
      <c r="M7" s="15">
        <v>13361</v>
      </c>
      <c r="N7" s="8">
        <v>1354.5077419354839</v>
      </c>
      <c r="O7" s="6"/>
      <c r="P7" s="6"/>
    </row>
    <row r="8" spans="1:16" x14ac:dyDescent="0.25">
      <c r="A8" s="2" t="s">
        <v>22</v>
      </c>
      <c r="B8" s="6">
        <f t="shared" si="0"/>
        <v>7</v>
      </c>
      <c r="C8" s="19">
        <v>11565</v>
      </c>
      <c r="D8" s="17" t="s">
        <v>27</v>
      </c>
      <c r="E8" s="18" t="s">
        <v>20</v>
      </c>
      <c r="F8" s="2">
        <v>31</v>
      </c>
      <c r="G8" s="2">
        <v>26</v>
      </c>
      <c r="H8" s="14">
        <v>14701.288625806452</v>
      </c>
      <c r="I8" s="14">
        <v>1250.3148387096774</v>
      </c>
      <c r="J8" s="14">
        <v>90.259838709677425</v>
      </c>
      <c r="K8" s="14">
        <v>0</v>
      </c>
      <c r="L8" s="14">
        <v>1340.5746774193549</v>
      </c>
      <c r="M8" s="15">
        <v>13361</v>
      </c>
      <c r="N8" s="8">
        <v>1354.5077419354839</v>
      </c>
      <c r="O8" s="6"/>
      <c r="P8" s="6"/>
    </row>
    <row r="9" spans="1:16" x14ac:dyDescent="0.25">
      <c r="A9" s="2" t="s">
        <v>22</v>
      </c>
      <c r="B9" s="6">
        <f t="shared" si="0"/>
        <v>8</v>
      </c>
      <c r="C9" s="19">
        <v>12095</v>
      </c>
      <c r="D9" s="17" t="s">
        <v>35</v>
      </c>
      <c r="E9" s="18" t="s">
        <v>20</v>
      </c>
      <c r="F9" s="2">
        <v>31</v>
      </c>
      <c r="G9" s="2">
        <v>31</v>
      </c>
      <c r="H9" s="14">
        <v>17439.445867741935</v>
      </c>
      <c r="I9" s="14">
        <v>1490.76</v>
      </c>
      <c r="J9" s="14">
        <v>107.61749999999999</v>
      </c>
      <c r="K9" s="14">
        <v>150</v>
      </c>
      <c r="L9" s="14">
        <v>1748.3775000000001</v>
      </c>
      <c r="M9" s="15">
        <v>15691</v>
      </c>
      <c r="N9" s="8">
        <v>1614.99</v>
      </c>
      <c r="O9" s="6"/>
      <c r="P9" s="6"/>
    </row>
    <row r="10" spans="1:16" x14ac:dyDescent="0.25">
      <c r="A10" s="2" t="s">
        <v>22</v>
      </c>
      <c r="B10" s="6">
        <f t="shared" si="0"/>
        <v>9</v>
      </c>
      <c r="C10" s="19">
        <v>11583</v>
      </c>
      <c r="D10" s="17" t="s">
        <v>28</v>
      </c>
      <c r="E10" s="18" t="s">
        <v>20</v>
      </c>
      <c r="F10" s="2">
        <v>31</v>
      </c>
      <c r="G10" s="2">
        <v>27</v>
      </c>
      <c r="H10" s="14">
        <v>14786.049106451614</v>
      </c>
      <c r="I10" s="14">
        <v>1298.4038709677418</v>
      </c>
      <c r="J10" s="14">
        <v>93.731370967741924</v>
      </c>
      <c r="K10" s="14">
        <v>0</v>
      </c>
      <c r="L10" s="14">
        <v>1392.1352419354837</v>
      </c>
      <c r="M10" s="15">
        <v>13394</v>
      </c>
      <c r="N10" s="8">
        <v>1406.604193548387</v>
      </c>
      <c r="O10" s="6"/>
      <c r="P10" s="6"/>
    </row>
    <row r="11" spans="1:16" x14ac:dyDescent="0.25">
      <c r="A11" s="2" t="s">
        <v>22</v>
      </c>
      <c r="B11" s="6">
        <f t="shared" si="0"/>
        <v>10</v>
      </c>
      <c r="C11" s="19">
        <v>11978</v>
      </c>
      <c r="D11" s="17" t="s">
        <v>30</v>
      </c>
      <c r="E11" s="18" t="s">
        <v>20</v>
      </c>
      <c r="F11" s="2">
        <v>31</v>
      </c>
      <c r="G11" s="2">
        <v>29</v>
      </c>
      <c r="H11" s="14">
        <v>18195.666841935483</v>
      </c>
      <c r="I11" s="14">
        <v>1394.5819354838709</v>
      </c>
      <c r="J11" s="14">
        <v>100.67443548387097</v>
      </c>
      <c r="K11" s="14">
        <v>150</v>
      </c>
      <c r="L11" s="14">
        <v>1645.2563709677418</v>
      </c>
      <c r="M11" s="15">
        <v>16550</v>
      </c>
      <c r="N11" s="8">
        <v>1510.7970967741933</v>
      </c>
      <c r="O11" s="6"/>
      <c r="P11" s="6"/>
    </row>
    <row r="12" spans="1:16" x14ac:dyDescent="0.25">
      <c r="A12" s="2" t="s">
        <v>22</v>
      </c>
      <c r="B12" s="6">
        <f t="shared" si="0"/>
        <v>11</v>
      </c>
      <c r="C12" s="19">
        <v>12058</v>
      </c>
      <c r="D12" s="17" t="s">
        <v>31</v>
      </c>
      <c r="E12" s="18" t="s">
        <v>20</v>
      </c>
      <c r="F12" s="2">
        <v>31</v>
      </c>
      <c r="G12" s="2">
        <v>31</v>
      </c>
      <c r="H12" s="14">
        <v>17902.316835483871</v>
      </c>
      <c r="I12" s="14">
        <v>1490.76</v>
      </c>
      <c r="J12" s="14">
        <v>107.61749999999999</v>
      </c>
      <c r="K12" s="14">
        <v>150</v>
      </c>
      <c r="L12" s="14">
        <v>1748.3775000000001</v>
      </c>
      <c r="M12" s="15">
        <v>16154</v>
      </c>
      <c r="N12" s="8">
        <v>1614.99</v>
      </c>
      <c r="O12" s="6"/>
      <c r="P12" s="6"/>
    </row>
    <row r="13" spans="1:16" x14ac:dyDescent="0.25">
      <c r="A13" s="2" t="s">
        <v>22</v>
      </c>
      <c r="B13" s="6">
        <f t="shared" si="0"/>
        <v>12</v>
      </c>
      <c r="C13" s="19">
        <v>12061</v>
      </c>
      <c r="D13" s="17" t="s">
        <v>29</v>
      </c>
      <c r="E13" s="18" t="s">
        <v>20</v>
      </c>
      <c r="F13" s="2">
        <v>31</v>
      </c>
      <c r="G13" s="2">
        <v>31</v>
      </c>
      <c r="H13" s="14">
        <v>18828.058770967742</v>
      </c>
      <c r="I13" s="14">
        <v>1490.76</v>
      </c>
      <c r="J13" s="14">
        <v>107.61749999999999</v>
      </c>
      <c r="K13" s="14">
        <v>150</v>
      </c>
      <c r="L13" s="14">
        <v>1748.3775000000001</v>
      </c>
      <c r="M13" s="15">
        <v>17080</v>
      </c>
      <c r="N13" s="8">
        <v>1614.99</v>
      </c>
      <c r="O13" s="6"/>
      <c r="P13" s="6"/>
    </row>
    <row r="14" spans="1:16" x14ac:dyDescent="0.25">
      <c r="A14" s="2" t="s">
        <v>22</v>
      </c>
      <c r="B14" s="6">
        <f t="shared" si="0"/>
        <v>13</v>
      </c>
      <c r="C14" s="19">
        <v>3</v>
      </c>
      <c r="D14" s="17" t="s">
        <v>36</v>
      </c>
      <c r="E14" s="18" t="s">
        <v>20</v>
      </c>
      <c r="F14" s="2">
        <v>31</v>
      </c>
      <c r="G14" s="2">
        <v>30</v>
      </c>
      <c r="H14" s="14">
        <v>17354.685387096775</v>
      </c>
      <c r="I14" s="14">
        <v>1442.6709677419353</v>
      </c>
      <c r="J14" s="14">
        <v>104.14596774193548</v>
      </c>
      <c r="K14" s="14">
        <v>150</v>
      </c>
      <c r="L14" s="14">
        <v>1696.8169354838708</v>
      </c>
      <c r="M14" s="15">
        <v>15658</v>
      </c>
      <c r="N14" s="8">
        <v>1562.8935483870966</v>
      </c>
      <c r="O14" s="6"/>
      <c r="P14" s="6"/>
    </row>
    <row r="15" spans="1:16" x14ac:dyDescent="0.25">
      <c r="A15" s="2" t="s">
        <v>44</v>
      </c>
      <c r="B15" s="6">
        <f t="shared" si="0"/>
        <v>14</v>
      </c>
      <c r="C15" s="4">
        <v>11320</v>
      </c>
      <c r="D15" s="21" t="str">
        <f>VLOOKUP(C15,'[1]CHAN-PF'!$C$2:$F$704,4,0)</f>
        <v>RAJU BHIMRAO DURNE</v>
      </c>
      <c r="E15" s="3" t="s">
        <v>19</v>
      </c>
      <c r="F15" s="2">
        <v>31</v>
      </c>
      <c r="G15" s="2">
        <f>VLOOKUP(C15,[2]ATTANDANCE!$B$7:$AR$24,42,0)</f>
        <v>31</v>
      </c>
      <c r="H15" s="14">
        <v>24929.030000000002</v>
      </c>
      <c r="I15" s="14">
        <v>1800</v>
      </c>
      <c r="J15" s="14">
        <v>0</v>
      </c>
      <c r="K15" s="14">
        <v>200</v>
      </c>
      <c r="L15" s="14">
        <v>2000</v>
      </c>
      <c r="M15" s="15">
        <v>22929</v>
      </c>
      <c r="N15" s="8">
        <v>1950</v>
      </c>
      <c r="O15" s="6"/>
      <c r="P15" s="6"/>
    </row>
    <row r="16" spans="1:16" x14ac:dyDescent="0.25">
      <c r="A16" s="2" t="s">
        <v>44</v>
      </c>
      <c r="B16" s="6">
        <f t="shared" si="0"/>
        <v>15</v>
      </c>
      <c r="C16" s="16">
        <v>11342</v>
      </c>
      <c r="D16" s="21" t="str">
        <f>VLOOKUP(C16,'[1]CHAN-PF'!$C$2:$F$704,4,0)</f>
        <v>GOVARDHANA VENUGOPAL</v>
      </c>
      <c r="E16" s="3" t="s">
        <v>37</v>
      </c>
      <c r="F16" s="2">
        <v>31</v>
      </c>
      <c r="G16" s="2">
        <f>VLOOKUP(C16,[2]ATTANDANCE!$B$7:$AR$24,42,0)</f>
        <v>27</v>
      </c>
      <c r="H16" s="14">
        <v>31683.43033548387</v>
      </c>
      <c r="I16" s="14">
        <v>1800</v>
      </c>
      <c r="J16" s="14">
        <v>0</v>
      </c>
      <c r="K16" s="14">
        <v>200</v>
      </c>
      <c r="L16" s="14">
        <v>2000</v>
      </c>
      <c r="M16" s="15">
        <v>29683</v>
      </c>
      <c r="N16" s="8">
        <v>1950</v>
      </c>
      <c r="O16" s="6"/>
      <c r="P16" s="6"/>
    </row>
    <row r="17" spans="1:16" x14ac:dyDescent="0.25">
      <c r="A17" s="2" t="s">
        <v>44</v>
      </c>
      <c r="B17" s="6">
        <f t="shared" si="0"/>
        <v>16</v>
      </c>
      <c r="C17" s="16" t="s">
        <v>38</v>
      </c>
      <c r="D17" s="21" t="s">
        <v>39</v>
      </c>
      <c r="E17" s="3" t="s">
        <v>37</v>
      </c>
      <c r="F17" s="2">
        <v>31</v>
      </c>
      <c r="G17" s="2">
        <f>VLOOKUP(C17,[2]ATTANDANCE!$B$7:$AR$24,42,0)</f>
        <v>1</v>
      </c>
      <c r="H17" s="14">
        <v>919.92274838709693</v>
      </c>
      <c r="I17" s="14">
        <v>83.425568516129047</v>
      </c>
      <c r="J17" s="14">
        <v>0</v>
      </c>
      <c r="K17" s="14">
        <v>0</v>
      </c>
      <c r="L17" s="14">
        <v>83.425568516129047</v>
      </c>
      <c r="M17" s="15">
        <v>836</v>
      </c>
      <c r="N17" s="8">
        <v>90.377699225806467</v>
      </c>
      <c r="O17" s="6"/>
      <c r="P17" s="6"/>
    </row>
    <row r="18" spans="1:16" x14ac:dyDescent="0.25">
      <c r="A18" s="2" t="s">
        <v>44</v>
      </c>
      <c r="B18" s="6">
        <f t="shared" si="0"/>
        <v>17</v>
      </c>
      <c r="C18" s="16">
        <v>10713</v>
      </c>
      <c r="D18" s="21" t="str">
        <f>VLOOKUP(C18,'[1]CHAN-PF'!$C$2:$F$704,4,0)</f>
        <v>EECHANTA SREEDEVI</v>
      </c>
      <c r="E18" s="3" t="s">
        <v>20</v>
      </c>
      <c r="F18" s="2">
        <v>31</v>
      </c>
      <c r="G18" s="2">
        <f>VLOOKUP(C18,[2]ATTANDANCE!$B$7:$AR$24,42,0)</f>
        <v>31</v>
      </c>
      <c r="H18" s="14">
        <v>20522.3704</v>
      </c>
      <c r="I18" s="14">
        <v>1800</v>
      </c>
      <c r="J18" s="14">
        <v>153.917778</v>
      </c>
      <c r="K18" s="14">
        <v>200</v>
      </c>
      <c r="L18" s="14">
        <v>2153.917778</v>
      </c>
      <c r="M18" s="15">
        <v>18368</v>
      </c>
      <c r="N18" s="8">
        <v>1950</v>
      </c>
      <c r="O18" s="6"/>
      <c r="P18" s="6"/>
    </row>
    <row r="19" spans="1:16" x14ac:dyDescent="0.25">
      <c r="A19" s="2" t="s">
        <v>44</v>
      </c>
      <c r="B19" s="6">
        <f t="shared" si="0"/>
        <v>18</v>
      </c>
      <c r="C19" s="16">
        <v>10946</v>
      </c>
      <c r="D19" s="21" t="str">
        <f>VLOOKUP(C19,'[1]CHAN-PF'!$C$2:$F$704,4,0)</f>
        <v>ABDUL HANNAN MAZUMDER</v>
      </c>
      <c r="E19" s="3" t="s">
        <v>20</v>
      </c>
      <c r="F19" s="2">
        <v>31</v>
      </c>
      <c r="G19" s="2">
        <f>VLOOKUP(C19,[2]ATTANDANCE!$B$7:$AR$24,42,0)</f>
        <v>31</v>
      </c>
      <c r="H19" s="14">
        <v>20522.3704</v>
      </c>
      <c r="I19" s="14">
        <v>1800</v>
      </c>
      <c r="J19" s="14">
        <v>153.917778</v>
      </c>
      <c r="K19" s="14">
        <v>200</v>
      </c>
      <c r="L19" s="14">
        <v>2153.917778</v>
      </c>
      <c r="M19" s="15">
        <v>18368</v>
      </c>
      <c r="N19" s="8">
        <v>1950</v>
      </c>
      <c r="O19" s="6"/>
      <c r="P19" s="6"/>
    </row>
    <row r="20" spans="1:16" x14ac:dyDescent="0.25">
      <c r="A20" s="2" t="s">
        <v>44</v>
      </c>
      <c r="B20" s="6">
        <f t="shared" si="0"/>
        <v>19</v>
      </c>
      <c r="C20" s="16">
        <v>10965</v>
      </c>
      <c r="D20" s="21" t="s">
        <v>40</v>
      </c>
      <c r="E20" s="3" t="s">
        <v>20</v>
      </c>
      <c r="F20" s="2">
        <v>31</v>
      </c>
      <c r="G20" s="2">
        <f>VLOOKUP(C20,[2]ATTANDANCE!$B$7:$AR$24,42,0)</f>
        <v>31</v>
      </c>
      <c r="H20" s="14">
        <v>20522.3704</v>
      </c>
      <c r="I20" s="14">
        <v>1800</v>
      </c>
      <c r="J20" s="14">
        <v>153.917778</v>
      </c>
      <c r="K20" s="14">
        <v>200</v>
      </c>
      <c r="L20" s="14">
        <v>2153.917778</v>
      </c>
      <c r="M20" s="15">
        <v>18368</v>
      </c>
      <c r="N20" s="8">
        <v>1950</v>
      </c>
      <c r="O20" s="6"/>
      <c r="P20" s="6"/>
    </row>
    <row r="21" spans="1:16" x14ac:dyDescent="0.25">
      <c r="A21" s="2" t="s">
        <v>44</v>
      </c>
      <c r="B21" s="6">
        <f t="shared" si="0"/>
        <v>20</v>
      </c>
      <c r="C21" s="16">
        <v>11798</v>
      </c>
      <c r="D21" s="21" t="s">
        <v>41</v>
      </c>
      <c r="E21" s="3" t="s">
        <v>20</v>
      </c>
      <c r="F21" s="2">
        <v>31</v>
      </c>
      <c r="G21" s="2">
        <f>VLOOKUP(C21,[2]ATTANDANCE!$B$7:$AR$24,42,0)</f>
        <v>30</v>
      </c>
      <c r="H21" s="14">
        <v>19860.358451612901</v>
      </c>
      <c r="I21" s="14">
        <v>1800</v>
      </c>
      <c r="J21" s="14">
        <v>148.95268838709674</v>
      </c>
      <c r="K21" s="14">
        <v>150</v>
      </c>
      <c r="L21" s="14">
        <v>2098.9526883870967</v>
      </c>
      <c r="M21" s="15">
        <v>17761</v>
      </c>
      <c r="N21" s="8">
        <v>1950</v>
      </c>
      <c r="O21" s="6"/>
      <c r="P21" s="6"/>
    </row>
    <row r="22" spans="1:16" x14ac:dyDescent="0.25">
      <c r="A22" s="2" t="s">
        <v>44</v>
      </c>
      <c r="B22" s="6">
        <f t="shared" si="0"/>
        <v>21</v>
      </c>
      <c r="C22" s="16">
        <v>11826</v>
      </c>
      <c r="D22" s="21" t="s">
        <v>42</v>
      </c>
      <c r="E22" s="3" t="s">
        <v>20</v>
      </c>
      <c r="F22" s="2">
        <v>31</v>
      </c>
      <c r="G22" s="2">
        <f>VLOOKUP(C22,[2]ATTANDANCE!$B$7:$AR$24,42,0)</f>
        <v>30</v>
      </c>
      <c r="H22" s="14">
        <v>19860.358451612901</v>
      </c>
      <c r="I22" s="14">
        <v>1800</v>
      </c>
      <c r="J22" s="14">
        <v>148.95268838709674</v>
      </c>
      <c r="K22" s="14">
        <v>150</v>
      </c>
      <c r="L22" s="14">
        <v>2098.9526883870967</v>
      </c>
      <c r="M22" s="15">
        <v>17761</v>
      </c>
      <c r="N22" s="8">
        <v>1950</v>
      </c>
      <c r="O22" s="6"/>
      <c r="P22" s="6"/>
    </row>
    <row r="23" spans="1:16" x14ac:dyDescent="0.25">
      <c r="A23" s="2" t="s">
        <v>44</v>
      </c>
      <c r="B23" s="6">
        <f t="shared" si="0"/>
        <v>22</v>
      </c>
      <c r="C23" s="16">
        <v>10577</v>
      </c>
      <c r="D23" s="21" t="s">
        <v>43</v>
      </c>
      <c r="E23" s="3" t="s">
        <v>20</v>
      </c>
      <c r="F23" s="2">
        <v>31</v>
      </c>
      <c r="G23" s="2">
        <f>VLOOKUP(C23,[2]ATTANDANCE!$B$7:$AR$24,42,0)</f>
        <v>29</v>
      </c>
      <c r="H23" s="14">
        <v>19198.346503225806</v>
      </c>
      <c r="I23" s="14">
        <v>1800</v>
      </c>
      <c r="J23" s="14">
        <v>143.98759877419354</v>
      </c>
      <c r="K23" s="14">
        <v>150</v>
      </c>
      <c r="L23" s="14">
        <v>2093.9875987741934</v>
      </c>
      <c r="M23" s="15">
        <v>17104</v>
      </c>
      <c r="N23" s="8">
        <v>1950</v>
      </c>
      <c r="O23" s="6"/>
      <c r="P23" s="6"/>
    </row>
    <row r="24" spans="1:16" x14ac:dyDescent="0.25">
      <c r="A24" s="2" t="s">
        <v>107</v>
      </c>
      <c r="B24" s="6">
        <f t="shared" si="0"/>
        <v>23</v>
      </c>
      <c r="C24" s="7">
        <v>11043</v>
      </c>
      <c r="D24" s="22" t="s">
        <v>45</v>
      </c>
      <c r="E24" s="2" t="s">
        <v>46</v>
      </c>
      <c r="F24" s="6">
        <v>31</v>
      </c>
      <c r="G24" s="14">
        <f>VLOOKUP(C24,[3]ATTENDANCE!$A$8:$AR$107,44,0)</f>
        <v>30</v>
      </c>
      <c r="H24" s="23">
        <v>25218.247838709678</v>
      </c>
      <c r="I24" s="23">
        <v>1800</v>
      </c>
      <c r="J24" s="23">
        <v>0</v>
      </c>
      <c r="K24" s="23">
        <v>200</v>
      </c>
      <c r="L24" s="23">
        <v>2000</v>
      </c>
      <c r="M24" s="15">
        <v>23218</v>
      </c>
      <c r="N24" s="8">
        <v>1950</v>
      </c>
      <c r="O24" s="14">
        <v>1400</v>
      </c>
      <c r="P24" s="6"/>
    </row>
    <row r="25" spans="1:16" x14ac:dyDescent="0.25">
      <c r="A25" s="2" t="s">
        <v>107</v>
      </c>
      <c r="B25" s="6">
        <f t="shared" si="0"/>
        <v>24</v>
      </c>
      <c r="C25" s="7">
        <v>12050</v>
      </c>
      <c r="D25" s="22" t="s">
        <v>47</v>
      </c>
      <c r="E25" s="2" t="s">
        <v>48</v>
      </c>
      <c r="F25" s="6">
        <v>31</v>
      </c>
      <c r="G25" s="14">
        <f>VLOOKUP(C25,[3]ATTENDANCE!$A$8:$AR$107,44,0)</f>
        <v>30</v>
      </c>
      <c r="H25" s="23">
        <v>27546.018</v>
      </c>
      <c r="I25" s="23">
        <v>1800</v>
      </c>
      <c r="J25" s="23">
        <v>0</v>
      </c>
      <c r="K25" s="23">
        <v>200</v>
      </c>
      <c r="L25" s="23">
        <v>2000</v>
      </c>
      <c r="M25" s="15">
        <v>25546</v>
      </c>
      <c r="N25" s="8">
        <v>1950</v>
      </c>
      <c r="O25" s="14">
        <v>1400</v>
      </c>
      <c r="P25" s="6"/>
    </row>
    <row r="26" spans="1:16" x14ac:dyDescent="0.25">
      <c r="A26" s="2" t="s">
        <v>107</v>
      </c>
      <c r="B26" s="6">
        <f t="shared" si="0"/>
        <v>25</v>
      </c>
      <c r="C26" s="7">
        <v>11714</v>
      </c>
      <c r="D26" s="22" t="s">
        <v>49</v>
      </c>
      <c r="E26" s="2" t="s">
        <v>17</v>
      </c>
      <c r="F26" s="6">
        <v>31</v>
      </c>
      <c r="G26" s="14">
        <f>VLOOKUP(C26,[3]ATTENDANCE!$A$8:$AR$107,44,0)</f>
        <v>31</v>
      </c>
      <c r="H26" s="23">
        <v>26537.258838709677</v>
      </c>
      <c r="I26" s="23">
        <v>1800</v>
      </c>
      <c r="J26" s="23">
        <v>199.02944129032258</v>
      </c>
      <c r="K26" s="23">
        <v>200</v>
      </c>
      <c r="L26" s="23">
        <v>2199.0294412903227</v>
      </c>
      <c r="M26" s="15">
        <v>24338</v>
      </c>
      <c r="N26" s="8">
        <v>1950</v>
      </c>
      <c r="O26" s="14">
        <f t="shared" ref="O26:O72" si="1">H26*3.25%</f>
        <v>862.46091225806447</v>
      </c>
      <c r="P26" s="6"/>
    </row>
    <row r="27" spans="1:16" x14ac:dyDescent="0.25">
      <c r="A27" s="2" t="s">
        <v>107</v>
      </c>
      <c r="B27" s="6">
        <f t="shared" si="0"/>
        <v>26</v>
      </c>
      <c r="C27" s="7">
        <v>10762</v>
      </c>
      <c r="D27" s="22" t="s">
        <v>50</v>
      </c>
      <c r="E27" s="2" t="s">
        <v>51</v>
      </c>
      <c r="F27" s="6">
        <v>31</v>
      </c>
      <c r="G27" s="14">
        <f>VLOOKUP(C27,[3]ATTENDANCE!$A$8:$AR$107,44,0)</f>
        <v>30</v>
      </c>
      <c r="H27" s="14">
        <v>31516.021741935485</v>
      </c>
      <c r="I27" s="14">
        <v>1800</v>
      </c>
      <c r="J27" s="14">
        <v>0</v>
      </c>
      <c r="K27" s="14">
        <v>200</v>
      </c>
      <c r="L27" s="14">
        <v>2000</v>
      </c>
      <c r="M27" s="15">
        <v>29516</v>
      </c>
      <c r="N27" s="8">
        <v>1950</v>
      </c>
      <c r="O27" s="14">
        <v>1400</v>
      </c>
      <c r="P27" s="6"/>
    </row>
    <row r="28" spans="1:16" x14ac:dyDescent="0.25">
      <c r="A28" s="2" t="s">
        <v>107</v>
      </c>
      <c r="B28" s="6">
        <f t="shared" si="0"/>
        <v>27</v>
      </c>
      <c r="C28" s="7">
        <v>11081</v>
      </c>
      <c r="D28" s="22" t="s">
        <v>52</v>
      </c>
      <c r="E28" s="2" t="s">
        <v>51</v>
      </c>
      <c r="F28" s="6">
        <v>31</v>
      </c>
      <c r="G28" s="14">
        <f>VLOOKUP(C28,[3]ATTENDANCE!$A$8:$AR$107,44,0)</f>
        <v>31</v>
      </c>
      <c r="H28" s="14">
        <v>34119.020316129034</v>
      </c>
      <c r="I28" s="14">
        <v>1800</v>
      </c>
      <c r="J28" s="14">
        <v>0</v>
      </c>
      <c r="K28" s="14">
        <v>200</v>
      </c>
      <c r="L28" s="14">
        <v>2000</v>
      </c>
      <c r="M28" s="15">
        <v>32119</v>
      </c>
      <c r="N28" s="8">
        <v>1950</v>
      </c>
      <c r="O28" s="14">
        <v>1400</v>
      </c>
      <c r="P28" s="6"/>
    </row>
    <row r="29" spans="1:16" x14ac:dyDescent="0.25">
      <c r="A29" s="2" t="s">
        <v>107</v>
      </c>
      <c r="B29" s="6">
        <f t="shared" si="0"/>
        <v>28</v>
      </c>
      <c r="C29" s="7">
        <v>11328</v>
      </c>
      <c r="D29" s="22" t="s">
        <v>53</v>
      </c>
      <c r="E29" s="2" t="s">
        <v>51</v>
      </c>
      <c r="F29" s="6">
        <v>31</v>
      </c>
      <c r="G29" s="14">
        <f>VLOOKUP(C29,[3]ATTENDANCE!$A$8:$AR$107,44,0)</f>
        <v>27</v>
      </c>
      <c r="H29" s="14">
        <v>30360.44537419355</v>
      </c>
      <c r="I29" s="14">
        <v>1800</v>
      </c>
      <c r="J29" s="14">
        <v>0</v>
      </c>
      <c r="K29" s="14">
        <v>200</v>
      </c>
      <c r="L29" s="14">
        <v>2000</v>
      </c>
      <c r="M29" s="15">
        <v>28360</v>
      </c>
      <c r="N29" s="8">
        <v>1950</v>
      </c>
      <c r="O29" s="14">
        <v>1400</v>
      </c>
      <c r="P29" s="6"/>
    </row>
    <row r="30" spans="1:16" x14ac:dyDescent="0.25">
      <c r="A30" s="2" t="s">
        <v>107</v>
      </c>
      <c r="B30" s="6">
        <f t="shared" si="0"/>
        <v>29</v>
      </c>
      <c r="C30" s="7">
        <v>11610</v>
      </c>
      <c r="D30" s="22" t="s">
        <v>54</v>
      </c>
      <c r="E30" s="2" t="s">
        <v>51</v>
      </c>
      <c r="F30" s="6">
        <v>31</v>
      </c>
      <c r="G30" s="14">
        <f>VLOOKUP(C30,[3]ATTENDANCE!$A$8:$AR$107,44,0)</f>
        <v>27</v>
      </c>
      <c r="H30" s="14">
        <v>29528.767954838713</v>
      </c>
      <c r="I30" s="14">
        <v>1800</v>
      </c>
      <c r="J30" s="14">
        <v>0</v>
      </c>
      <c r="K30" s="14">
        <v>200</v>
      </c>
      <c r="L30" s="14">
        <v>2000</v>
      </c>
      <c r="M30" s="15">
        <v>27529</v>
      </c>
      <c r="N30" s="8">
        <v>1950</v>
      </c>
      <c r="O30" s="14">
        <v>1400</v>
      </c>
      <c r="P30" s="6"/>
    </row>
    <row r="31" spans="1:16" x14ac:dyDescent="0.25">
      <c r="A31" s="2" t="s">
        <v>107</v>
      </c>
      <c r="B31" s="6">
        <f t="shared" si="0"/>
        <v>30</v>
      </c>
      <c r="C31" s="7">
        <v>11900</v>
      </c>
      <c r="D31" s="22" t="s">
        <v>55</v>
      </c>
      <c r="E31" s="2" t="s">
        <v>51</v>
      </c>
      <c r="F31" s="6">
        <v>31</v>
      </c>
      <c r="G31" s="14">
        <f>VLOOKUP(C31,[3]ATTENDANCE!$A$8:$AR$107,44,0)</f>
        <v>30</v>
      </c>
      <c r="H31" s="14">
        <v>33179.376580645163</v>
      </c>
      <c r="I31" s="14">
        <v>1800</v>
      </c>
      <c r="J31" s="14">
        <v>0</v>
      </c>
      <c r="K31" s="14">
        <v>200</v>
      </c>
      <c r="L31" s="14">
        <v>2000</v>
      </c>
      <c r="M31" s="15">
        <v>31179</v>
      </c>
      <c r="N31" s="8">
        <v>1950</v>
      </c>
      <c r="O31" s="14">
        <v>1400</v>
      </c>
      <c r="P31" s="6"/>
    </row>
    <row r="32" spans="1:16" x14ac:dyDescent="0.25">
      <c r="A32" s="2" t="s">
        <v>107</v>
      </c>
      <c r="B32" s="6">
        <f t="shared" si="0"/>
        <v>31</v>
      </c>
      <c r="C32" s="7">
        <v>12019</v>
      </c>
      <c r="D32" s="22" t="s">
        <v>56</v>
      </c>
      <c r="E32" s="2" t="s">
        <v>51</v>
      </c>
      <c r="F32" s="6">
        <v>31</v>
      </c>
      <c r="G32" s="14">
        <f>VLOOKUP(C32,[3]ATTENDANCE!$A$8:$AR$107,44,0)</f>
        <v>31</v>
      </c>
      <c r="H32" s="14">
        <v>36629.552438709674</v>
      </c>
      <c r="I32" s="14">
        <v>1800</v>
      </c>
      <c r="J32" s="14">
        <v>0</v>
      </c>
      <c r="K32" s="14">
        <v>200</v>
      </c>
      <c r="L32" s="14">
        <v>2000</v>
      </c>
      <c r="M32" s="15">
        <v>34630</v>
      </c>
      <c r="N32" s="8">
        <v>1950</v>
      </c>
      <c r="O32" s="14">
        <v>1400</v>
      </c>
      <c r="P32" s="6"/>
    </row>
    <row r="33" spans="1:16" x14ac:dyDescent="0.25">
      <c r="A33" s="2" t="s">
        <v>107</v>
      </c>
      <c r="B33" s="6">
        <f t="shared" si="0"/>
        <v>32</v>
      </c>
      <c r="C33" s="7">
        <v>10265</v>
      </c>
      <c r="D33" s="22" t="s">
        <v>57</v>
      </c>
      <c r="E33" s="2" t="s">
        <v>51</v>
      </c>
      <c r="F33" s="6">
        <v>31</v>
      </c>
      <c r="G33" s="14">
        <f>VLOOKUP(C33,[3]ATTENDANCE!$A$8:$AR$107,44,0)</f>
        <v>1</v>
      </c>
      <c r="H33" s="14">
        <v>919.36121290322569</v>
      </c>
      <c r="I33" s="14">
        <v>87.50399070967741</v>
      </c>
      <c r="J33" s="14">
        <v>0</v>
      </c>
      <c r="K33" s="14">
        <v>0</v>
      </c>
      <c r="L33" s="14">
        <v>87.50399070967741</v>
      </c>
      <c r="M33" s="15">
        <v>832</v>
      </c>
      <c r="N33" s="8">
        <v>94.79598993548386</v>
      </c>
      <c r="O33" s="14">
        <v>1400</v>
      </c>
      <c r="P33" s="6"/>
    </row>
    <row r="34" spans="1:16" x14ac:dyDescent="0.25">
      <c r="A34" s="2" t="s">
        <v>107</v>
      </c>
      <c r="B34" s="6">
        <f t="shared" si="0"/>
        <v>33</v>
      </c>
      <c r="C34" s="7">
        <v>10097</v>
      </c>
      <c r="D34" s="22" t="s">
        <v>58</v>
      </c>
      <c r="E34" s="2" t="s">
        <v>20</v>
      </c>
      <c r="F34" s="6">
        <v>31</v>
      </c>
      <c r="G34" s="14">
        <f>VLOOKUP(C34,[3]ATTENDANCE!$A$8:$AR$107,44,0)</f>
        <v>31</v>
      </c>
      <c r="H34" s="23">
        <v>20156.817677419356</v>
      </c>
      <c r="I34" s="23">
        <v>1800</v>
      </c>
      <c r="J34" s="23">
        <v>151.17613258064517</v>
      </c>
      <c r="K34" s="23">
        <v>200</v>
      </c>
      <c r="L34" s="23">
        <v>2151.1761325806451</v>
      </c>
      <c r="M34" s="15">
        <v>18006</v>
      </c>
      <c r="N34" s="8">
        <v>1950</v>
      </c>
      <c r="O34" s="14">
        <f t="shared" si="1"/>
        <v>655.09657451612907</v>
      </c>
      <c r="P34" s="6"/>
    </row>
    <row r="35" spans="1:16" x14ac:dyDescent="0.25">
      <c r="A35" s="2" t="s">
        <v>107</v>
      </c>
      <c r="B35" s="6">
        <f t="shared" si="0"/>
        <v>34</v>
      </c>
      <c r="C35" s="7">
        <v>10478</v>
      </c>
      <c r="D35" s="22" t="s">
        <v>59</v>
      </c>
      <c r="E35" s="2" t="s">
        <v>20</v>
      </c>
      <c r="F35" s="6">
        <v>31</v>
      </c>
      <c r="G35" s="14">
        <f>VLOOKUP(C35,[3]ATTENDANCE!$A$8:$AR$107,44,0)</f>
        <v>29</v>
      </c>
      <c r="H35" s="23">
        <v>18530.750225806452</v>
      </c>
      <c r="I35" s="23">
        <v>1800</v>
      </c>
      <c r="J35" s="23">
        <v>138.98062669354837</v>
      </c>
      <c r="K35" s="23">
        <v>150</v>
      </c>
      <c r="L35" s="23">
        <v>2088.9806266935484</v>
      </c>
      <c r="M35" s="15">
        <v>16442</v>
      </c>
      <c r="N35" s="8">
        <v>1950</v>
      </c>
      <c r="O35" s="14">
        <f t="shared" si="1"/>
        <v>602.24938233870978</v>
      </c>
      <c r="P35" s="6"/>
    </row>
    <row r="36" spans="1:16" x14ac:dyDescent="0.25">
      <c r="A36" s="2" t="s">
        <v>107</v>
      </c>
      <c r="B36" s="6">
        <f t="shared" si="0"/>
        <v>35</v>
      </c>
      <c r="C36" s="7">
        <v>11969</v>
      </c>
      <c r="D36" s="22" t="s">
        <v>60</v>
      </c>
      <c r="E36" s="2" t="s">
        <v>20</v>
      </c>
      <c r="F36" s="6">
        <v>31</v>
      </c>
      <c r="G36" s="14">
        <f>VLOOKUP(C36,[3]ATTENDANCE!$A$8:$AR$107,44,0)</f>
        <v>31</v>
      </c>
      <c r="H36" s="23">
        <v>19808.733</v>
      </c>
      <c r="I36" s="23">
        <v>1800</v>
      </c>
      <c r="J36" s="23">
        <v>148.56549749999999</v>
      </c>
      <c r="K36" s="23">
        <v>150</v>
      </c>
      <c r="L36" s="23">
        <v>2098.5654974999998</v>
      </c>
      <c r="M36" s="15">
        <v>17710</v>
      </c>
      <c r="N36" s="8">
        <v>1950</v>
      </c>
      <c r="O36" s="14">
        <f t="shared" si="1"/>
        <v>643.78382250000004</v>
      </c>
      <c r="P36" s="6"/>
    </row>
    <row r="37" spans="1:16" x14ac:dyDescent="0.25">
      <c r="A37" s="2" t="s">
        <v>107</v>
      </c>
      <c r="B37" s="6">
        <f t="shared" si="0"/>
        <v>36</v>
      </c>
      <c r="C37" s="7">
        <v>10532</v>
      </c>
      <c r="D37" s="22" t="s">
        <v>61</v>
      </c>
      <c r="E37" s="2" t="s">
        <v>20</v>
      </c>
      <c r="F37" s="6">
        <v>31</v>
      </c>
      <c r="G37" s="14">
        <f>VLOOKUP(C37,[3]ATTENDANCE!$A$8:$AR$107,44,0)</f>
        <v>31</v>
      </c>
      <c r="H37" s="23">
        <v>22036.474935483871</v>
      </c>
      <c r="I37" s="23">
        <v>1800</v>
      </c>
      <c r="J37" s="23">
        <v>165.27356201612903</v>
      </c>
      <c r="K37" s="23">
        <v>200</v>
      </c>
      <c r="L37" s="23">
        <v>2165.2735620161293</v>
      </c>
      <c r="M37" s="15">
        <v>19871</v>
      </c>
      <c r="N37" s="8">
        <v>1950</v>
      </c>
      <c r="O37" s="14">
        <f t="shared" si="1"/>
        <v>716.18543540322582</v>
      </c>
      <c r="P37" s="6"/>
    </row>
    <row r="38" spans="1:16" x14ac:dyDescent="0.25">
      <c r="A38" s="2" t="s">
        <v>107</v>
      </c>
      <c r="B38" s="6">
        <f t="shared" si="0"/>
        <v>37</v>
      </c>
      <c r="C38" s="7">
        <v>11965</v>
      </c>
      <c r="D38" s="22" t="s">
        <v>62</v>
      </c>
      <c r="E38" s="2" t="s">
        <v>20</v>
      </c>
      <c r="F38" s="6">
        <v>31</v>
      </c>
      <c r="G38" s="14">
        <f>VLOOKUP(C38,[3]ATTENDANCE!$A$8:$AR$107,44,0)</f>
        <v>4</v>
      </c>
      <c r="H38" s="23">
        <v>2555.965548387097</v>
      </c>
      <c r="I38" s="23">
        <v>248.41909161290323</v>
      </c>
      <c r="J38" s="23">
        <v>19.169741612903227</v>
      </c>
      <c r="K38" s="23">
        <v>0</v>
      </c>
      <c r="L38" s="23">
        <v>267.58883322580647</v>
      </c>
      <c r="M38" s="15">
        <v>2288</v>
      </c>
      <c r="N38" s="8">
        <v>269.12068258064517</v>
      </c>
      <c r="O38" s="14">
        <f t="shared" si="1"/>
        <v>83.068880322580654</v>
      </c>
      <c r="P38" s="6"/>
    </row>
    <row r="39" spans="1:16" x14ac:dyDescent="0.25">
      <c r="A39" s="2" t="s">
        <v>107</v>
      </c>
      <c r="B39" s="6">
        <f t="shared" si="0"/>
        <v>38</v>
      </c>
      <c r="C39" s="7">
        <v>10294</v>
      </c>
      <c r="D39" s="22" t="s">
        <v>63</v>
      </c>
      <c r="E39" s="2" t="s">
        <v>20</v>
      </c>
      <c r="F39" s="6">
        <v>31</v>
      </c>
      <c r="G39" s="14">
        <f>VLOOKUP(C39,[3]ATTENDANCE!$A$8:$AR$107,44,0)</f>
        <v>31</v>
      </c>
      <c r="H39" s="23">
        <v>19808.733</v>
      </c>
      <c r="I39" s="23">
        <v>1800</v>
      </c>
      <c r="J39" s="23">
        <v>148.56549749999999</v>
      </c>
      <c r="K39" s="23">
        <v>150</v>
      </c>
      <c r="L39" s="23">
        <v>2098.5654974999998</v>
      </c>
      <c r="M39" s="15">
        <v>17710</v>
      </c>
      <c r="N39" s="8">
        <v>1950</v>
      </c>
      <c r="O39" s="14">
        <f t="shared" si="1"/>
        <v>643.78382250000004</v>
      </c>
      <c r="P39" s="6"/>
    </row>
    <row r="40" spans="1:16" x14ac:dyDescent="0.25">
      <c r="A40" s="2" t="s">
        <v>107</v>
      </c>
      <c r="B40" s="6">
        <f t="shared" si="0"/>
        <v>39</v>
      </c>
      <c r="C40" s="7">
        <v>10681</v>
      </c>
      <c r="D40" s="22" t="s">
        <v>64</v>
      </c>
      <c r="E40" s="2" t="s">
        <v>20</v>
      </c>
      <c r="F40" s="6">
        <v>31</v>
      </c>
      <c r="G40" s="14">
        <f>VLOOKUP(C40,[3]ATTENDANCE!$A$8:$AR$107,44,0)</f>
        <v>30</v>
      </c>
      <c r="H40" s="23">
        <v>19726.67709677419</v>
      </c>
      <c r="I40" s="23">
        <v>1800</v>
      </c>
      <c r="J40" s="23">
        <v>147.95007822580644</v>
      </c>
      <c r="K40" s="23">
        <v>150</v>
      </c>
      <c r="L40" s="23">
        <v>2097.9500782258065</v>
      </c>
      <c r="M40" s="15">
        <v>17629</v>
      </c>
      <c r="N40" s="8">
        <v>1950</v>
      </c>
      <c r="O40" s="14">
        <f t="shared" si="1"/>
        <v>641.11700564516116</v>
      </c>
      <c r="P40" s="6"/>
    </row>
    <row r="41" spans="1:16" x14ac:dyDescent="0.25">
      <c r="A41" s="2" t="s">
        <v>107</v>
      </c>
      <c r="B41" s="6">
        <f t="shared" si="0"/>
        <v>40</v>
      </c>
      <c r="C41" s="7">
        <v>10533</v>
      </c>
      <c r="D41" s="22" t="s">
        <v>65</v>
      </c>
      <c r="E41" s="2" t="s">
        <v>20</v>
      </c>
      <c r="F41" s="6">
        <v>31</v>
      </c>
      <c r="G41" s="14">
        <f>VLOOKUP(C41,[3]ATTENDANCE!$A$8:$AR$107,44,0)</f>
        <v>30</v>
      </c>
      <c r="H41" s="23">
        <v>19517.82629032258</v>
      </c>
      <c r="I41" s="23">
        <v>1800</v>
      </c>
      <c r="J41" s="23">
        <v>146.38369717741935</v>
      </c>
      <c r="K41" s="23">
        <v>150</v>
      </c>
      <c r="L41" s="23">
        <v>2096.3836971774194</v>
      </c>
      <c r="M41" s="15">
        <v>17421</v>
      </c>
      <c r="N41" s="8">
        <v>1950</v>
      </c>
      <c r="O41" s="14">
        <f t="shared" si="1"/>
        <v>634.32935443548388</v>
      </c>
      <c r="P41" s="6"/>
    </row>
    <row r="42" spans="1:16" x14ac:dyDescent="0.25">
      <c r="A42" s="2" t="s">
        <v>107</v>
      </c>
      <c r="B42" s="6">
        <f t="shared" si="0"/>
        <v>41</v>
      </c>
      <c r="C42" s="7">
        <v>11053</v>
      </c>
      <c r="D42" s="22" t="s">
        <v>66</v>
      </c>
      <c r="E42" s="2" t="s">
        <v>20</v>
      </c>
      <c r="F42" s="6">
        <v>31</v>
      </c>
      <c r="G42" s="14">
        <f>VLOOKUP(C42,[3]ATTENDANCE!$A$8:$AR$107,44,0)</f>
        <v>28</v>
      </c>
      <c r="H42" s="23">
        <v>17891.758838709677</v>
      </c>
      <c r="I42" s="23">
        <v>1738.9336412903224</v>
      </c>
      <c r="J42" s="23">
        <v>134.18819129032258</v>
      </c>
      <c r="K42" s="23">
        <v>150</v>
      </c>
      <c r="L42" s="23">
        <v>2023.1218325806449</v>
      </c>
      <c r="M42" s="15">
        <v>15869</v>
      </c>
      <c r="N42" s="8">
        <v>1883.8447780645158</v>
      </c>
      <c r="O42" s="14">
        <f t="shared" si="1"/>
        <v>581.48216225806448</v>
      </c>
      <c r="P42" s="6"/>
    </row>
    <row r="43" spans="1:16" x14ac:dyDescent="0.25">
      <c r="A43" s="2" t="s">
        <v>107</v>
      </c>
      <c r="B43" s="6">
        <f t="shared" si="0"/>
        <v>42</v>
      </c>
      <c r="C43" s="7">
        <v>11293</v>
      </c>
      <c r="D43" s="22" t="s">
        <v>67</v>
      </c>
      <c r="E43" s="2" t="s">
        <v>20</v>
      </c>
      <c r="F43" s="6">
        <v>31</v>
      </c>
      <c r="G43" s="14">
        <f>VLOOKUP(C43,[3]ATTENDANCE!$A$8:$AR$107,44,0)</f>
        <v>31</v>
      </c>
      <c r="H43" s="23">
        <v>19808.733</v>
      </c>
      <c r="I43" s="23">
        <v>1800</v>
      </c>
      <c r="J43" s="23">
        <v>148.56549749999999</v>
      </c>
      <c r="K43" s="23">
        <v>150</v>
      </c>
      <c r="L43" s="23">
        <v>2098.5654974999998</v>
      </c>
      <c r="M43" s="15">
        <v>17710</v>
      </c>
      <c r="N43" s="8">
        <v>1950</v>
      </c>
      <c r="O43" s="14">
        <f t="shared" si="1"/>
        <v>643.78382250000004</v>
      </c>
      <c r="P43" s="6"/>
    </row>
    <row r="44" spans="1:16" x14ac:dyDescent="0.25">
      <c r="A44" s="2" t="s">
        <v>107</v>
      </c>
      <c r="B44" s="6">
        <f t="shared" si="0"/>
        <v>43</v>
      </c>
      <c r="C44" s="7">
        <v>11503</v>
      </c>
      <c r="D44" s="22" t="s">
        <v>68</v>
      </c>
      <c r="E44" s="2" t="s">
        <v>20</v>
      </c>
      <c r="F44" s="6">
        <v>31</v>
      </c>
      <c r="G44" s="14">
        <f>VLOOKUP(C44,[3]ATTENDANCE!$A$8:$AR$107,44,0)</f>
        <v>31</v>
      </c>
      <c r="H44" s="23">
        <v>22036.474935483871</v>
      </c>
      <c r="I44" s="23">
        <v>1800</v>
      </c>
      <c r="J44" s="23">
        <v>165.27356201612903</v>
      </c>
      <c r="K44" s="23">
        <v>200</v>
      </c>
      <c r="L44" s="23">
        <v>2165.2735620161293</v>
      </c>
      <c r="M44" s="15">
        <v>19871</v>
      </c>
      <c r="N44" s="8">
        <v>1950</v>
      </c>
      <c r="O44" s="14">
        <f t="shared" si="1"/>
        <v>716.18543540322582</v>
      </c>
      <c r="P44" s="6"/>
    </row>
    <row r="45" spans="1:16" x14ac:dyDescent="0.25">
      <c r="A45" s="2" t="s">
        <v>107</v>
      </c>
      <c r="B45" s="6">
        <f t="shared" si="0"/>
        <v>44</v>
      </c>
      <c r="C45" s="7">
        <v>10637</v>
      </c>
      <c r="D45" s="22" t="s">
        <v>69</v>
      </c>
      <c r="E45" s="2" t="s">
        <v>20</v>
      </c>
      <c r="F45" s="6">
        <v>31</v>
      </c>
      <c r="G45" s="14">
        <f>VLOOKUP(C45,[3]ATTENDANCE!$A$8:$AR$107,44,0)</f>
        <v>31</v>
      </c>
      <c r="H45" s="23">
        <v>19808.733</v>
      </c>
      <c r="I45" s="23">
        <v>1800</v>
      </c>
      <c r="J45" s="23">
        <v>148.56549749999999</v>
      </c>
      <c r="K45" s="23">
        <v>150</v>
      </c>
      <c r="L45" s="23">
        <v>2098.5654974999998</v>
      </c>
      <c r="M45" s="15">
        <v>17710</v>
      </c>
      <c r="N45" s="8">
        <v>1950</v>
      </c>
      <c r="O45" s="14">
        <f t="shared" si="1"/>
        <v>643.78382250000004</v>
      </c>
      <c r="P45" s="6"/>
    </row>
    <row r="46" spans="1:16" x14ac:dyDescent="0.25">
      <c r="A46" s="2" t="s">
        <v>107</v>
      </c>
      <c r="B46" s="6">
        <f t="shared" si="0"/>
        <v>45</v>
      </c>
      <c r="C46" s="7">
        <v>11747</v>
      </c>
      <c r="D46" s="22" t="s">
        <v>70</v>
      </c>
      <c r="E46" s="2" t="s">
        <v>20</v>
      </c>
      <c r="F46" s="6">
        <v>31</v>
      </c>
      <c r="G46" s="14">
        <f>VLOOKUP(C46,[3]ATTENDANCE!$A$8:$AR$107,44,0)</f>
        <v>15</v>
      </c>
      <c r="H46" s="23">
        <v>9584.8708064516122</v>
      </c>
      <c r="I46" s="23">
        <v>931.571593548387</v>
      </c>
      <c r="J46" s="23">
        <v>71.886531048387084</v>
      </c>
      <c r="K46" s="23">
        <v>0</v>
      </c>
      <c r="L46" s="23">
        <v>1003.458124596774</v>
      </c>
      <c r="M46" s="15">
        <v>8581</v>
      </c>
      <c r="N46" s="8">
        <v>1009.2025596774192</v>
      </c>
      <c r="O46" s="14">
        <f t="shared" si="1"/>
        <v>311.50830120967743</v>
      </c>
      <c r="P46" s="6"/>
    </row>
    <row r="47" spans="1:16" x14ac:dyDescent="0.25">
      <c r="A47" s="2" t="s">
        <v>107</v>
      </c>
      <c r="B47" s="6">
        <f t="shared" si="0"/>
        <v>46</v>
      </c>
      <c r="C47" s="7">
        <v>11803</v>
      </c>
      <c r="D47" s="22" t="s">
        <v>71</v>
      </c>
      <c r="E47" s="2" t="s">
        <v>20</v>
      </c>
      <c r="F47" s="6">
        <v>31</v>
      </c>
      <c r="G47" s="14">
        <f>VLOOKUP(C47,[3]ATTENDANCE!$A$8:$AR$107,44,0)</f>
        <v>18</v>
      </c>
      <c r="H47" s="23">
        <v>11501.844967741934</v>
      </c>
      <c r="I47" s="23">
        <v>1117.8859122580643</v>
      </c>
      <c r="J47" s="23">
        <v>86.263837258064498</v>
      </c>
      <c r="K47" s="23">
        <v>0</v>
      </c>
      <c r="L47" s="23">
        <v>1204.1497495161288</v>
      </c>
      <c r="M47" s="15">
        <v>10298</v>
      </c>
      <c r="N47" s="8">
        <v>1211.0430716129031</v>
      </c>
      <c r="O47" s="14">
        <f t="shared" si="1"/>
        <v>373.80996145161288</v>
      </c>
      <c r="P47" s="6"/>
    </row>
    <row r="48" spans="1:16" x14ac:dyDescent="0.25">
      <c r="A48" s="2" t="s">
        <v>107</v>
      </c>
      <c r="B48" s="6">
        <f t="shared" si="0"/>
        <v>47</v>
      </c>
      <c r="C48" s="7">
        <v>12060</v>
      </c>
      <c r="D48" s="22" t="s">
        <v>72</v>
      </c>
      <c r="E48" s="2" t="s">
        <v>20</v>
      </c>
      <c r="F48" s="6">
        <v>31</v>
      </c>
      <c r="G48" s="14">
        <f>VLOOKUP(C48,[3]ATTENDANCE!$A$8:$AR$107,44,0)</f>
        <v>28</v>
      </c>
      <c r="H48" s="23">
        <v>17891.758838709677</v>
      </c>
      <c r="I48" s="23">
        <v>1738.9336412903224</v>
      </c>
      <c r="J48" s="23">
        <v>134.18819129032258</v>
      </c>
      <c r="K48" s="23">
        <v>150</v>
      </c>
      <c r="L48" s="23">
        <v>2023.1218325806449</v>
      </c>
      <c r="M48" s="15">
        <v>15869</v>
      </c>
      <c r="N48" s="8">
        <v>1883.8447780645158</v>
      </c>
      <c r="O48" s="14">
        <f t="shared" si="1"/>
        <v>581.48216225806448</v>
      </c>
      <c r="P48" s="6"/>
    </row>
    <row r="49" spans="1:16" x14ac:dyDescent="0.25">
      <c r="A49" s="2" t="s">
        <v>107</v>
      </c>
      <c r="B49" s="6">
        <f t="shared" si="0"/>
        <v>48</v>
      </c>
      <c r="C49" s="7">
        <v>11825</v>
      </c>
      <c r="D49" s="22" t="s">
        <v>73</v>
      </c>
      <c r="E49" s="2" t="s">
        <v>20</v>
      </c>
      <c r="F49" s="6">
        <v>31</v>
      </c>
      <c r="G49" s="14">
        <f>VLOOKUP(C49,[3]ATTENDANCE!$A$8:$AR$107,44,0)</f>
        <v>31</v>
      </c>
      <c r="H49" s="23">
        <v>19808.733</v>
      </c>
      <c r="I49" s="23">
        <v>1800</v>
      </c>
      <c r="J49" s="23">
        <v>148.56549749999999</v>
      </c>
      <c r="K49" s="23">
        <v>150</v>
      </c>
      <c r="L49" s="23">
        <v>2098.5654974999998</v>
      </c>
      <c r="M49" s="15">
        <v>17710</v>
      </c>
      <c r="N49" s="8">
        <v>1950</v>
      </c>
      <c r="O49" s="14">
        <f t="shared" si="1"/>
        <v>643.78382250000004</v>
      </c>
      <c r="P49" s="6"/>
    </row>
    <row r="50" spans="1:16" x14ac:dyDescent="0.25">
      <c r="A50" s="2" t="s">
        <v>107</v>
      </c>
      <c r="B50" s="6">
        <f t="shared" si="0"/>
        <v>49</v>
      </c>
      <c r="C50" s="7">
        <v>12037</v>
      </c>
      <c r="D50" s="22" t="s">
        <v>74</v>
      </c>
      <c r="E50" s="2" t="s">
        <v>20</v>
      </c>
      <c r="F50" s="6">
        <v>31</v>
      </c>
      <c r="G50" s="14">
        <f>VLOOKUP(C50,[3]ATTENDANCE!$A$8:$AR$107,44,0)</f>
        <v>31</v>
      </c>
      <c r="H50" s="23">
        <v>20713.753161290322</v>
      </c>
      <c r="I50" s="23">
        <v>1800</v>
      </c>
      <c r="J50" s="23">
        <v>155.35314870967741</v>
      </c>
      <c r="K50" s="23">
        <v>200</v>
      </c>
      <c r="L50" s="23">
        <v>2155.3531487096775</v>
      </c>
      <c r="M50" s="15">
        <v>18558</v>
      </c>
      <c r="N50" s="8">
        <v>1950</v>
      </c>
      <c r="O50" s="14">
        <f t="shared" si="1"/>
        <v>673.19697774193548</v>
      </c>
      <c r="P50" s="6"/>
    </row>
    <row r="51" spans="1:16" x14ac:dyDescent="0.25">
      <c r="A51" s="2" t="s">
        <v>107</v>
      </c>
      <c r="B51" s="6">
        <f t="shared" si="0"/>
        <v>50</v>
      </c>
      <c r="C51" s="7">
        <v>12011</v>
      </c>
      <c r="D51" s="22" t="s">
        <v>75</v>
      </c>
      <c r="E51" s="2" t="s">
        <v>20</v>
      </c>
      <c r="F51" s="6">
        <v>31</v>
      </c>
      <c r="G51" s="14">
        <f>VLOOKUP(C51,[3]ATTENDANCE!$A$8:$AR$107,44,0)</f>
        <v>31</v>
      </c>
      <c r="H51" s="23">
        <v>20156.817677419356</v>
      </c>
      <c r="I51" s="23">
        <v>1800</v>
      </c>
      <c r="J51" s="23">
        <v>151.17613258064517</v>
      </c>
      <c r="K51" s="23">
        <v>200</v>
      </c>
      <c r="L51" s="23">
        <v>2151.1761325806451</v>
      </c>
      <c r="M51" s="15">
        <v>18006</v>
      </c>
      <c r="N51" s="8">
        <v>1950</v>
      </c>
      <c r="O51" s="14">
        <f t="shared" si="1"/>
        <v>655.09657451612907</v>
      </c>
      <c r="P51" s="6"/>
    </row>
    <row r="52" spans="1:16" x14ac:dyDescent="0.25">
      <c r="A52" s="2" t="s">
        <v>107</v>
      </c>
      <c r="B52" s="6">
        <f t="shared" si="0"/>
        <v>51</v>
      </c>
      <c r="C52" s="7">
        <v>11925</v>
      </c>
      <c r="D52" s="22" t="s">
        <v>76</v>
      </c>
      <c r="E52" s="2" t="s">
        <v>20</v>
      </c>
      <c r="F52" s="6">
        <v>31</v>
      </c>
      <c r="G52" s="14">
        <f>VLOOKUP(C52,[3]ATTENDANCE!$A$8:$AR$107,44,0)</f>
        <v>31</v>
      </c>
      <c r="H52" s="23">
        <v>19808.733</v>
      </c>
      <c r="I52" s="23">
        <v>1800</v>
      </c>
      <c r="J52" s="23">
        <v>148.56549749999999</v>
      </c>
      <c r="K52" s="23">
        <v>150</v>
      </c>
      <c r="L52" s="23">
        <v>2098.5654974999998</v>
      </c>
      <c r="M52" s="15">
        <v>17710</v>
      </c>
      <c r="N52" s="8">
        <v>1950</v>
      </c>
      <c r="O52" s="14">
        <f t="shared" si="1"/>
        <v>643.78382250000004</v>
      </c>
      <c r="P52" s="6"/>
    </row>
    <row r="53" spans="1:16" x14ac:dyDescent="0.25">
      <c r="A53" s="2" t="s">
        <v>107</v>
      </c>
      <c r="B53" s="6">
        <f t="shared" si="0"/>
        <v>52</v>
      </c>
      <c r="C53" s="7">
        <v>11839</v>
      </c>
      <c r="D53" s="22" t="s">
        <v>77</v>
      </c>
      <c r="E53" s="2" t="s">
        <v>20</v>
      </c>
      <c r="F53" s="6">
        <v>31</v>
      </c>
      <c r="G53" s="14">
        <f>VLOOKUP(C53,[3]ATTENDANCE!$A$8:$AR$107,44,0)</f>
        <v>6</v>
      </c>
      <c r="H53" s="23">
        <v>3833.9483225806453</v>
      </c>
      <c r="I53" s="23">
        <v>372.62863741935479</v>
      </c>
      <c r="J53" s="23">
        <v>28.754612419354839</v>
      </c>
      <c r="K53" s="23">
        <v>0</v>
      </c>
      <c r="L53" s="23">
        <v>401.38324983870962</v>
      </c>
      <c r="M53" s="15">
        <v>3433</v>
      </c>
      <c r="N53" s="8">
        <v>403.68102387096769</v>
      </c>
      <c r="O53" s="14">
        <f t="shared" si="1"/>
        <v>124.60332048387097</v>
      </c>
      <c r="P53" s="6"/>
    </row>
    <row r="54" spans="1:16" x14ac:dyDescent="0.25">
      <c r="A54" s="2" t="s">
        <v>107</v>
      </c>
      <c r="B54" s="6">
        <f t="shared" si="0"/>
        <v>53</v>
      </c>
      <c r="C54" s="7">
        <v>11717</v>
      </c>
      <c r="D54" s="22" t="s">
        <v>78</v>
      </c>
      <c r="E54" s="2" t="s">
        <v>20</v>
      </c>
      <c r="F54" s="6">
        <v>31</v>
      </c>
      <c r="G54" s="14">
        <f>VLOOKUP(C54,[3]ATTENDANCE!$A$8:$AR$107,44,0)</f>
        <v>31</v>
      </c>
      <c r="H54" s="23">
        <v>19808.733</v>
      </c>
      <c r="I54" s="23">
        <v>1800</v>
      </c>
      <c r="J54" s="23">
        <v>148.56549749999999</v>
      </c>
      <c r="K54" s="23">
        <v>150</v>
      </c>
      <c r="L54" s="23">
        <v>2098.5654974999998</v>
      </c>
      <c r="M54" s="15">
        <v>17710</v>
      </c>
      <c r="N54" s="8">
        <v>1950</v>
      </c>
      <c r="O54" s="14">
        <f t="shared" si="1"/>
        <v>643.78382250000004</v>
      </c>
      <c r="P54" s="6"/>
    </row>
    <row r="55" spans="1:16" x14ac:dyDescent="0.25">
      <c r="A55" s="2" t="s">
        <v>107</v>
      </c>
      <c r="B55" s="6">
        <f t="shared" si="0"/>
        <v>54</v>
      </c>
      <c r="C55" s="7">
        <v>11941</v>
      </c>
      <c r="D55" s="22" t="s">
        <v>79</v>
      </c>
      <c r="E55" s="2" t="s">
        <v>20</v>
      </c>
      <c r="F55" s="6">
        <v>31</v>
      </c>
      <c r="G55" s="14">
        <f>VLOOKUP(C55,[3]ATTENDANCE!$A$8:$AR$107,44,0)</f>
        <v>30</v>
      </c>
      <c r="H55" s="23">
        <v>21954.419032258062</v>
      </c>
      <c r="I55" s="23">
        <v>1800</v>
      </c>
      <c r="J55" s="23">
        <v>164.65814274193545</v>
      </c>
      <c r="K55" s="23">
        <v>200</v>
      </c>
      <c r="L55" s="23">
        <v>2164.6581427419355</v>
      </c>
      <c r="M55" s="15">
        <v>19790</v>
      </c>
      <c r="N55" s="8">
        <v>1950</v>
      </c>
      <c r="O55" s="14">
        <f t="shared" si="1"/>
        <v>713.51861854838705</v>
      </c>
      <c r="P55" s="6"/>
    </row>
    <row r="56" spans="1:16" x14ac:dyDescent="0.25">
      <c r="A56" s="2" t="s">
        <v>107</v>
      </c>
      <c r="B56" s="6">
        <f t="shared" si="0"/>
        <v>55</v>
      </c>
      <c r="C56" s="7">
        <v>11718</v>
      </c>
      <c r="D56" s="22" t="s">
        <v>80</v>
      </c>
      <c r="E56" s="2" t="s">
        <v>20</v>
      </c>
      <c r="F56" s="6">
        <v>31</v>
      </c>
      <c r="G56" s="14">
        <f>VLOOKUP(C56,[3]ATTENDANCE!$A$8:$AR$107,44,0)</f>
        <v>30</v>
      </c>
      <c r="H56" s="23">
        <v>19169.741612903224</v>
      </c>
      <c r="I56" s="23">
        <v>1800</v>
      </c>
      <c r="J56" s="23">
        <v>143.77306209677417</v>
      </c>
      <c r="K56" s="23">
        <v>150</v>
      </c>
      <c r="L56" s="23">
        <v>2093.7730620967741</v>
      </c>
      <c r="M56" s="15">
        <v>17076</v>
      </c>
      <c r="N56" s="8">
        <v>1950</v>
      </c>
      <c r="O56" s="14">
        <f t="shared" si="1"/>
        <v>623.01660241935485</v>
      </c>
      <c r="P56" s="6"/>
    </row>
    <row r="57" spans="1:16" x14ac:dyDescent="0.25">
      <c r="A57" s="2" t="s">
        <v>107</v>
      </c>
      <c r="B57" s="6">
        <f t="shared" si="0"/>
        <v>56</v>
      </c>
      <c r="C57" s="7">
        <v>12088</v>
      </c>
      <c r="D57" s="22" t="s">
        <v>81</v>
      </c>
      <c r="E57" s="2" t="s">
        <v>20</v>
      </c>
      <c r="F57" s="6">
        <v>31</v>
      </c>
      <c r="G57" s="14">
        <f>VLOOKUP(C57,[3]ATTENDANCE!$A$8:$AR$107,44,0)</f>
        <v>25</v>
      </c>
      <c r="H57" s="23">
        <v>15974.784677419357</v>
      </c>
      <c r="I57" s="23">
        <v>1552.6193225806451</v>
      </c>
      <c r="J57" s="23">
        <v>119.81088508064516</v>
      </c>
      <c r="K57" s="23">
        <v>150</v>
      </c>
      <c r="L57" s="23">
        <v>1822.4302076612903</v>
      </c>
      <c r="M57" s="15">
        <v>14152</v>
      </c>
      <c r="N57" s="8">
        <v>1682.004266129032</v>
      </c>
      <c r="O57" s="14">
        <f t="shared" si="1"/>
        <v>519.18050201612914</v>
      </c>
      <c r="P57" s="6"/>
    </row>
    <row r="58" spans="1:16" x14ac:dyDescent="0.25">
      <c r="A58" s="2" t="s">
        <v>107</v>
      </c>
      <c r="B58" s="6">
        <f t="shared" si="0"/>
        <v>57</v>
      </c>
      <c r="C58" s="7" t="s">
        <v>82</v>
      </c>
      <c r="D58" s="22" t="s">
        <v>83</v>
      </c>
      <c r="E58" s="2" t="s">
        <v>20</v>
      </c>
      <c r="F58" s="6">
        <v>31</v>
      </c>
      <c r="G58" s="14">
        <f>VLOOKUP(C58,[3]ATTENDANCE!$A$8:$AR$107,44,0)</f>
        <v>1</v>
      </c>
      <c r="H58" s="23">
        <v>638.99138709677425</v>
      </c>
      <c r="I58" s="23">
        <v>62.104772903225808</v>
      </c>
      <c r="J58" s="23">
        <v>4.7924354032258067</v>
      </c>
      <c r="K58" s="23">
        <v>0</v>
      </c>
      <c r="L58" s="23">
        <v>66.897208306451617</v>
      </c>
      <c r="M58" s="15">
        <v>572</v>
      </c>
      <c r="N58" s="8">
        <v>67.280170645161292</v>
      </c>
      <c r="O58" s="14">
        <f t="shared" si="1"/>
        <v>20.767220080645163</v>
      </c>
      <c r="P58" s="6"/>
    </row>
    <row r="59" spans="1:16" x14ac:dyDescent="0.25">
      <c r="A59" s="2" t="s">
        <v>107</v>
      </c>
      <c r="B59" s="6">
        <f t="shared" si="0"/>
        <v>58</v>
      </c>
      <c r="C59" s="7" t="s">
        <v>84</v>
      </c>
      <c r="D59" s="22" t="s">
        <v>85</v>
      </c>
      <c r="E59" s="2" t="s">
        <v>20</v>
      </c>
      <c r="F59" s="6">
        <v>31</v>
      </c>
      <c r="G59" s="14">
        <f>VLOOKUP(C59,[3]ATTENDANCE!$A$8:$AR$107,44,0)</f>
        <v>1</v>
      </c>
      <c r="H59" s="23">
        <v>638.99138709677425</v>
      </c>
      <c r="I59" s="23">
        <v>62.104772903225808</v>
      </c>
      <c r="J59" s="23">
        <v>4.7924354032258067</v>
      </c>
      <c r="K59" s="23">
        <v>0</v>
      </c>
      <c r="L59" s="23">
        <v>66.897208306451617</v>
      </c>
      <c r="M59" s="15">
        <v>572</v>
      </c>
      <c r="N59" s="8">
        <v>67.280170645161292</v>
      </c>
      <c r="O59" s="14">
        <f t="shared" si="1"/>
        <v>20.767220080645163</v>
      </c>
      <c r="P59" s="6"/>
    </row>
    <row r="60" spans="1:16" x14ac:dyDescent="0.25">
      <c r="A60" s="2" t="s">
        <v>107</v>
      </c>
      <c r="B60" s="6">
        <f t="shared" si="0"/>
        <v>59</v>
      </c>
      <c r="C60" s="7" t="s">
        <v>86</v>
      </c>
      <c r="D60" s="22" t="s">
        <v>87</v>
      </c>
      <c r="E60" s="2" t="s">
        <v>20</v>
      </c>
      <c r="F60" s="6">
        <v>31</v>
      </c>
      <c r="G60" s="14">
        <f>VLOOKUP(C60,[3]ATTENDANCE!$A$8:$AR$107,44,0)</f>
        <v>1</v>
      </c>
      <c r="H60" s="23">
        <v>638.99138709677425</v>
      </c>
      <c r="I60" s="23">
        <v>62.104772903225808</v>
      </c>
      <c r="J60" s="23">
        <v>4.7924354032258067</v>
      </c>
      <c r="K60" s="23">
        <v>0</v>
      </c>
      <c r="L60" s="23">
        <v>66.897208306451617</v>
      </c>
      <c r="M60" s="15">
        <v>572</v>
      </c>
      <c r="N60" s="8">
        <v>67.280170645161292</v>
      </c>
      <c r="O60" s="14">
        <f t="shared" si="1"/>
        <v>20.767220080645163</v>
      </c>
      <c r="P60" s="6"/>
    </row>
    <row r="61" spans="1:16" x14ac:dyDescent="0.25">
      <c r="A61" s="2" t="s">
        <v>107</v>
      </c>
      <c r="B61" s="6">
        <f t="shared" si="0"/>
        <v>60</v>
      </c>
      <c r="C61" s="7">
        <v>11769</v>
      </c>
      <c r="D61" s="22" t="s">
        <v>88</v>
      </c>
      <c r="E61" s="2" t="s">
        <v>20</v>
      </c>
      <c r="F61" s="6">
        <v>31</v>
      </c>
      <c r="G61" s="14">
        <f>VLOOKUP(C61,[3]ATTENDANCE!$A$8:$AR$107,44,0)</f>
        <v>23</v>
      </c>
      <c r="H61" s="23">
        <v>15392.971258064515</v>
      </c>
      <c r="I61" s="23">
        <v>1511.9500993548386</v>
      </c>
      <c r="J61" s="23">
        <v>115.44728443548387</v>
      </c>
      <c r="K61" s="23">
        <v>150</v>
      </c>
      <c r="L61" s="23">
        <v>1777.3973837903225</v>
      </c>
      <c r="M61" s="15">
        <v>13616</v>
      </c>
      <c r="N61" s="8">
        <v>1637.9459409677418</v>
      </c>
      <c r="O61" s="14">
        <f t="shared" si="1"/>
        <v>500.27156588709676</v>
      </c>
      <c r="P61" s="6"/>
    </row>
    <row r="62" spans="1:16" x14ac:dyDescent="0.25">
      <c r="A62" s="2" t="s">
        <v>107</v>
      </c>
      <c r="B62" s="6">
        <f t="shared" si="0"/>
        <v>61</v>
      </c>
      <c r="C62" s="7" t="s">
        <v>89</v>
      </c>
      <c r="D62" s="22" t="s">
        <v>90</v>
      </c>
      <c r="E62" s="2" t="s">
        <v>20</v>
      </c>
      <c r="F62" s="6">
        <v>31</v>
      </c>
      <c r="G62" s="14">
        <f>VLOOKUP(C62,[3]ATTENDANCE!$A$8:$AR$107,44,0)</f>
        <v>21</v>
      </c>
      <c r="H62" s="23">
        <v>13418.819129032259</v>
      </c>
      <c r="I62" s="23">
        <v>1304.2002309677421</v>
      </c>
      <c r="J62" s="23">
        <v>100.64114346774194</v>
      </c>
      <c r="K62" s="23">
        <v>0</v>
      </c>
      <c r="L62" s="23">
        <v>1404.8413744354841</v>
      </c>
      <c r="M62" s="15">
        <v>12014</v>
      </c>
      <c r="N62" s="8">
        <v>1412.8835835483872</v>
      </c>
      <c r="O62" s="14">
        <f t="shared" si="1"/>
        <v>436.11162169354844</v>
      </c>
      <c r="P62" s="6"/>
    </row>
    <row r="63" spans="1:16" x14ac:dyDescent="0.25">
      <c r="A63" s="2" t="s">
        <v>107</v>
      </c>
      <c r="B63" s="6">
        <f t="shared" si="0"/>
        <v>62</v>
      </c>
      <c r="C63" s="7" t="s">
        <v>91</v>
      </c>
      <c r="D63" s="22" t="s">
        <v>92</v>
      </c>
      <c r="E63" s="2" t="s">
        <v>20</v>
      </c>
      <c r="F63" s="6">
        <v>31</v>
      </c>
      <c r="G63" s="14">
        <f>VLOOKUP(C63,[3]ATTENDANCE!$A$8:$AR$107,44,0)</f>
        <v>1</v>
      </c>
      <c r="H63" s="23">
        <v>638.99138709677425</v>
      </c>
      <c r="I63" s="23">
        <v>62.104772903225808</v>
      </c>
      <c r="J63" s="23">
        <v>4.7924354032258067</v>
      </c>
      <c r="K63" s="23">
        <v>0</v>
      </c>
      <c r="L63" s="23">
        <v>66.897208306451617</v>
      </c>
      <c r="M63" s="15">
        <v>572</v>
      </c>
      <c r="N63" s="8">
        <v>67.280170645161292</v>
      </c>
      <c r="O63" s="14">
        <f t="shared" si="1"/>
        <v>20.767220080645163</v>
      </c>
      <c r="P63" s="6"/>
    </row>
    <row r="64" spans="1:16" x14ac:dyDescent="0.25">
      <c r="A64" s="2" t="s">
        <v>107</v>
      </c>
      <c r="B64" s="6">
        <f t="shared" si="0"/>
        <v>63</v>
      </c>
      <c r="C64" s="7" t="s">
        <v>93</v>
      </c>
      <c r="D64" s="22" t="s">
        <v>94</v>
      </c>
      <c r="E64" s="2" t="s">
        <v>20</v>
      </c>
      <c r="F64" s="6">
        <v>31</v>
      </c>
      <c r="G64" s="14">
        <f>VLOOKUP(C64,[3]ATTENDANCE!$A$8:$AR$107,44,0)</f>
        <v>2</v>
      </c>
      <c r="H64" s="23">
        <v>1277.9827741935485</v>
      </c>
      <c r="I64" s="23">
        <v>124.20954580645162</v>
      </c>
      <c r="J64" s="23">
        <v>9.5848708064516135</v>
      </c>
      <c r="K64" s="23">
        <v>0</v>
      </c>
      <c r="L64" s="23">
        <v>133.79441661290323</v>
      </c>
      <c r="M64" s="15">
        <v>1144</v>
      </c>
      <c r="N64" s="8">
        <v>134.56034129032258</v>
      </c>
      <c r="O64" s="14">
        <f t="shared" si="1"/>
        <v>41.534440161290327</v>
      </c>
      <c r="P64" s="6"/>
    </row>
    <row r="65" spans="1:16" x14ac:dyDescent="0.25">
      <c r="A65" s="2" t="s">
        <v>107</v>
      </c>
      <c r="B65" s="6">
        <f t="shared" si="0"/>
        <v>64</v>
      </c>
      <c r="C65" s="7" t="s">
        <v>95</v>
      </c>
      <c r="D65" s="22" t="s">
        <v>96</v>
      </c>
      <c r="E65" s="2" t="s">
        <v>20</v>
      </c>
      <c r="F65" s="6">
        <v>31</v>
      </c>
      <c r="G65" s="14">
        <f>VLOOKUP(C65,[3]ATTENDANCE!$A$8:$AR$107,44,0)</f>
        <v>1</v>
      </c>
      <c r="H65" s="23">
        <v>638.99138709677425</v>
      </c>
      <c r="I65" s="23">
        <v>62.104772903225808</v>
      </c>
      <c r="J65" s="23">
        <v>4.7924354032258067</v>
      </c>
      <c r="K65" s="23">
        <v>0</v>
      </c>
      <c r="L65" s="23">
        <v>66.897208306451617</v>
      </c>
      <c r="M65" s="15">
        <v>572</v>
      </c>
      <c r="N65" s="8">
        <v>67.280170645161292</v>
      </c>
      <c r="O65" s="14">
        <f t="shared" si="1"/>
        <v>20.767220080645163</v>
      </c>
      <c r="P65" s="6"/>
    </row>
    <row r="66" spans="1:16" x14ac:dyDescent="0.25">
      <c r="A66" s="2" t="s">
        <v>107</v>
      </c>
      <c r="B66" s="6">
        <f t="shared" si="0"/>
        <v>65</v>
      </c>
      <c r="C66" s="7">
        <v>12126</v>
      </c>
      <c r="D66" s="22" t="s">
        <v>97</v>
      </c>
      <c r="E66" s="2" t="s">
        <v>20</v>
      </c>
      <c r="F66" s="6">
        <v>31</v>
      </c>
      <c r="G66" s="14">
        <f>VLOOKUP(C66,[3]ATTENDANCE!$A$8:$AR$107,44,0)</f>
        <v>8</v>
      </c>
      <c r="H66" s="23">
        <v>5111.931096774194</v>
      </c>
      <c r="I66" s="23">
        <v>496.83818322580646</v>
      </c>
      <c r="J66" s="23">
        <v>38.339483225806454</v>
      </c>
      <c r="K66" s="23">
        <v>0</v>
      </c>
      <c r="L66" s="23">
        <v>535.17766645161294</v>
      </c>
      <c r="M66" s="15">
        <v>4577</v>
      </c>
      <c r="N66" s="8">
        <v>538.24136516129033</v>
      </c>
      <c r="O66" s="14">
        <f t="shared" si="1"/>
        <v>166.13776064516131</v>
      </c>
      <c r="P66" s="6"/>
    </row>
    <row r="67" spans="1:16" x14ac:dyDescent="0.25">
      <c r="A67" s="2" t="s">
        <v>107</v>
      </c>
      <c r="B67" s="6">
        <f t="shared" ref="B67:B130" si="2">B66+1</f>
        <v>66</v>
      </c>
      <c r="C67" s="7" t="s">
        <v>98</v>
      </c>
      <c r="D67" s="22" t="s">
        <v>99</v>
      </c>
      <c r="E67" s="2" t="s">
        <v>20</v>
      </c>
      <c r="F67" s="6">
        <v>31</v>
      </c>
      <c r="G67" s="14">
        <f>VLOOKUP(C67,[3]ATTENDANCE!$A$8:$AR$107,44,0)</f>
        <v>7</v>
      </c>
      <c r="H67" s="23">
        <v>4472.9397096774192</v>
      </c>
      <c r="I67" s="23">
        <v>434.7334103225806</v>
      </c>
      <c r="J67" s="23">
        <v>33.547047822580645</v>
      </c>
      <c r="K67" s="23">
        <v>0</v>
      </c>
      <c r="L67" s="23">
        <v>468.28045814516122</v>
      </c>
      <c r="M67" s="15">
        <v>4005</v>
      </c>
      <c r="N67" s="8">
        <v>470.96119451612896</v>
      </c>
      <c r="O67" s="14">
        <f t="shared" si="1"/>
        <v>145.37054056451612</v>
      </c>
      <c r="P67" s="6"/>
    </row>
    <row r="68" spans="1:16" x14ac:dyDescent="0.25">
      <c r="A68" s="2" t="s">
        <v>107</v>
      </c>
      <c r="B68" s="6">
        <f t="shared" si="2"/>
        <v>67</v>
      </c>
      <c r="C68" s="7" t="s">
        <v>100</v>
      </c>
      <c r="D68" s="22" t="s">
        <v>101</v>
      </c>
      <c r="E68" s="2" t="s">
        <v>20</v>
      </c>
      <c r="F68" s="6">
        <v>31</v>
      </c>
      <c r="G68" s="14">
        <f>VLOOKUP(C68,[3]ATTENDANCE!$A$8:$AR$107,44,0)</f>
        <v>0</v>
      </c>
      <c r="H68" s="23">
        <v>417.70161290322574</v>
      </c>
      <c r="I68" s="23">
        <v>50.124193548387083</v>
      </c>
      <c r="J68" s="23">
        <v>3.1327620967741927</v>
      </c>
      <c r="K68" s="23">
        <v>0</v>
      </c>
      <c r="L68" s="23">
        <v>53.256955645161277</v>
      </c>
      <c r="M68" s="15">
        <v>364</v>
      </c>
      <c r="N68" s="8">
        <v>54.301209677419337</v>
      </c>
      <c r="O68" s="14">
        <f t="shared" si="1"/>
        <v>13.575302419354838</v>
      </c>
      <c r="P68" s="6"/>
    </row>
    <row r="69" spans="1:16" x14ac:dyDescent="0.25">
      <c r="A69" s="2" t="s">
        <v>107</v>
      </c>
      <c r="B69" s="6">
        <f t="shared" si="2"/>
        <v>68</v>
      </c>
      <c r="C69" s="7" t="s">
        <v>102</v>
      </c>
      <c r="D69" s="22" t="s">
        <v>103</v>
      </c>
      <c r="E69" s="2" t="s">
        <v>20</v>
      </c>
      <c r="F69" s="6">
        <v>31</v>
      </c>
      <c r="G69" s="14">
        <f>VLOOKUP(C69,[3]ATTENDANCE!$A$8:$AR$107,44,0)</f>
        <v>2</v>
      </c>
      <c r="H69" s="23">
        <v>1277.9827741935485</v>
      </c>
      <c r="I69" s="23">
        <v>124.20954580645162</v>
      </c>
      <c r="J69" s="23">
        <v>9.5848708064516135</v>
      </c>
      <c r="K69" s="23">
        <v>0</v>
      </c>
      <c r="L69" s="23">
        <v>133.79441661290323</v>
      </c>
      <c r="M69" s="15">
        <v>1144</v>
      </c>
      <c r="N69" s="8">
        <v>134.56034129032258</v>
      </c>
      <c r="O69" s="14">
        <f t="shared" si="1"/>
        <v>41.534440161290327</v>
      </c>
      <c r="P69" s="6"/>
    </row>
    <row r="70" spans="1:16" x14ac:dyDescent="0.25">
      <c r="A70" s="2" t="s">
        <v>107</v>
      </c>
      <c r="B70" s="6">
        <f t="shared" si="2"/>
        <v>69</v>
      </c>
      <c r="C70" s="7">
        <v>12059</v>
      </c>
      <c r="D70" s="22" t="s">
        <v>104</v>
      </c>
      <c r="E70" s="2" t="s">
        <v>20</v>
      </c>
      <c r="F70" s="6">
        <v>31</v>
      </c>
      <c r="G70" s="14">
        <f>VLOOKUP(C70,[3]ATTENDANCE!$A$8:$AR$107,44,0)</f>
        <v>31</v>
      </c>
      <c r="H70" s="23">
        <v>20087.200741935485</v>
      </c>
      <c r="I70" s="23">
        <v>1800</v>
      </c>
      <c r="J70" s="23">
        <v>150.65400556451613</v>
      </c>
      <c r="K70" s="23">
        <v>200</v>
      </c>
      <c r="L70" s="23">
        <v>2150.6540055645164</v>
      </c>
      <c r="M70" s="15">
        <v>17937</v>
      </c>
      <c r="N70" s="8">
        <v>1950</v>
      </c>
      <c r="O70" s="14">
        <f t="shared" si="1"/>
        <v>652.83402411290331</v>
      </c>
      <c r="P70" s="6"/>
    </row>
    <row r="71" spans="1:16" x14ac:dyDescent="0.25">
      <c r="A71" s="2" t="s">
        <v>107</v>
      </c>
      <c r="B71" s="6">
        <f t="shared" si="2"/>
        <v>70</v>
      </c>
      <c r="C71" s="7">
        <v>11697</v>
      </c>
      <c r="D71" s="22" t="s">
        <v>105</v>
      </c>
      <c r="E71" s="2" t="s">
        <v>20</v>
      </c>
      <c r="F71" s="6">
        <v>31</v>
      </c>
      <c r="G71" s="14">
        <f>VLOOKUP(C71,[3]ATTENDANCE!$A$8:$AR$107,44,0)</f>
        <v>30</v>
      </c>
      <c r="H71" s="23">
        <v>19169.741612903224</v>
      </c>
      <c r="I71" s="23">
        <v>1800</v>
      </c>
      <c r="J71" s="23">
        <v>143.77306209677417</v>
      </c>
      <c r="K71" s="23">
        <v>150</v>
      </c>
      <c r="L71" s="23">
        <v>2093.7730620967741</v>
      </c>
      <c r="M71" s="15">
        <v>17076</v>
      </c>
      <c r="N71" s="8">
        <v>1950</v>
      </c>
      <c r="O71" s="14">
        <f t="shared" si="1"/>
        <v>623.01660241935485</v>
      </c>
      <c r="P71" s="6"/>
    </row>
    <row r="72" spans="1:16" x14ac:dyDescent="0.25">
      <c r="A72" s="2" t="s">
        <v>107</v>
      </c>
      <c r="B72" s="6">
        <f t="shared" si="2"/>
        <v>71</v>
      </c>
      <c r="C72" s="7">
        <v>11404</v>
      </c>
      <c r="D72" s="22" t="s">
        <v>106</v>
      </c>
      <c r="E72" s="2" t="s">
        <v>20</v>
      </c>
      <c r="F72" s="6">
        <v>31</v>
      </c>
      <c r="G72" s="14">
        <f>VLOOKUP(C72,[3]ATTENDANCE!$A$8:$AR$107,44,0)</f>
        <v>31</v>
      </c>
      <c r="H72" s="23">
        <v>19808.733</v>
      </c>
      <c r="I72" s="23">
        <v>1800</v>
      </c>
      <c r="J72" s="23">
        <v>148.56549749999999</v>
      </c>
      <c r="K72" s="23">
        <v>150</v>
      </c>
      <c r="L72" s="23">
        <v>2098.5654974999998</v>
      </c>
      <c r="M72" s="15">
        <v>17710</v>
      </c>
      <c r="N72" s="8">
        <v>1950</v>
      </c>
      <c r="O72" s="14">
        <f t="shared" si="1"/>
        <v>643.78382250000004</v>
      </c>
      <c r="P72" s="6"/>
    </row>
    <row r="73" spans="1:16" x14ac:dyDescent="0.25">
      <c r="A73" s="2" t="s">
        <v>125</v>
      </c>
      <c r="B73" s="6">
        <f t="shared" si="2"/>
        <v>72</v>
      </c>
      <c r="C73" s="16">
        <v>11525</v>
      </c>
      <c r="D73" s="6" t="s">
        <v>108</v>
      </c>
      <c r="E73" s="6" t="s">
        <v>109</v>
      </c>
      <c r="F73" s="2">
        <v>30</v>
      </c>
      <c r="G73" s="2">
        <f>VLOOKUP(C73,[4]ATTANDANCE!$B$7:$AP$34,40,0)</f>
        <v>30</v>
      </c>
      <c r="H73" s="24">
        <v>26724.712</v>
      </c>
      <c r="I73" s="25">
        <v>1800</v>
      </c>
      <c r="J73" s="14">
        <v>0</v>
      </c>
      <c r="K73" s="14">
        <v>200</v>
      </c>
      <c r="L73" s="14">
        <v>2000</v>
      </c>
      <c r="M73" s="15">
        <v>24724.712</v>
      </c>
      <c r="N73" s="8">
        <v>1950</v>
      </c>
      <c r="O73" s="6"/>
      <c r="P73" s="6"/>
    </row>
    <row r="74" spans="1:16" x14ac:dyDescent="0.25">
      <c r="A74" s="2" t="s">
        <v>125</v>
      </c>
      <c r="B74" s="6">
        <f t="shared" si="2"/>
        <v>73</v>
      </c>
      <c r="C74" s="16">
        <v>10687</v>
      </c>
      <c r="D74" s="6" t="s">
        <v>110</v>
      </c>
      <c r="E74" s="6" t="s">
        <v>51</v>
      </c>
      <c r="F74" s="2">
        <v>30</v>
      </c>
      <c r="G74" s="2">
        <f>VLOOKUP(C74,[4]ATTANDANCE!$B$7:$AP$34,40,0)</f>
        <v>28</v>
      </c>
      <c r="H74" s="24">
        <v>31855.857333333333</v>
      </c>
      <c r="I74" s="25">
        <v>1800</v>
      </c>
      <c r="J74" s="14">
        <v>0</v>
      </c>
      <c r="K74" s="14">
        <v>200</v>
      </c>
      <c r="L74" s="14">
        <v>2000</v>
      </c>
      <c r="M74" s="15">
        <v>29855.857333333333</v>
      </c>
      <c r="N74" s="8">
        <v>1950</v>
      </c>
      <c r="O74" s="6"/>
      <c r="P74" s="6"/>
    </row>
    <row r="75" spans="1:16" x14ac:dyDescent="0.25">
      <c r="A75" s="2" t="s">
        <v>125</v>
      </c>
      <c r="B75" s="6">
        <f t="shared" si="2"/>
        <v>74</v>
      </c>
      <c r="C75" s="7">
        <v>11054</v>
      </c>
      <c r="D75" s="6" t="s">
        <v>111</v>
      </c>
      <c r="E75" s="6" t="s">
        <v>51</v>
      </c>
      <c r="F75" s="2">
        <v>30</v>
      </c>
      <c r="G75" s="2">
        <f>VLOOKUP(C75,[4]ATTANDANCE!$B$7:$AP$34,40,0)</f>
        <v>27</v>
      </c>
      <c r="H75" s="24">
        <v>31749.591</v>
      </c>
      <c r="I75" s="25">
        <v>1800</v>
      </c>
      <c r="J75" s="14">
        <v>0</v>
      </c>
      <c r="K75" s="14">
        <v>200</v>
      </c>
      <c r="L75" s="14">
        <v>2000</v>
      </c>
      <c r="M75" s="15">
        <v>29749.591</v>
      </c>
      <c r="N75" s="8">
        <v>1950</v>
      </c>
      <c r="O75" s="6"/>
      <c r="P75" s="6"/>
    </row>
    <row r="76" spans="1:16" x14ac:dyDescent="0.25">
      <c r="A76" s="2" t="s">
        <v>125</v>
      </c>
      <c r="B76" s="6">
        <f t="shared" si="2"/>
        <v>75</v>
      </c>
      <c r="C76" s="7">
        <v>10221</v>
      </c>
      <c r="D76" s="6" t="s">
        <v>112</v>
      </c>
      <c r="E76" s="6" t="s">
        <v>51</v>
      </c>
      <c r="F76" s="2">
        <v>30</v>
      </c>
      <c r="G76" s="2">
        <f>VLOOKUP(C76,[4]ATTANDANCE!$B$7:$AP$34,40,0)</f>
        <v>26</v>
      </c>
      <c r="H76" s="24">
        <v>28434.391333333333</v>
      </c>
      <c r="I76" s="25">
        <v>1800</v>
      </c>
      <c r="J76" s="14">
        <v>0</v>
      </c>
      <c r="K76" s="14">
        <v>200</v>
      </c>
      <c r="L76" s="14">
        <v>2000</v>
      </c>
      <c r="M76" s="15">
        <v>26434.391333333333</v>
      </c>
      <c r="N76" s="8">
        <v>1950</v>
      </c>
      <c r="O76" s="6"/>
      <c r="P76" s="6"/>
    </row>
    <row r="77" spans="1:16" x14ac:dyDescent="0.25">
      <c r="A77" s="2" t="s">
        <v>125</v>
      </c>
      <c r="B77" s="6">
        <f t="shared" si="2"/>
        <v>76</v>
      </c>
      <c r="C77" s="16">
        <v>10720</v>
      </c>
      <c r="D77" s="6" t="s">
        <v>113</v>
      </c>
      <c r="E77" s="6" t="s">
        <v>114</v>
      </c>
      <c r="F77" s="2">
        <v>30</v>
      </c>
      <c r="G77" s="2">
        <f>VLOOKUP(C77,[4]ATTANDANCE!$B$7:$AP$34,40,0)</f>
        <v>30</v>
      </c>
      <c r="H77" s="24">
        <v>24935.261466666663</v>
      </c>
      <c r="I77" s="25">
        <v>1800</v>
      </c>
      <c r="J77" s="14">
        <v>187.01446099999995</v>
      </c>
      <c r="K77" s="14">
        <v>200</v>
      </c>
      <c r="L77" s="14">
        <v>2187.0144609999998</v>
      </c>
      <c r="M77" s="15">
        <v>22748.247005666664</v>
      </c>
      <c r="N77" s="8">
        <v>1950</v>
      </c>
      <c r="O77" s="6"/>
      <c r="P77" s="6"/>
    </row>
    <row r="78" spans="1:16" x14ac:dyDescent="0.25">
      <c r="A78" s="2" t="s">
        <v>125</v>
      </c>
      <c r="B78" s="6">
        <f t="shared" si="2"/>
        <v>77</v>
      </c>
      <c r="C78" s="16">
        <v>11281</v>
      </c>
      <c r="D78" s="6" t="s">
        <v>14</v>
      </c>
      <c r="E78" s="6" t="s">
        <v>114</v>
      </c>
      <c r="F78" s="2">
        <v>30</v>
      </c>
      <c r="G78" s="2">
        <f>VLOOKUP(C78,[4]ATTANDANCE!$B$7:$AP$34,40,0)</f>
        <v>28</v>
      </c>
      <c r="H78" s="24">
        <v>23227.835146666665</v>
      </c>
      <c r="I78" s="25">
        <v>1800</v>
      </c>
      <c r="J78" s="14">
        <v>174.20876359999997</v>
      </c>
      <c r="K78" s="14">
        <v>200</v>
      </c>
      <c r="L78" s="14">
        <v>2174.2087635999997</v>
      </c>
      <c r="M78" s="15">
        <v>21053.626383066665</v>
      </c>
      <c r="N78" s="8">
        <v>1950</v>
      </c>
      <c r="O78" s="6"/>
      <c r="P78" s="6"/>
    </row>
    <row r="79" spans="1:16" x14ac:dyDescent="0.25">
      <c r="A79" s="2" t="s">
        <v>125</v>
      </c>
      <c r="B79" s="6">
        <f t="shared" si="2"/>
        <v>78</v>
      </c>
      <c r="C79" s="11">
        <v>12099</v>
      </c>
      <c r="D79" s="6" t="s">
        <v>115</v>
      </c>
      <c r="E79" s="6" t="s">
        <v>114</v>
      </c>
      <c r="F79" s="2">
        <v>30</v>
      </c>
      <c r="G79" s="2">
        <f>VLOOKUP(C79,[4]ATTANDANCE!$B$7:$AP$34,40,0)</f>
        <v>16</v>
      </c>
      <c r="H79" s="24">
        <v>12307.143893333334</v>
      </c>
      <c r="I79" s="25">
        <v>1160.5052671999999</v>
      </c>
      <c r="J79" s="14">
        <v>92.303579200000001</v>
      </c>
      <c r="K79" s="14">
        <v>0</v>
      </c>
      <c r="L79" s="14">
        <v>1252.8088464</v>
      </c>
      <c r="M79" s="15">
        <v>11054.335046933335</v>
      </c>
      <c r="N79" s="8">
        <v>1257.2140394666665</v>
      </c>
      <c r="O79" s="6"/>
      <c r="P79" s="6"/>
    </row>
    <row r="80" spans="1:16" x14ac:dyDescent="0.25">
      <c r="A80" s="2" t="s">
        <v>125</v>
      </c>
      <c r="B80" s="6">
        <f t="shared" si="2"/>
        <v>79</v>
      </c>
      <c r="C80" s="11" t="s">
        <v>38</v>
      </c>
      <c r="D80" s="6" t="s">
        <v>116</v>
      </c>
      <c r="E80" s="6" t="s">
        <v>114</v>
      </c>
      <c r="F80" s="2">
        <v>30</v>
      </c>
      <c r="G80" s="2">
        <v>3</v>
      </c>
      <c r="H80" s="24">
        <v>2307.5894800000001</v>
      </c>
      <c r="I80" s="25">
        <v>217.59473759999997</v>
      </c>
      <c r="J80" s="14">
        <v>17.3069211</v>
      </c>
      <c r="K80" s="14">
        <v>0</v>
      </c>
      <c r="L80" s="14">
        <v>234.90165869999998</v>
      </c>
      <c r="M80" s="15">
        <v>2072.6878213</v>
      </c>
      <c r="N80" s="8">
        <v>235.72763239999998</v>
      </c>
      <c r="O80" s="6"/>
      <c r="P80" s="6"/>
    </row>
    <row r="81" spans="1:16" x14ac:dyDescent="0.25">
      <c r="A81" s="2" t="s">
        <v>125</v>
      </c>
      <c r="B81" s="6">
        <f t="shared" si="2"/>
        <v>80</v>
      </c>
      <c r="C81" s="16">
        <v>11706</v>
      </c>
      <c r="D81" s="6" t="s">
        <v>117</v>
      </c>
      <c r="E81" s="6" t="s">
        <v>118</v>
      </c>
      <c r="F81" s="2">
        <v>30</v>
      </c>
      <c r="G81" s="2">
        <f>VLOOKUP(C81,[4]ATTANDANCE!$B$7:$AP$34,40,0)</f>
        <v>30</v>
      </c>
      <c r="H81" s="24">
        <v>19818.4728</v>
      </c>
      <c r="I81" s="25">
        <v>1800</v>
      </c>
      <c r="J81" s="14">
        <v>148.63854599999999</v>
      </c>
      <c r="K81" s="14">
        <v>150</v>
      </c>
      <c r="L81" s="14">
        <v>2098.6385460000001</v>
      </c>
      <c r="M81" s="15">
        <v>17719.834254000001</v>
      </c>
      <c r="N81" s="8">
        <v>1950</v>
      </c>
      <c r="O81" s="6"/>
      <c r="P81" s="6"/>
    </row>
    <row r="82" spans="1:16" x14ac:dyDescent="0.25">
      <c r="A82" s="2" t="s">
        <v>125</v>
      </c>
      <c r="B82" s="6">
        <f t="shared" si="2"/>
        <v>81</v>
      </c>
      <c r="C82" s="16">
        <v>11704</v>
      </c>
      <c r="D82" s="6" t="s">
        <v>119</v>
      </c>
      <c r="E82" s="6" t="s">
        <v>120</v>
      </c>
      <c r="F82" s="2">
        <v>30</v>
      </c>
      <c r="G82" s="2">
        <f>VLOOKUP(C82,[4]ATTANDANCE!$B$7:$AP$34,40,0)</f>
        <v>30</v>
      </c>
      <c r="H82" s="24">
        <v>19818.4728</v>
      </c>
      <c r="I82" s="25">
        <v>1800</v>
      </c>
      <c r="J82" s="14">
        <v>148.63854599999999</v>
      </c>
      <c r="K82" s="14">
        <v>150</v>
      </c>
      <c r="L82" s="14">
        <v>2098.6385460000001</v>
      </c>
      <c r="M82" s="15">
        <v>17719.834254000001</v>
      </c>
      <c r="N82" s="8">
        <v>1950</v>
      </c>
      <c r="O82" s="6"/>
      <c r="P82" s="6"/>
    </row>
    <row r="83" spans="1:16" x14ac:dyDescent="0.25">
      <c r="A83" s="2" t="s">
        <v>125</v>
      </c>
      <c r="B83" s="6">
        <f t="shared" si="2"/>
        <v>82</v>
      </c>
      <c r="C83" s="16">
        <v>12041</v>
      </c>
      <c r="D83" s="6" t="s">
        <v>121</v>
      </c>
      <c r="E83" s="6" t="s">
        <v>120</v>
      </c>
      <c r="F83" s="2">
        <v>30</v>
      </c>
      <c r="G83" s="2">
        <f>VLOOKUP(C83,[4]ATTANDANCE!$B$7:$AP$34,40,0)</f>
        <v>29</v>
      </c>
      <c r="H83" s="24">
        <v>19157.857039999999</v>
      </c>
      <c r="I83" s="25">
        <v>1800</v>
      </c>
      <c r="J83" s="14">
        <v>143.68392779999999</v>
      </c>
      <c r="K83" s="14">
        <v>150</v>
      </c>
      <c r="L83" s="14">
        <v>2093.6839277999998</v>
      </c>
      <c r="M83" s="15">
        <v>17064.173112199998</v>
      </c>
      <c r="N83" s="8">
        <v>1950</v>
      </c>
      <c r="O83" s="6"/>
      <c r="P83" s="6"/>
    </row>
    <row r="84" spans="1:16" x14ac:dyDescent="0.25">
      <c r="A84" s="2" t="s">
        <v>125</v>
      </c>
      <c r="B84" s="6">
        <f t="shared" si="2"/>
        <v>83</v>
      </c>
      <c r="C84" s="11">
        <v>11086</v>
      </c>
      <c r="D84" s="6" t="s">
        <v>122</v>
      </c>
      <c r="E84" s="6" t="s">
        <v>120</v>
      </c>
      <c r="F84" s="2">
        <v>30</v>
      </c>
      <c r="G84" s="2">
        <f>VLOOKUP(C84,[4]ATTANDANCE!$B$7:$AP$34,40,0)</f>
        <v>30</v>
      </c>
      <c r="H84" s="24">
        <v>20178.3478</v>
      </c>
      <c r="I84" s="25">
        <v>1800</v>
      </c>
      <c r="J84" s="14">
        <v>151.33760849999999</v>
      </c>
      <c r="K84" s="14">
        <v>200</v>
      </c>
      <c r="L84" s="14">
        <v>2151.3376085</v>
      </c>
      <c r="M84" s="15">
        <v>18027.010191499998</v>
      </c>
      <c r="N84" s="8">
        <v>1950</v>
      </c>
      <c r="O84" s="6"/>
      <c r="P84" s="6"/>
    </row>
    <row r="85" spans="1:16" x14ac:dyDescent="0.25">
      <c r="A85" s="2" t="s">
        <v>125</v>
      </c>
      <c r="B85" s="6">
        <f t="shared" si="2"/>
        <v>84</v>
      </c>
      <c r="C85" s="11">
        <v>12125</v>
      </c>
      <c r="D85" s="6" t="s">
        <v>123</v>
      </c>
      <c r="E85" s="6" t="s">
        <v>120</v>
      </c>
      <c r="F85" s="2">
        <v>30</v>
      </c>
      <c r="G85" s="2">
        <f>VLOOKUP(C85,[4]ATTANDANCE!$B$7:$AP$34,40,0)</f>
        <v>19</v>
      </c>
      <c r="H85" s="24">
        <v>13271.44944</v>
      </c>
      <c r="I85" s="25">
        <v>1468.6179327999998</v>
      </c>
      <c r="J85" s="14">
        <v>99.535870799999998</v>
      </c>
      <c r="K85" s="14">
        <v>0</v>
      </c>
      <c r="L85" s="14">
        <v>1568.1538035999997</v>
      </c>
      <c r="M85" s="15">
        <v>11703.2956364</v>
      </c>
      <c r="N85" s="8">
        <v>1591.0027605333332</v>
      </c>
      <c r="O85" s="6"/>
      <c r="P85" s="6"/>
    </row>
    <row r="86" spans="1:16" x14ac:dyDescent="0.25">
      <c r="A86" s="2" t="s">
        <v>125</v>
      </c>
      <c r="B86" s="6">
        <f t="shared" si="2"/>
        <v>85</v>
      </c>
      <c r="C86" s="11">
        <v>1</v>
      </c>
      <c r="D86" s="6" t="s">
        <v>124</v>
      </c>
      <c r="E86" s="6" t="s">
        <v>120</v>
      </c>
      <c r="F86" s="2">
        <v>30</v>
      </c>
      <c r="G86" s="2">
        <f>VLOOKUP(C86,[4]ATTANDANCE!$B$7:$AP$34,40,0)</f>
        <v>28</v>
      </c>
      <c r="H86" s="24">
        <v>20800.441279999999</v>
      </c>
      <c r="I86" s="25">
        <v>1800</v>
      </c>
      <c r="J86" s="14">
        <v>156.00330959999999</v>
      </c>
      <c r="K86" s="14">
        <v>200</v>
      </c>
      <c r="L86" s="14">
        <v>2156.0033095999997</v>
      </c>
      <c r="M86" s="15">
        <v>18644.437970399998</v>
      </c>
      <c r="N86" s="8">
        <v>1950</v>
      </c>
      <c r="O86" s="6"/>
      <c r="P86" s="6"/>
    </row>
    <row r="87" spans="1:16" x14ac:dyDescent="0.25">
      <c r="A87" s="2" t="s">
        <v>125</v>
      </c>
      <c r="B87" s="6">
        <f t="shared" si="2"/>
        <v>86</v>
      </c>
      <c r="C87" s="13">
        <v>10638</v>
      </c>
      <c r="D87" s="2" t="s">
        <v>131</v>
      </c>
      <c r="E87" s="6" t="s">
        <v>118</v>
      </c>
      <c r="F87" s="26">
        <v>31</v>
      </c>
      <c r="G87" s="6">
        <v>31</v>
      </c>
      <c r="H87" s="14">
        <v>20510.89759032258</v>
      </c>
      <c r="I87" s="14">
        <v>1371.72</v>
      </c>
      <c r="J87" s="14">
        <v>121.455</v>
      </c>
      <c r="K87" s="14">
        <v>200</v>
      </c>
      <c r="L87" s="14">
        <v>1693.175</v>
      </c>
      <c r="M87" s="15">
        <v>18818</v>
      </c>
      <c r="N87" s="8">
        <v>1486.03</v>
      </c>
      <c r="O87" s="6"/>
      <c r="P87" s="6"/>
    </row>
    <row r="88" spans="1:16" x14ac:dyDescent="0.25">
      <c r="A88" s="2" t="s">
        <v>125</v>
      </c>
      <c r="B88" s="6">
        <f t="shared" si="2"/>
        <v>87</v>
      </c>
      <c r="C88" s="13">
        <v>11139</v>
      </c>
      <c r="D88" s="2" t="s">
        <v>126</v>
      </c>
      <c r="E88" s="6" t="s">
        <v>120</v>
      </c>
      <c r="F88" s="26">
        <v>31</v>
      </c>
      <c r="G88" s="6">
        <v>31</v>
      </c>
      <c r="H88" s="14">
        <v>17112.022525806453</v>
      </c>
      <c r="I88" s="14">
        <v>1371.72</v>
      </c>
      <c r="J88" s="14">
        <v>103.10249999999999</v>
      </c>
      <c r="K88" s="14">
        <v>150</v>
      </c>
      <c r="L88" s="14">
        <v>1624.8225</v>
      </c>
      <c r="M88" s="15">
        <v>15487</v>
      </c>
      <c r="N88" s="8">
        <v>1486.03</v>
      </c>
      <c r="O88" s="6"/>
      <c r="P88" s="6"/>
    </row>
    <row r="89" spans="1:16" x14ac:dyDescent="0.25">
      <c r="A89" s="2" t="s">
        <v>125</v>
      </c>
      <c r="B89" s="6">
        <f t="shared" si="2"/>
        <v>88</v>
      </c>
      <c r="C89" s="13">
        <v>10712</v>
      </c>
      <c r="D89" s="2" t="s">
        <v>127</v>
      </c>
      <c r="E89" s="6" t="s">
        <v>118</v>
      </c>
      <c r="F89" s="26">
        <v>31</v>
      </c>
      <c r="G89" s="6">
        <v>31</v>
      </c>
      <c r="H89" s="14">
        <v>12561.382683870968</v>
      </c>
      <c r="I89" s="14">
        <v>1061.9767741935484</v>
      </c>
      <c r="J89" s="14">
        <v>79.821290322580651</v>
      </c>
      <c r="K89" s="14">
        <v>0</v>
      </c>
      <c r="L89" s="14">
        <v>1141.798064516129</v>
      </c>
      <c r="M89" s="15">
        <v>11420</v>
      </c>
      <c r="N89" s="8">
        <v>1150.4748387096774</v>
      </c>
      <c r="O89" s="6"/>
      <c r="P89" s="6"/>
    </row>
    <row r="90" spans="1:16" x14ac:dyDescent="0.25">
      <c r="A90" s="2" t="s">
        <v>125</v>
      </c>
      <c r="B90" s="6">
        <f t="shared" si="2"/>
        <v>89</v>
      </c>
      <c r="C90" s="13">
        <v>12116</v>
      </c>
      <c r="D90" s="2" t="s">
        <v>128</v>
      </c>
      <c r="E90" s="6" t="s">
        <v>118</v>
      </c>
      <c r="F90" s="26">
        <v>31</v>
      </c>
      <c r="G90" s="6">
        <v>31</v>
      </c>
      <c r="H90" s="14">
        <v>12561.382683870968</v>
      </c>
      <c r="I90" s="14">
        <v>1061.9767741935484</v>
      </c>
      <c r="J90" s="14">
        <v>79.821290322580651</v>
      </c>
      <c r="K90" s="14">
        <v>0</v>
      </c>
      <c r="L90" s="14">
        <v>1141.798064516129</v>
      </c>
      <c r="M90" s="15">
        <v>11420</v>
      </c>
      <c r="N90" s="8">
        <v>1150.4748387096774</v>
      </c>
      <c r="O90" s="6"/>
      <c r="P90" s="6"/>
    </row>
    <row r="91" spans="1:16" x14ac:dyDescent="0.25">
      <c r="A91" s="2" t="s">
        <v>125</v>
      </c>
      <c r="B91" s="6">
        <f t="shared" si="2"/>
        <v>90</v>
      </c>
      <c r="C91" s="13">
        <v>11100</v>
      </c>
      <c r="D91" s="2" t="s">
        <v>129</v>
      </c>
      <c r="E91" s="6" t="s">
        <v>118</v>
      </c>
      <c r="F91" s="26">
        <v>31</v>
      </c>
      <c r="G91" s="6">
        <v>31</v>
      </c>
      <c r="H91" s="14">
        <v>3663.736616129032</v>
      </c>
      <c r="I91" s="14">
        <v>309.74322580645156</v>
      </c>
      <c r="J91" s="14">
        <v>23.281209677419351</v>
      </c>
      <c r="K91" s="14">
        <v>0</v>
      </c>
      <c r="L91" s="14">
        <v>333.02443548387089</v>
      </c>
      <c r="M91" s="15">
        <v>3331</v>
      </c>
      <c r="N91" s="8">
        <v>335.55516129032253</v>
      </c>
      <c r="O91" s="6"/>
      <c r="P91" s="6"/>
    </row>
    <row r="92" spans="1:16" x14ac:dyDescent="0.25">
      <c r="A92" s="2" t="s">
        <v>125</v>
      </c>
      <c r="B92" s="6">
        <f t="shared" si="2"/>
        <v>91</v>
      </c>
      <c r="C92" s="13">
        <v>12007</v>
      </c>
      <c r="D92" s="2" t="s">
        <v>130</v>
      </c>
      <c r="E92" s="6" t="s">
        <v>118</v>
      </c>
      <c r="F92" s="26">
        <v>31</v>
      </c>
      <c r="G92" s="6">
        <v>31</v>
      </c>
      <c r="H92" s="14">
        <v>16668.570912903226</v>
      </c>
      <c r="I92" s="14">
        <v>1371.72</v>
      </c>
      <c r="J92" s="14">
        <v>103.10249999999999</v>
      </c>
      <c r="K92" s="14">
        <v>150</v>
      </c>
      <c r="L92" s="14">
        <v>1624.8225</v>
      </c>
      <c r="M92" s="15">
        <v>15044</v>
      </c>
      <c r="N92" s="8">
        <v>1486.03</v>
      </c>
      <c r="O92" s="6"/>
      <c r="P92" s="6"/>
    </row>
    <row r="93" spans="1:16" x14ac:dyDescent="0.25">
      <c r="A93" s="2" t="s">
        <v>139</v>
      </c>
      <c r="B93" s="6">
        <f t="shared" si="2"/>
        <v>92</v>
      </c>
      <c r="C93" s="11">
        <v>10240</v>
      </c>
      <c r="D93" s="6" t="s">
        <v>132</v>
      </c>
      <c r="E93" s="6" t="s">
        <v>133</v>
      </c>
      <c r="F93" s="2">
        <v>31</v>
      </c>
      <c r="G93" s="2">
        <f>VLOOKUP(C93,[5]ATTANDANCE!$B$7:$AQ$14,42,0)</f>
        <v>31</v>
      </c>
      <c r="H93" s="14">
        <v>32039.722746559997</v>
      </c>
      <c r="I93" s="14">
        <v>1800</v>
      </c>
      <c r="J93" s="14">
        <v>0</v>
      </c>
      <c r="K93" s="14">
        <v>200</v>
      </c>
      <c r="L93" s="14">
        <v>2000</v>
      </c>
      <c r="M93" s="15">
        <v>30040</v>
      </c>
      <c r="N93" s="8">
        <v>1950</v>
      </c>
      <c r="O93" s="8">
        <v>1200</v>
      </c>
      <c r="P93" s="6"/>
    </row>
    <row r="94" spans="1:16" x14ac:dyDescent="0.25">
      <c r="A94" s="2" t="s">
        <v>139</v>
      </c>
      <c r="B94" s="6">
        <f t="shared" si="2"/>
        <v>93</v>
      </c>
      <c r="C94" s="11">
        <v>10242</v>
      </c>
      <c r="D94" s="6" t="s">
        <v>134</v>
      </c>
      <c r="E94" s="6" t="s">
        <v>135</v>
      </c>
      <c r="F94" s="2">
        <v>31</v>
      </c>
      <c r="G94" s="2">
        <f>VLOOKUP(C94,[5]ATTANDANCE!$B$7:$AQ$14,42,0)</f>
        <v>31</v>
      </c>
      <c r="H94" s="14">
        <v>23004.798954880003</v>
      </c>
      <c r="I94" s="14">
        <v>1800</v>
      </c>
      <c r="J94" s="14">
        <v>159.746082</v>
      </c>
      <c r="K94" s="14">
        <v>200</v>
      </c>
      <c r="L94" s="14">
        <v>2159.7460820000001</v>
      </c>
      <c r="M94" s="15">
        <v>20845</v>
      </c>
      <c r="N94" s="8">
        <v>1950</v>
      </c>
      <c r="O94" s="8">
        <v>692.23302200000012</v>
      </c>
      <c r="P94" s="6"/>
    </row>
    <row r="95" spans="1:16" x14ac:dyDescent="0.25">
      <c r="A95" s="2" t="s">
        <v>139</v>
      </c>
      <c r="B95" s="6">
        <f t="shared" si="2"/>
        <v>94</v>
      </c>
      <c r="C95" s="11">
        <v>10248</v>
      </c>
      <c r="D95" s="6" t="s">
        <v>136</v>
      </c>
      <c r="E95" s="6" t="s">
        <v>137</v>
      </c>
      <c r="F95" s="2">
        <v>31</v>
      </c>
      <c r="G95" s="2">
        <f>VLOOKUP(C95,[5]ATTANDANCE!$B$7:$AQ$14,42,0)</f>
        <v>31</v>
      </c>
      <c r="H95" s="14">
        <v>23004.798954880003</v>
      </c>
      <c r="I95" s="14">
        <v>1800</v>
      </c>
      <c r="J95" s="14">
        <v>159.746082</v>
      </c>
      <c r="K95" s="14">
        <v>200</v>
      </c>
      <c r="L95" s="14">
        <v>2159.7460820000001</v>
      </c>
      <c r="M95" s="15">
        <v>20845</v>
      </c>
      <c r="N95" s="8">
        <v>1950</v>
      </c>
      <c r="O95" s="8">
        <v>692.23302200000012</v>
      </c>
      <c r="P95" s="6"/>
    </row>
    <row r="96" spans="1:16" x14ac:dyDescent="0.25">
      <c r="A96" s="2" t="s">
        <v>139</v>
      </c>
      <c r="B96" s="6">
        <f t="shared" si="2"/>
        <v>95</v>
      </c>
      <c r="C96" s="11">
        <v>10249</v>
      </c>
      <c r="D96" s="6" t="s">
        <v>138</v>
      </c>
      <c r="E96" s="6" t="s">
        <v>137</v>
      </c>
      <c r="F96" s="2">
        <v>31</v>
      </c>
      <c r="G96" s="2">
        <f>VLOOKUP(C96,[5]ATTANDANCE!$B$7:$AQ$14,42,0)</f>
        <v>31</v>
      </c>
      <c r="H96" s="14">
        <v>23004.798954880003</v>
      </c>
      <c r="I96" s="14">
        <v>1800</v>
      </c>
      <c r="J96" s="14">
        <v>159.746082</v>
      </c>
      <c r="K96" s="14">
        <v>200</v>
      </c>
      <c r="L96" s="14">
        <v>2159.7460820000001</v>
      </c>
      <c r="M96" s="15">
        <v>20845</v>
      </c>
      <c r="N96" s="8">
        <v>1950</v>
      </c>
      <c r="O96" s="8">
        <v>692.23302200000012</v>
      </c>
      <c r="P96" s="6"/>
    </row>
    <row r="97" spans="1:16" x14ac:dyDescent="0.25">
      <c r="A97" s="2" t="s">
        <v>159</v>
      </c>
      <c r="B97" s="6">
        <f t="shared" si="2"/>
        <v>96</v>
      </c>
      <c r="C97" s="19">
        <v>10546</v>
      </c>
      <c r="D97" s="18" t="s">
        <v>140</v>
      </c>
      <c r="E97" s="18" t="s">
        <v>141</v>
      </c>
      <c r="F97" s="8">
        <v>31</v>
      </c>
      <c r="G97" s="8">
        <f>VLOOKUP(C97,[6]ATTANDANCE!$B$7:$AQ$45,42,0)</f>
        <v>31</v>
      </c>
      <c r="H97" s="27">
        <v>40294.201360000006</v>
      </c>
      <c r="I97" s="27">
        <v>1800</v>
      </c>
      <c r="J97" s="27">
        <v>0</v>
      </c>
      <c r="K97" s="27">
        <v>200</v>
      </c>
      <c r="L97" s="28">
        <v>2000</v>
      </c>
      <c r="M97" s="29">
        <v>38294</v>
      </c>
      <c r="N97" s="8">
        <v>1950</v>
      </c>
      <c r="O97" s="6"/>
      <c r="P97" s="6"/>
    </row>
    <row r="98" spans="1:16" x14ac:dyDescent="0.25">
      <c r="A98" s="2" t="s">
        <v>159</v>
      </c>
      <c r="B98" s="6">
        <f t="shared" si="2"/>
        <v>97</v>
      </c>
      <c r="C98" s="19">
        <v>10544</v>
      </c>
      <c r="D98" s="18" t="s">
        <v>142</v>
      </c>
      <c r="E98" s="18" t="s">
        <v>143</v>
      </c>
      <c r="F98" s="8">
        <v>31</v>
      </c>
      <c r="G98" s="8">
        <f>VLOOKUP(C98,[6]ATTANDANCE!$B$7:$AQ$45,42,0)</f>
        <v>31</v>
      </c>
      <c r="H98" s="27">
        <v>34134.318959999997</v>
      </c>
      <c r="I98" s="27">
        <v>1800</v>
      </c>
      <c r="J98" s="27">
        <v>0</v>
      </c>
      <c r="K98" s="27">
        <v>200</v>
      </c>
      <c r="L98" s="28">
        <v>2000</v>
      </c>
      <c r="M98" s="29">
        <v>32134</v>
      </c>
      <c r="N98" s="8">
        <v>1950</v>
      </c>
      <c r="O98" s="6"/>
      <c r="P98" s="6"/>
    </row>
    <row r="99" spans="1:16" x14ac:dyDescent="0.25">
      <c r="A99" s="2" t="s">
        <v>159</v>
      </c>
      <c r="B99" s="6">
        <f t="shared" si="2"/>
        <v>98</v>
      </c>
      <c r="C99" s="19">
        <v>10213</v>
      </c>
      <c r="D99" s="18" t="s">
        <v>144</v>
      </c>
      <c r="E99" s="18" t="s">
        <v>51</v>
      </c>
      <c r="F99" s="8">
        <v>31</v>
      </c>
      <c r="G99" s="8">
        <f>VLOOKUP(C99,[6]ATTANDANCE!$B$7:$AQ$45,42,0)</f>
        <v>28</v>
      </c>
      <c r="H99" s="27">
        <v>30145.790621935485</v>
      </c>
      <c r="I99" s="27">
        <v>1800</v>
      </c>
      <c r="J99" s="27">
        <v>0</v>
      </c>
      <c r="K99" s="27">
        <v>200</v>
      </c>
      <c r="L99" s="28">
        <v>2000</v>
      </c>
      <c r="M99" s="29">
        <v>28146</v>
      </c>
      <c r="N99" s="8">
        <v>1950</v>
      </c>
      <c r="O99" s="6"/>
      <c r="P99" s="6"/>
    </row>
    <row r="100" spans="1:16" x14ac:dyDescent="0.25">
      <c r="A100" s="2" t="s">
        <v>159</v>
      </c>
      <c r="B100" s="6">
        <f t="shared" si="2"/>
        <v>99</v>
      </c>
      <c r="C100" s="19"/>
      <c r="D100" s="18" t="s">
        <v>38</v>
      </c>
      <c r="E100" s="18" t="s">
        <v>51</v>
      </c>
      <c r="F100" s="8">
        <v>31</v>
      </c>
      <c r="G100" s="8">
        <v>3</v>
      </c>
      <c r="H100" s="27">
        <v>3229.9061380645157</v>
      </c>
      <c r="I100" s="27">
        <v>365.6542849548386</v>
      </c>
      <c r="J100" s="27">
        <v>0</v>
      </c>
      <c r="K100" s="27">
        <v>0</v>
      </c>
      <c r="L100" s="28">
        <v>365.6542849548386</v>
      </c>
      <c r="M100" s="29">
        <v>2864</v>
      </c>
      <c r="N100" s="8">
        <v>396.12547536774179</v>
      </c>
      <c r="O100" s="6"/>
      <c r="P100" s="6"/>
    </row>
    <row r="101" spans="1:16" x14ac:dyDescent="0.25">
      <c r="A101" s="2" t="s">
        <v>159</v>
      </c>
      <c r="B101" s="6">
        <f t="shared" si="2"/>
        <v>100</v>
      </c>
      <c r="C101" s="19">
        <v>11552</v>
      </c>
      <c r="D101" s="18" t="s">
        <v>145</v>
      </c>
      <c r="E101" s="18" t="s">
        <v>17</v>
      </c>
      <c r="F101" s="8">
        <v>31</v>
      </c>
      <c r="G101" s="8">
        <f>VLOOKUP(C101,[6]ATTANDANCE!$B$7:$AQ$45,42,0)</f>
        <v>29</v>
      </c>
      <c r="H101" s="27">
        <v>24772.076903225807</v>
      </c>
      <c r="I101" s="27">
        <v>1800</v>
      </c>
      <c r="J101" s="27">
        <v>0</v>
      </c>
      <c r="K101" s="27">
        <v>200</v>
      </c>
      <c r="L101" s="28">
        <v>2000</v>
      </c>
      <c r="M101" s="29">
        <v>22772</v>
      </c>
      <c r="N101" s="8">
        <v>1950</v>
      </c>
      <c r="O101" s="6"/>
      <c r="P101" s="6"/>
    </row>
    <row r="102" spans="1:16" x14ac:dyDescent="0.25">
      <c r="A102" s="2" t="s">
        <v>159</v>
      </c>
      <c r="B102" s="6">
        <f t="shared" si="2"/>
        <v>101</v>
      </c>
      <c r="C102" s="19">
        <v>10727</v>
      </c>
      <c r="D102" s="18" t="s">
        <v>146</v>
      </c>
      <c r="E102" s="18" t="s">
        <v>147</v>
      </c>
      <c r="F102" s="8">
        <v>31</v>
      </c>
      <c r="G102" s="8">
        <f>VLOOKUP(C102,[6]ATTANDANCE!$B$7:$AQ$45,42,0)</f>
        <v>31</v>
      </c>
      <c r="H102" s="27">
        <v>23457.911400000001</v>
      </c>
      <c r="I102" s="27">
        <v>1800</v>
      </c>
      <c r="J102" s="27">
        <v>175.9343355</v>
      </c>
      <c r="K102" s="27">
        <v>200</v>
      </c>
      <c r="L102" s="28">
        <v>2175.9343355000001</v>
      </c>
      <c r="M102" s="29">
        <v>21282</v>
      </c>
      <c r="N102" s="8">
        <v>1950</v>
      </c>
      <c r="O102" s="6"/>
      <c r="P102" s="6"/>
    </row>
    <row r="103" spans="1:16" x14ac:dyDescent="0.25">
      <c r="A103" s="2" t="s">
        <v>159</v>
      </c>
      <c r="B103" s="6">
        <f t="shared" si="2"/>
        <v>102</v>
      </c>
      <c r="C103" s="19">
        <v>10968</v>
      </c>
      <c r="D103" s="18" t="s">
        <v>148</v>
      </c>
      <c r="E103" s="18" t="s">
        <v>147</v>
      </c>
      <c r="F103" s="8">
        <v>31</v>
      </c>
      <c r="G103" s="8">
        <f>VLOOKUP(C103,[6]ATTANDANCE!$B$7:$AQ$45,42,0)</f>
        <v>30</v>
      </c>
      <c r="H103" s="27">
        <v>22701.204580645161</v>
      </c>
      <c r="I103" s="27">
        <v>1800</v>
      </c>
      <c r="J103" s="27">
        <v>170.25903435483869</v>
      </c>
      <c r="K103" s="27">
        <v>200</v>
      </c>
      <c r="L103" s="28">
        <v>2170.2590343548386</v>
      </c>
      <c r="M103" s="29">
        <v>20531</v>
      </c>
      <c r="N103" s="8">
        <v>1950</v>
      </c>
      <c r="O103" s="6"/>
      <c r="P103" s="6"/>
    </row>
    <row r="104" spans="1:16" x14ac:dyDescent="0.25">
      <c r="A104" s="2" t="s">
        <v>159</v>
      </c>
      <c r="B104" s="6">
        <f t="shared" si="2"/>
        <v>103</v>
      </c>
      <c r="C104" s="19">
        <v>10961</v>
      </c>
      <c r="D104" s="18" t="s">
        <v>149</v>
      </c>
      <c r="E104" s="18" t="s">
        <v>147</v>
      </c>
      <c r="F104" s="8">
        <v>31</v>
      </c>
      <c r="G104" s="8">
        <f>VLOOKUP(C104,[6]ATTANDANCE!$B$7:$AQ$45,42,0)</f>
        <v>31</v>
      </c>
      <c r="H104" s="27">
        <v>23457.911400000001</v>
      </c>
      <c r="I104" s="27">
        <v>1800</v>
      </c>
      <c r="J104" s="27">
        <v>175.9343355</v>
      </c>
      <c r="K104" s="27">
        <v>200</v>
      </c>
      <c r="L104" s="28">
        <v>2175.9343355000001</v>
      </c>
      <c r="M104" s="29">
        <v>21282</v>
      </c>
      <c r="N104" s="8">
        <v>1950</v>
      </c>
      <c r="O104" s="6"/>
      <c r="P104" s="6"/>
    </row>
    <row r="105" spans="1:16" x14ac:dyDescent="0.25">
      <c r="A105" s="2" t="s">
        <v>159</v>
      </c>
      <c r="B105" s="6">
        <f t="shared" si="2"/>
        <v>104</v>
      </c>
      <c r="C105" s="19">
        <v>11067</v>
      </c>
      <c r="D105" s="18" t="s">
        <v>150</v>
      </c>
      <c r="E105" s="18" t="s">
        <v>147</v>
      </c>
      <c r="F105" s="8">
        <v>31</v>
      </c>
      <c r="G105" s="8">
        <f>VLOOKUP(C105,[6]ATTANDANCE!$B$7:$AQ$45,42,0)</f>
        <v>31</v>
      </c>
      <c r="H105" s="27">
        <v>23457.911400000001</v>
      </c>
      <c r="I105" s="27">
        <v>1800</v>
      </c>
      <c r="J105" s="27">
        <v>175.9343355</v>
      </c>
      <c r="K105" s="27">
        <v>200</v>
      </c>
      <c r="L105" s="28">
        <v>2175.9343355000001</v>
      </c>
      <c r="M105" s="29">
        <v>21282</v>
      </c>
      <c r="N105" s="8">
        <v>1950</v>
      </c>
      <c r="O105" s="6"/>
      <c r="P105" s="6"/>
    </row>
    <row r="106" spans="1:16" x14ac:dyDescent="0.25">
      <c r="A106" s="2" t="s">
        <v>159</v>
      </c>
      <c r="B106" s="6">
        <f t="shared" si="2"/>
        <v>105</v>
      </c>
      <c r="C106" s="30">
        <v>10582</v>
      </c>
      <c r="D106" s="31" t="s">
        <v>151</v>
      </c>
      <c r="E106" s="31" t="s">
        <v>147</v>
      </c>
      <c r="F106" s="8">
        <v>31</v>
      </c>
      <c r="G106" s="8">
        <f>VLOOKUP(C106,[6]ATTANDANCE!$B$7:$AQ$45,42,0)</f>
        <v>31</v>
      </c>
      <c r="H106" s="27">
        <v>23457.911400000001</v>
      </c>
      <c r="I106" s="27">
        <v>1800</v>
      </c>
      <c r="J106" s="32">
        <v>175.9343355</v>
      </c>
      <c r="K106" s="27">
        <v>200</v>
      </c>
      <c r="L106" s="28">
        <v>2175.9343355000001</v>
      </c>
      <c r="M106" s="29">
        <v>21282</v>
      </c>
      <c r="N106" s="8">
        <v>1950</v>
      </c>
      <c r="O106" s="6"/>
      <c r="P106" s="6"/>
    </row>
    <row r="107" spans="1:16" x14ac:dyDescent="0.25">
      <c r="A107" s="2" t="s">
        <v>159</v>
      </c>
      <c r="B107" s="6">
        <f t="shared" si="2"/>
        <v>106</v>
      </c>
      <c r="C107" s="19">
        <v>12012</v>
      </c>
      <c r="D107" s="31" t="s">
        <v>152</v>
      </c>
      <c r="E107" s="18" t="s">
        <v>147</v>
      </c>
      <c r="F107" s="8">
        <v>31</v>
      </c>
      <c r="G107" s="8">
        <f>VLOOKUP(C107,[6]ATTANDANCE!$B$7:$AQ$45,42,0)</f>
        <v>31</v>
      </c>
      <c r="H107" s="27">
        <v>23457.911400000001</v>
      </c>
      <c r="I107" s="27">
        <v>1800</v>
      </c>
      <c r="J107" s="32">
        <v>175.9343355</v>
      </c>
      <c r="K107" s="27">
        <v>200</v>
      </c>
      <c r="L107" s="28">
        <v>2175.9343355000001</v>
      </c>
      <c r="M107" s="29">
        <v>21282</v>
      </c>
      <c r="N107" s="8">
        <v>1950</v>
      </c>
      <c r="O107" s="6"/>
      <c r="P107" s="6"/>
    </row>
    <row r="108" spans="1:16" x14ac:dyDescent="0.25">
      <c r="A108" s="2" t="s">
        <v>159</v>
      </c>
      <c r="B108" s="6">
        <f t="shared" si="2"/>
        <v>107</v>
      </c>
      <c r="C108" s="19">
        <v>11816</v>
      </c>
      <c r="D108" s="18" t="s">
        <v>153</v>
      </c>
      <c r="E108" s="18" t="s">
        <v>147</v>
      </c>
      <c r="F108" s="8">
        <v>31</v>
      </c>
      <c r="G108" s="8">
        <f>VLOOKUP(C108,[6]ATTANDANCE!$B$7:$AQ$45,42,0)</f>
        <v>31</v>
      </c>
      <c r="H108" s="27">
        <v>23457.911400000001</v>
      </c>
      <c r="I108" s="27">
        <v>1800</v>
      </c>
      <c r="J108" s="27">
        <v>175.9343355</v>
      </c>
      <c r="K108" s="27">
        <v>200</v>
      </c>
      <c r="L108" s="28">
        <v>2175.9343355000001</v>
      </c>
      <c r="M108" s="29">
        <v>21282</v>
      </c>
      <c r="N108" s="8">
        <v>1950</v>
      </c>
      <c r="O108" s="6"/>
      <c r="P108" s="6"/>
    </row>
    <row r="109" spans="1:16" x14ac:dyDescent="0.25">
      <c r="A109" s="2" t="s">
        <v>159</v>
      </c>
      <c r="B109" s="6">
        <f t="shared" si="2"/>
        <v>108</v>
      </c>
      <c r="C109" s="19">
        <v>11815</v>
      </c>
      <c r="D109" s="18" t="s">
        <v>154</v>
      </c>
      <c r="E109" s="18" t="s">
        <v>147</v>
      </c>
      <c r="F109" s="8">
        <v>31</v>
      </c>
      <c r="G109" s="8">
        <f>VLOOKUP(C109,[6]ATTANDANCE!$B$7:$AQ$45,42,0)</f>
        <v>31</v>
      </c>
      <c r="H109" s="27">
        <v>23457.911400000001</v>
      </c>
      <c r="I109" s="27">
        <v>1800</v>
      </c>
      <c r="J109" s="27">
        <v>175.9343355</v>
      </c>
      <c r="K109" s="27">
        <v>200</v>
      </c>
      <c r="L109" s="28">
        <v>2175.9343355000001</v>
      </c>
      <c r="M109" s="29">
        <v>21282</v>
      </c>
      <c r="N109" s="8">
        <v>1950</v>
      </c>
      <c r="O109" s="6"/>
      <c r="P109" s="6"/>
    </row>
    <row r="110" spans="1:16" x14ac:dyDescent="0.25">
      <c r="A110" s="2" t="s">
        <v>159</v>
      </c>
      <c r="B110" s="6">
        <f t="shared" si="2"/>
        <v>109</v>
      </c>
      <c r="C110" s="19">
        <v>11915</v>
      </c>
      <c r="D110" s="18" t="s">
        <v>155</v>
      </c>
      <c r="E110" s="18" t="s">
        <v>147</v>
      </c>
      <c r="F110" s="8">
        <v>31</v>
      </c>
      <c r="G110" s="8">
        <f>VLOOKUP(C110,[6]ATTANDANCE!$B$7:$AQ$45,42,0)</f>
        <v>30</v>
      </c>
      <c r="H110" s="27">
        <v>22701.204580645161</v>
      </c>
      <c r="I110" s="27">
        <v>1800</v>
      </c>
      <c r="J110" s="27">
        <v>170.25903435483869</v>
      </c>
      <c r="K110" s="27">
        <v>200</v>
      </c>
      <c r="L110" s="28">
        <v>2170.2590343548386</v>
      </c>
      <c r="M110" s="29">
        <v>20531</v>
      </c>
      <c r="N110" s="8">
        <v>1950</v>
      </c>
      <c r="O110" s="6"/>
      <c r="P110" s="6"/>
    </row>
    <row r="111" spans="1:16" x14ac:dyDescent="0.25">
      <c r="A111" s="2" t="s">
        <v>159</v>
      </c>
      <c r="B111" s="6">
        <f t="shared" si="2"/>
        <v>110</v>
      </c>
      <c r="C111" s="19">
        <v>12065</v>
      </c>
      <c r="D111" s="18" t="s">
        <v>156</v>
      </c>
      <c r="E111" s="18" t="s">
        <v>147</v>
      </c>
      <c r="F111" s="8">
        <v>31</v>
      </c>
      <c r="G111" s="8">
        <f>VLOOKUP(C111,[6]ATTANDANCE!$B$7:$AQ$45,42,0)</f>
        <v>30</v>
      </c>
      <c r="H111" s="27">
        <v>22701.204580645161</v>
      </c>
      <c r="I111" s="27">
        <v>1800</v>
      </c>
      <c r="J111" s="27">
        <v>170.25903435483869</v>
      </c>
      <c r="K111" s="27">
        <v>200</v>
      </c>
      <c r="L111" s="28">
        <v>2170.2590343548386</v>
      </c>
      <c r="M111" s="29">
        <v>20531</v>
      </c>
      <c r="N111" s="8">
        <v>1950</v>
      </c>
      <c r="O111" s="6"/>
      <c r="P111" s="6"/>
    </row>
    <row r="112" spans="1:16" x14ac:dyDescent="0.25">
      <c r="A112" s="2" t="s">
        <v>159</v>
      </c>
      <c r="B112" s="6">
        <f t="shared" si="2"/>
        <v>111</v>
      </c>
      <c r="C112" s="19">
        <v>11926</v>
      </c>
      <c r="D112" s="18" t="s">
        <v>157</v>
      </c>
      <c r="E112" s="18" t="s">
        <v>147</v>
      </c>
      <c r="F112" s="8">
        <v>31</v>
      </c>
      <c r="G112" s="8">
        <f>VLOOKUP(C112,[6]ATTANDANCE!$B$7:$AQ$45,42,0)</f>
        <v>31</v>
      </c>
      <c r="H112" s="27">
        <v>23457.911400000001</v>
      </c>
      <c r="I112" s="27">
        <v>1800</v>
      </c>
      <c r="J112" s="27">
        <v>175.9343355</v>
      </c>
      <c r="K112" s="27">
        <v>200</v>
      </c>
      <c r="L112" s="28">
        <v>2175.9343355000001</v>
      </c>
      <c r="M112" s="29">
        <v>21282</v>
      </c>
      <c r="N112" s="8">
        <v>1950</v>
      </c>
      <c r="O112" s="6"/>
      <c r="P112" s="6"/>
    </row>
    <row r="113" spans="1:16" x14ac:dyDescent="0.25">
      <c r="A113" s="2" t="s">
        <v>159</v>
      </c>
      <c r="B113" s="6">
        <f t="shared" si="2"/>
        <v>112</v>
      </c>
      <c r="C113" s="19">
        <v>11818</v>
      </c>
      <c r="D113" s="18" t="s">
        <v>158</v>
      </c>
      <c r="E113" s="18" t="s">
        <v>147</v>
      </c>
      <c r="F113" s="8">
        <v>31</v>
      </c>
      <c r="G113" s="8">
        <f>VLOOKUP(C113,[6]ATTANDANCE!$B$7:$AQ$45,42,0)</f>
        <v>30</v>
      </c>
      <c r="H113" s="27">
        <v>22701.204580645161</v>
      </c>
      <c r="I113" s="27">
        <v>1800</v>
      </c>
      <c r="J113" s="27">
        <v>170.25903435483869</v>
      </c>
      <c r="K113" s="27">
        <v>200</v>
      </c>
      <c r="L113" s="28">
        <v>2170.2590343548386</v>
      </c>
      <c r="M113" s="29">
        <v>20531</v>
      </c>
      <c r="N113" s="8">
        <v>1950</v>
      </c>
      <c r="O113" s="6"/>
      <c r="P113" s="6"/>
    </row>
    <row r="114" spans="1:16" x14ac:dyDescent="0.25">
      <c r="A114" s="2" t="s">
        <v>175</v>
      </c>
      <c r="B114" s="6">
        <f t="shared" si="2"/>
        <v>113</v>
      </c>
      <c r="C114" s="16">
        <v>10320</v>
      </c>
      <c r="D114" s="6" t="s">
        <v>160</v>
      </c>
      <c r="E114" s="6" t="s">
        <v>51</v>
      </c>
      <c r="F114" s="3">
        <v>31</v>
      </c>
      <c r="G114" s="33">
        <f>VLOOKUP(C114,[7]ATTANDANCE!$B$7:$AS$40,43,0)</f>
        <v>31</v>
      </c>
      <c r="H114" s="8">
        <v>26613.528753846153</v>
      </c>
      <c r="I114" s="8">
        <v>1800</v>
      </c>
      <c r="J114" s="8">
        <v>0</v>
      </c>
      <c r="K114" s="8">
        <v>200</v>
      </c>
      <c r="L114" s="8">
        <v>2000</v>
      </c>
      <c r="M114" s="9">
        <v>24614</v>
      </c>
      <c r="N114" s="8">
        <v>1950</v>
      </c>
      <c r="O114" s="8">
        <v>1800</v>
      </c>
      <c r="P114" s="6"/>
    </row>
    <row r="115" spans="1:16" x14ac:dyDescent="0.25">
      <c r="A115" s="2" t="s">
        <v>175</v>
      </c>
      <c r="B115" s="6">
        <f t="shared" si="2"/>
        <v>114</v>
      </c>
      <c r="C115" s="16">
        <v>10305</v>
      </c>
      <c r="D115" s="6" t="s">
        <v>161</v>
      </c>
      <c r="E115" s="6" t="s">
        <v>13</v>
      </c>
      <c r="F115" s="3">
        <v>31</v>
      </c>
      <c r="G115" s="33">
        <f>VLOOKUP(C115,[7]ATTANDANCE!$B$7:$AS$40,43,0)</f>
        <v>30.625</v>
      </c>
      <c r="H115" s="8">
        <v>23975.233314516128</v>
      </c>
      <c r="I115" s="8">
        <v>1800</v>
      </c>
      <c r="J115" s="8">
        <v>179.81424985887097</v>
      </c>
      <c r="K115" s="8">
        <v>200</v>
      </c>
      <c r="L115" s="8">
        <v>2179.8142498588709</v>
      </c>
      <c r="M115" s="9">
        <v>21795</v>
      </c>
      <c r="N115" s="8">
        <v>1950</v>
      </c>
      <c r="O115" s="8">
        <v>779.19508272177416</v>
      </c>
      <c r="P115" s="6"/>
    </row>
    <row r="116" spans="1:16" x14ac:dyDescent="0.25">
      <c r="A116" s="2" t="s">
        <v>175</v>
      </c>
      <c r="B116" s="6">
        <f t="shared" si="2"/>
        <v>115</v>
      </c>
      <c r="C116" s="16">
        <v>11400</v>
      </c>
      <c r="D116" s="6" t="s">
        <v>162</v>
      </c>
      <c r="E116" s="6" t="s">
        <v>13</v>
      </c>
      <c r="F116" s="3">
        <v>31</v>
      </c>
      <c r="G116" s="33">
        <f>VLOOKUP(C116,[7]ATTANDANCE!$B$7:$AS$40,43,0)</f>
        <v>31</v>
      </c>
      <c r="H116" s="8">
        <v>24525.020100000002</v>
      </c>
      <c r="I116" s="8">
        <v>1800</v>
      </c>
      <c r="J116" s="8">
        <v>183.93765075000002</v>
      </c>
      <c r="K116" s="8">
        <v>200</v>
      </c>
      <c r="L116" s="8">
        <v>2183.9376507500001</v>
      </c>
      <c r="M116" s="9">
        <v>22341</v>
      </c>
      <c r="N116" s="8">
        <v>1950</v>
      </c>
      <c r="O116" s="8">
        <v>797.06315325000003</v>
      </c>
      <c r="P116" s="6"/>
    </row>
    <row r="117" spans="1:16" x14ac:dyDescent="0.25">
      <c r="A117" s="2" t="s">
        <v>175</v>
      </c>
      <c r="B117" s="6">
        <f t="shared" si="2"/>
        <v>116</v>
      </c>
      <c r="C117" s="16">
        <v>11879</v>
      </c>
      <c r="D117" s="6" t="s">
        <v>163</v>
      </c>
      <c r="E117" s="6" t="s">
        <v>164</v>
      </c>
      <c r="F117" s="3">
        <v>31</v>
      </c>
      <c r="G117" s="33">
        <f>VLOOKUP(C117,[7]ATTANDANCE!$B$7:$AS$40,43,0)</f>
        <v>31</v>
      </c>
      <c r="H117" s="8">
        <v>25137.3076</v>
      </c>
      <c r="I117" s="8">
        <v>1800</v>
      </c>
      <c r="J117" s="8">
        <v>188.52980700000001</v>
      </c>
      <c r="K117" s="8">
        <v>200</v>
      </c>
      <c r="L117" s="8">
        <v>2188.5298069999999</v>
      </c>
      <c r="M117" s="9">
        <v>22949</v>
      </c>
      <c r="N117" s="8">
        <v>1950</v>
      </c>
      <c r="O117" s="8">
        <v>816.96249699999998</v>
      </c>
      <c r="P117" s="6"/>
    </row>
    <row r="118" spans="1:16" x14ac:dyDescent="0.25">
      <c r="A118" s="2" t="s">
        <v>175</v>
      </c>
      <c r="B118" s="6">
        <f t="shared" si="2"/>
        <v>117</v>
      </c>
      <c r="C118" s="16">
        <v>10307</v>
      </c>
      <c r="D118" s="6" t="s">
        <v>165</v>
      </c>
      <c r="E118" s="6" t="s">
        <v>166</v>
      </c>
      <c r="F118" s="3">
        <v>31</v>
      </c>
      <c r="G118" s="33">
        <f>VLOOKUP(C118,[7]ATTANDANCE!$B$7:$AS$40,43,0)</f>
        <v>30</v>
      </c>
      <c r="H118" s="8">
        <v>18836.419354838708</v>
      </c>
      <c r="I118" s="8">
        <v>1800</v>
      </c>
      <c r="J118" s="8">
        <v>141.2731451612903</v>
      </c>
      <c r="K118" s="8">
        <v>150</v>
      </c>
      <c r="L118" s="8">
        <v>2091.2731451612904</v>
      </c>
      <c r="M118" s="9">
        <v>16745</v>
      </c>
      <c r="N118" s="8">
        <v>1950</v>
      </c>
      <c r="O118" s="8">
        <v>612.18362903225807</v>
      </c>
      <c r="P118" s="6"/>
    </row>
    <row r="119" spans="1:16" x14ac:dyDescent="0.25">
      <c r="A119" s="2" t="s">
        <v>175</v>
      </c>
      <c r="B119" s="6">
        <f t="shared" si="2"/>
        <v>118</v>
      </c>
      <c r="C119" s="16">
        <v>10304</v>
      </c>
      <c r="D119" s="6" t="s">
        <v>167</v>
      </c>
      <c r="E119" s="6" t="s">
        <v>166</v>
      </c>
      <c r="F119" s="3">
        <v>31</v>
      </c>
      <c r="G119" s="33">
        <f>VLOOKUP(C119,[7]ATTANDANCE!$B$7:$AS$40,43,0)</f>
        <v>30</v>
      </c>
      <c r="H119" s="8">
        <v>18836.419354838708</v>
      </c>
      <c r="I119" s="8">
        <v>1800</v>
      </c>
      <c r="J119" s="8">
        <v>141.2731451612903</v>
      </c>
      <c r="K119" s="8">
        <v>150</v>
      </c>
      <c r="L119" s="8">
        <v>2091.2731451612904</v>
      </c>
      <c r="M119" s="9">
        <v>16745</v>
      </c>
      <c r="N119" s="8">
        <v>1950</v>
      </c>
      <c r="O119" s="8">
        <v>612.18362903225807</v>
      </c>
      <c r="P119" s="6"/>
    </row>
    <row r="120" spans="1:16" x14ac:dyDescent="0.25">
      <c r="A120" s="2" t="s">
        <v>175</v>
      </c>
      <c r="B120" s="6">
        <f t="shared" si="2"/>
        <v>119</v>
      </c>
      <c r="C120" s="16">
        <v>10510</v>
      </c>
      <c r="D120" s="6" t="s">
        <v>168</v>
      </c>
      <c r="E120" s="6" t="s">
        <v>147</v>
      </c>
      <c r="F120" s="3">
        <v>31</v>
      </c>
      <c r="G120" s="33">
        <f>VLOOKUP(C120,[7]ATTANDANCE!$B$7:$AS$40,43,0)</f>
        <v>31</v>
      </c>
      <c r="H120" s="8">
        <v>19464.3</v>
      </c>
      <c r="I120" s="8">
        <v>1800</v>
      </c>
      <c r="J120" s="8">
        <v>145.98224999999999</v>
      </c>
      <c r="K120" s="8">
        <v>150</v>
      </c>
      <c r="L120" s="8">
        <v>2095.98225</v>
      </c>
      <c r="M120" s="9">
        <v>17368</v>
      </c>
      <c r="N120" s="8">
        <v>1950</v>
      </c>
      <c r="O120" s="8">
        <v>632.58974999999998</v>
      </c>
      <c r="P120" s="6"/>
    </row>
    <row r="121" spans="1:16" x14ac:dyDescent="0.25">
      <c r="A121" s="2" t="s">
        <v>175</v>
      </c>
      <c r="B121" s="6">
        <f t="shared" si="2"/>
        <v>120</v>
      </c>
      <c r="C121" s="16">
        <v>11224</v>
      </c>
      <c r="D121" s="6" t="s">
        <v>169</v>
      </c>
      <c r="E121" s="6" t="s">
        <v>147</v>
      </c>
      <c r="F121" s="3">
        <v>31</v>
      </c>
      <c r="G121" s="33">
        <f>VLOOKUP(C121,[7]ATTANDANCE!$B$7:$AS$40,43,0)</f>
        <v>2</v>
      </c>
      <c r="H121" s="8">
        <v>1255.7612903225806</v>
      </c>
      <c r="I121" s="8">
        <v>150.69135483870966</v>
      </c>
      <c r="J121" s="8">
        <v>9.4182096774193536</v>
      </c>
      <c r="K121" s="8">
        <v>0</v>
      </c>
      <c r="L121" s="8">
        <v>160.10956451612901</v>
      </c>
      <c r="M121" s="9">
        <v>1096</v>
      </c>
      <c r="N121" s="8">
        <v>163.24896774193545</v>
      </c>
      <c r="O121" s="8">
        <v>40.812241935483875</v>
      </c>
      <c r="P121" s="6"/>
    </row>
    <row r="122" spans="1:16" x14ac:dyDescent="0.25">
      <c r="A122" s="2" t="s">
        <v>175</v>
      </c>
      <c r="B122" s="6">
        <f t="shared" si="2"/>
        <v>121</v>
      </c>
      <c r="C122" s="7">
        <v>11445</v>
      </c>
      <c r="D122" s="2" t="s">
        <v>170</v>
      </c>
      <c r="E122" s="6" t="s">
        <v>147</v>
      </c>
      <c r="F122" s="3">
        <v>31</v>
      </c>
      <c r="G122" s="33">
        <f>VLOOKUP(C122,[7]ATTANDANCE!$B$7:$AS$40,43,0)</f>
        <v>31</v>
      </c>
      <c r="H122" s="8">
        <v>19464.3</v>
      </c>
      <c r="I122" s="8">
        <v>1800</v>
      </c>
      <c r="J122" s="8">
        <v>145.98224999999999</v>
      </c>
      <c r="K122" s="8">
        <v>150</v>
      </c>
      <c r="L122" s="8">
        <v>2095.98225</v>
      </c>
      <c r="M122" s="9">
        <v>17368</v>
      </c>
      <c r="N122" s="8">
        <v>1950</v>
      </c>
      <c r="O122" s="8">
        <v>632.58974999999998</v>
      </c>
      <c r="P122" s="6"/>
    </row>
    <row r="123" spans="1:16" x14ac:dyDescent="0.25">
      <c r="A123" s="2" t="s">
        <v>175</v>
      </c>
      <c r="B123" s="6">
        <f t="shared" si="2"/>
        <v>122</v>
      </c>
      <c r="C123" s="16">
        <v>10303</v>
      </c>
      <c r="D123" s="6" t="s">
        <v>171</v>
      </c>
      <c r="E123" s="6" t="s">
        <v>147</v>
      </c>
      <c r="F123" s="3">
        <v>31</v>
      </c>
      <c r="G123" s="33">
        <f>VLOOKUP(C123,[7]ATTANDANCE!$B$7:$AS$40,43,0)</f>
        <v>31</v>
      </c>
      <c r="H123" s="8">
        <v>19464.3</v>
      </c>
      <c r="I123" s="8">
        <v>1800</v>
      </c>
      <c r="J123" s="8">
        <v>145.98224999999999</v>
      </c>
      <c r="K123" s="8">
        <v>150</v>
      </c>
      <c r="L123" s="8">
        <v>2095.98225</v>
      </c>
      <c r="M123" s="9">
        <v>17368</v>
      </c>
      <c r="N123" s="8">
        <v>1950</v>
      </c>
      <c r="O123" s="8">
        <v>632.58974999999998</v>
      </c>
      <c r="P123" s="6"/>
    </row>
    <row r="124" spans="1:16" x14ac:dyDescent="0.25">
      <c r="A124" s="2" t="s">
        <v>175</v>
      </c>
      <c r="B124" s="6">
        <f t="shared" si="2"/>
        <v>123</v>
      </c>
      <c r="C124" s="16">
        <v>11836</v>
      </c>
      <c r="D124" s="6" t="s">
        <v>172</v>
      </c>
      <c r="E124" s="6" t="s">
        <v>147</v>
      </c>
      <c r="F124" s="3">
        <v>31</v>
      </c>
      <c r="G124" s="33">
        <f>VLOOKUP(C124,[7]ATTANDANCE!$B$7:$AS$40,43,0)</f>
        <v>30</v>
      </c>
      <c r="H124" s="8">
        <v>18836.419354838708</v>
      </c>
      <c r="I124" s="8">
        <v>1800</v>
      </c>
      <c r="J124" s="8">
        <v>141.2731451612903</v>
      </c>
      <c r="K124" s="8">
        <v>150</v>
      </c>
      <c r="L124" s="8">
        <v>2091.2731451612904</v>
      </c>
      <c r="M124" s="9">
        <v>16745</v>
      </c>
      <c r="N124" s="8">
        <v>1950</v>
      </c>
      <c r="O124" s="8">
        <v>612.18362903225807</v>
      </c>
      <c r="P124" s="6"/>
    </row>
    <row r="125" spans="1:16" x14ac:dyDescent="0.25">
      <c r="A125" s="2" t="s">
        <v>175</v>
      </c>
      <c r="B125" s="6">
        <f t="shared" si="2"/>
        <v>124</v>
      </c>
      <c r="C125" s="16">
        <v>1</v>
      </c>
      <c r="D125" s="6" t="s">
        <v>173</v>
      </c>
      <c r="E125" s="6" t="s">
        <v>147</v>
      </c>
      <c r="F125" s="3">
        <v>31</v>
      </c>
      <c r="G125" s="33">
        <f>VLOOKUP(C125,[7]ATTANDANCE!$B$7:$AS$40,43,0)</f>
        <v>28</v>
      </c>
      <c r="H125" s="8">
        <v>17580.658064516127</v>
      </c>
      <c r="I125" s="8">
        <v>1800</v>
      </c>
      <c r="J125" s="8">
        <v>131.85493548387095</v>
      </c>
      <c r="K125" s="8">
        <v>150</v>
      </c>
      <c r="L125" s="8">
        <v>2081.854935483871</v>
      </c>
      <c r="M125" s="9">
        <v>15499</v>
      </c>
      <c r="N125" s="8">
        <v>1950</v>
      </c>
      <c r="O125" s="8">
        <v>571.37138709677413</v>
      </c>
      <c r="P125" s="6"/>
    </row>
    <row r="126" spans="1:16" x14ac:dyDescent="0.25">
      <c r="A126" s="2" t="s">
        <v>175</v>
      </c>
      <c r="B126" s="6">
        <f t="shared" si="2"/>
        <v>125</v>
      </c>
      <c r="C126" s="16">
        <v>11661</v>
      </c>
      <c r="D126" s="6" t="s">
        <v>174</v>
      </c>
      <c r="E126" s="6" t="s">
        <v>147</v>
      </c>
      <c r="F126" s="3">
        <v>31</v>
      </c>
      <c r="G126" s="33">
        <f>VLOOKUP(C126,[7]ATTANDANCE!$B$7:$AS$40,43,0)</f>
        <v>31</v>
      </c>
      <c r="H126" s="8">
        <v>19464.3</v>
      </c>
      <c r="I126" s="8">
        <v>1800</v>
      </c>
      <c r="J126" s="8">
        <v>145.98224999999999</v>
      </c>
      <c r="K126" s="8">
        <v>150</v>
      </c>
      <c r="L126" s="8">
        <v>2095.98225</v>
      </c>
      <c r="M126" s="9">
        <v>17368</v>
      </c>
      <c r="N126" s="8">
        <v>1950</v>
      </c>
      <c r="O126" s="8">
        <v>632.58974999999998</v>
      </c>
      <c r="P126" s="6"/>
    </row>
    <row r="127" spans="1:16" x14ac:dyDescent="0.25">
      <c r="A127" s="2" t="s">
        <v>191</v>
      </c>
      <c r="B127" s="6">
        <f t="shared" si="2"/>
        <v>126</v>
      </c>
      <c r="C127" s="16">
        <v>11536</v>
      </c>
      <c r="D127" s="2" t="s">
        <v>176</v>
      </c>
      <c r="E127" s="3" t="s">
        <v>141</v>
      </c>
      <c r="F127" s="8">
        <v>31</v>
      </c>
      <c r="G127" s="8">
        <f>VLOOKUP(C127,'[8]ATTENDANCE- ACCOM &amp; VILLA'!$B$7:$AQ$34,41,0)</f>
        <v>29</v>
      </c>
      <c r="H127" s="14">
        <v>41160.947898064514</v>
      </c>
      <c r="I127" s="14">
        <v>1800</v>
      </c>
      <c r="J127" s="14">
        <v>0</v>
      </c>
      <c r="K127" s="14">
        <v>200</v>
      </c>
      <c r="L127" s="24">
        <v>2000</v>
      </c>
      <c r="M127" s="34">
        <v>42161</v>
      </c>
      <c r="N127" s="8">
        <v>1950</v>
      </c>
      <c r="O127" s="14">
        <v>1800</v>
      </c>
      <c r="P127" s="14">
        <v>400</v>
      </c>
    </row>
    <row r="128" spans="1:16" x14ac:dyDescent="0.25">
      <c r="A128" s="2" t="s">
        <v>191</v>
      </c>
      <c r="B128" s="6">
        <f t="shared" si="2"/>
        <v>127</v>
      </c>
      <c r="C128" s="16">
        <v>11534</v>
      </c>
      <c r="D128" s="2" t="s">
        <v>177</v>
      </c>
      <c r="E128" s="2" t="s">
        <v>178</v>
      </c>
      <c r="F128" s="8">
        <v>31</v>
      </c>
      <c r="G128" s="8">
        <f>VLOOKUP(C128,'[8]ATTENDANCE- ACCOM &amp; VILLA'!$B$7:$AQ$34,41,0)</f>
        <v>31</v>
      </c>
      <c r="H128" s="14">
        <v>31770.190959999996</v>
      </c>
      <c r="I128" s="14">
        <v>1800</v>
      </c>
      <c r="J128" s="14">
        <v>0</v>
      </c>
      <c r="K128" s="14">
        <v>200</v>
      </c>
      <c r="L128" s="24">
        <v>4000</v>
      </c>
      <c r="M128" s="34">
        <v>27770</v>
      </c>
      <c r="N128" s="8">
        <v>1950</v>
      </c>
      <c r="O128" s="14">
        <v>1800</v>
      </c>
      <c r="P128" s="14">
        <v>400</v>
      </c>
    </row>
    <row r="129" spans="1:16" x14ac:dyDescent="0.25">
      <c r="A129" s="2" t="s">
        <v>191</v>
      </c>
      <c r="B129" s="6">
        <f t="shared" si="2"/>
        <v>128</v>
      </c>
      <c r="C129" s="16">
        <v>11501</v>
      </c>
      <c r="D129" s="2" t="s">
        <v>179</v>
      </c>
      <c r="E129" s="2" t="s">
        <v>178</v>
      </c>
      <c r="F129" s="8">
        <v>31</v>
      </c>
      <c r="G129" s="8">
        <f>VLOOKUP(C129,'[8]ATTENDANCE- ACCOM &amp; VILLA'!$B$7:$AQ$34,41,0)</f>
        <v>31</v>
      </c>
      <c r="H129" s="14">
        <v>32199.670959999999</v>
      </c>
      <c r="I129" s="14">
        <v>1800</v>
      </c>
      <c r="J129" s="14">
        <v>0</v>
      </c>
      <c r="K129" s="14">
        <v>200</v>
      </c>
      <c r="L129" s="24">
        <v>4000</v>
      </c>
      <c r="M129" s="34">
        <v>28200</v>
      </c>
      <c r="N129" s="8">
        <v>1950</v>
      </c>
      <c r="O129" s="14">
        <v>1800</v>
      </c>
      <c r="P129" s="14">
        <v>400</v>
      </c>
    </row>
    <row r="130" spans="1:16" x14ac:dyDescent="0.25">
      <c r="A130" s="2" t="s">
        <v>191</v>
      </c>
      <c r="B130" s="6">
        <f t="shared" si="2"/>
        <v>129</v>
      </c>
      <c r="C130" s="16">
        <v>11499</v>
      </c>
      <c r="D130" s="2" t="s">
        <v>180</v>
      </c>
      <c r="E130" s="2" t="s">
        <v>181</v>
      </c>
      <c r="F130" s="8">
        <v>31</v>
      </c>
      <c r="G130" s="8">
        <f>VLOOKUP(C130,'[8]ATTENDANCE- ACCOM &amp; VILLA'!$B$7:$AQ$34,41,0)</f>
        <v>31</v>
      </c>
      <c r="H130" s="14">
        <v>24500.072699999997</v>
      </c>
      <c r="I130" s="14">
        <v>1800</v>
      </c>
      <c r="J130" s="14">
        <v>0</v>
      </c>
      <c r="K130" s="14">
        <v>200</v>
      </c>
      <c r="L130" s="24">
        <v>4000</v>
      </c>
      <c r="M130" s="34">
        <v>20500</v>
      </c>
      <c r="N130" s="8">
        <v>1950</v>
      </c>
      <c r="O130" s="14">
        <v>1800</v>
      </c>
      <c r="P130" s="14">
        <v>400</v>
      </c>
    </row>
    <row r="131" spans="1:16" x14ac:dyDescent="0.25">
      <c r="A131" s="2" t="s">
        <v>191</v>
      </c>
      <c r="B131" s="6">
        <f t="shared" ref="B131:B194" si="3">B130+1</f>
        <v>130</v>
      </c>
      <c r="C131" s="16">
        <v>11529</v>
      </c>
      <c r="D131" s="2" t="s">
        <v>182</v>
      </c>
      <c r="E131" s="2" t="s">
        <v>20</v>
      </c>
      <c r="F131" s="8">
        <v>31</v>
      </c>
      <c r="G131" s="8">
        <f>VLOOKUP(C131,'[8]ATTENDANCE- ACCOM &amp; VILLA'!$B$7:$AQ$34,41,0)</f>
        <v>31</v>
      </c>
      <c r="H131" s="14">
        <v>19956.174299999999</v>
      </c>
      <c r="I131" s="14">
        <v>1800</v>
      </c>
      <c r="J131" s="14">
        <v>138.57130724999999</v>
      </c>
      <c r="K131" s="14">
        <v>150</v>
      </c>
      <c r="L131" s="24">
        <v>4088.5713072500002</v>
      </c>
      <c r="M131" s="34">
        <v>15868</v>
      </c>
      <c r="N131" s="8">
        <v>1950</v>
      </c>
      <c r="O131" s="14">
        <v>600.47566474999996</v>
      </c>
      <c r="P131" s="14">
        <v>400</v>
      </c>
    </row>
    <row r="132" spans="1:16" x14ac:dyDescent="0.25">
      <c r="A132" s="2" t="s">
        <v>191</v>
      </c>
      <c r="B132" s="6">
        <f t="shared" si="3"/>
        <v>131</v>
      </c>
      <c r="C132" s="16">
        <v>11838</v>
      </c>
      <c r="D132" s="2" t="s">
        <v>183</v>
      </c>
      <c r="E132" s="2" t="s">
        <v>20</v>
      </c>
      <c r="F132" s="8">
        <v>31</v>
      </c>
      <c r="G132" s="8">
        <f>VLOOKUP(C132,'[8]ATTENDANCE- ACCOM &amp; VILLA'!$B$7:$AQ$34,41,0)</f>
        <v>31</v>
      </c>
      <c r="H132" s="14">
        <v>19956.174299999999</v>
      </c>
      <c r="I132" s="14">
        <v>1800</v>
      </c>
      <c r="J132" s="14">
        <v>138.57130724999999</v>
      </c>
      <c r="K132" s="14">
        <v>150</v>
      </c>
      <c r="L132" s="24">
        <v>4088.5713072500002</v>
      </c>
      <c r="M132" s="34">
        <v>15868</v>
      </c>
      <c r="N132" s="8">
        <v>1950</v>
      </c>
      <c r="O132" s="14">
        <v>600.47566474999996</v>
      </c>
      <c r="P132" s="14">
        <v>400</v>
      </c>
    </row>
    <row r="133" spans="1:16" x14ac:dyDescent="0.25">
      <c r="A133" s="2" t="s">
        <v>191</v>
      </c>
      <c r="B133" s="6">
        <f t="shared" si="3"/>
        <v>132</v>
      </c>
      <c r="C133" s="16">
        <v>11509</v>
      </c>
      <c r="D133" s="2" t="s">
        <v>184</v>
      </c>
      <c r="E133" s="2" t="s">
        <v>20</v>
      </c>
      <c r="F133" s="8">
        <v>31</v>
      </c>
      <c r="G133" s="8">
        <f>VLOOKUP(C133,'[8]ATTENDANCE- ACCOM &amp; VILLA'!$B$7:$AQ$34,41,0)</f>
        <v>21</v>
      </c>
      <c r="H133" s="14">
        <v>13963.833958064517</v>
      </c>
      <c r="I133" s="14">
        <v>1555.3503975483873</v>
      </c>
      <c r="J133" s="14">
        <v>97.209399846774204</v>
      </c>
      <c r="K133" s="14">
        <v>0</v>
      </c>
      <c r="L133" s="24">
        <v>3007.3985070725807</v>
      </c>
      <c r="M133" s="34">
        <v>10956</v>
      </c>
      <c r="N133" s="8">
        <v>1684.9629306774195</v>
      </c>
      <c r="O133" s="14">
        <v>421.24073266935488</v>
      </c>
      <c r="P133" s="14">
        <v>400</v>
      </c>
    </row>
    <row r="134" spans="1:16" x14ac:dyDescent="0.25">
      <c r="A134" s="2" t="s">
        <v>191</v>
      </c>
      <c r="B134" s="6">
        <f t="shared" si="3"/>
        <v>133</v>
      </c>
      <c r="C134" s="16">
        <v>11975</v>
      </c>
      <c r="D134" s="2" t="s">
        <v>185</v>
      </c>
      <c r="E134" s="2" t="s">
        <v>20</v>
      </c>
      <c r="F134" s="8">
        <v>31</v>
      </c>
      <c r="G134" s="8">
        <f>VLOOKUP(C134,'[8]ATTENDANCE- ACCOM &amp; VILLA'!$B$7:$AQ$34,41,0)</f>
        <v>16</v>
      </c>
      <c r="H134" s="14">
        <v>10299.960929032257</v>
      </c>
      <c r="I134" s="14">
        <v>1144.3307953548385</v>
      </c>
      <c r="J134" s="14">
        <v>71.520674709677408</v>
      </c>
      <c r="K134" s="14">
        <v>0</v>
      </c>
      <c r="L134" s="24">
        <v>2248.1095345806452</v>
      </c>
      <c r="M134" s="34">
        <v>8052</v>
      </c>
      <c r="N134" s="8">
        <v>1239.6916949677418</v>
      </c>
      <c r="O134" s="14">
        <v>309.92292374193545</v>
      </c>
      <c r="P134" s="14">
        <v>400</v>
      </c>
    </row>
    <row r="135" spans="1:16" x14ac:dyDescent="0.25">
      <c r="A135" s="2" t="s">
        <v>191</v>
      </c>
      <c r="B135" s="6">
        <f t="shared" si="3"/>
        <v>134</v>
      </c>
      <c r="C135" s="16">
        <v>11977</v>
      </c>
      <c r="D135" s="2" t="s">
        <v>186</v>
      </c>
      <c r="E135" s="2" t="s">
        <v>20</v>
      </c>
      <c r="F135" s="8">
        <v>31</v>
      </c>
      <c r="G135" s="8">
        <f>VLOOKUP(C135,'[8]ATTENDANCE- ACCOM &amp; VILLA'!$B$7:$AQ$34,41,0)</f>
        <v>31</v>
      </c>
      <c r="H135" s="14">
        <v>19956.174299999999</v>
      </c>
      <c r="I135" s="14">
        <v>1800</v>
      </c>
      <c r="J135" s="14">
        <v>138.57130724999999</v>
      </c>
      <c r="K135" s="14">
        <v>150</v>
      </c>
      <c r="L135" s="24">
        <v>4088.5713072500002</v>
      </c>
      <c r="M135" s="34">
        <v>15868</v>
      </c>
      <c r="N135" s="8">
        <v>1950</v>
      </c>
      <c r="O135" s="14">
        <v>600.47566474999996</v>
      </c>
      <c r="P135" s="14">
        <v>400</v>
      </c>
    </row>
    <row r="136" spans="1:16" x14ac:dyDescent="0.25">
      <c r="A136" s="2" t="s">
        <v>191</v>
      </c>
      <c r="B136" s="6">
        <f t="shared" si="3"/>
        <v>135</v>
      </c>
      <c r="C136" s="16">
        <v>11530</v>
      </c>
      <c r="D136" s="2" t="s">
        <v>187</v>
      </c>
      <c r="E136" s="2" t="s">
        <v>20</v>
      </c>
      <c r="F136" s="8">
        <v>31</v>
      </c>
      <c r="G136" s="8">
        <f>VLOOKUP(C136,'[8]ATTENDANCE- ACCOM &amp; VILLA'!$B$7:$AQ$34,41,0)</f>
        <v>31</v>
      </c>
      <c r="H136" s="14">
        <v>19956.174299999999</v>
      </c>
      <c r="I136" s="14">
        <v>1800</v>
      </c>
      <c r="J136" s="14">
        <v>138.57130724999999</v>
      </c>
      <c r="K136" s="14">
        <v>150</v>
      </c>
      <c r="L136" s="24">
        <v>4088.5713072500002</v>
      </c>
      <c r="M136" s="34">
        <v>15868</v>
      </c>
      <c r="N136" s="8">
        <v>1950</v>
      </c>
      <c r="O136" s="14">
        <v>600.47566474999996</v>
      </c>
      <c r="P136" s="14">
        <v>400</v>
      </c>
    </row>
    <row r="137" spans="1:16" x14ac:dyDescent="0.25">
      <c r="A137" s="2" t="s">
        <v>191</v>
      </c>
      <c r="B137" s="6">
        <f t="shared" si="3"/>
        <v>136</v>
      </c>
      <c r="C137" s="16">
        <v>1</v>
      </c>
      <c r="D137" s="2" t="s">
        <v>188</v>
      </c>
      <c r="E137" s="2" t="s">
        <v>20</v>
      </c>
      <c r="F137" s="8">
        <v>31</v>
      </c>
      <c r="G137" s="8">
        <f>VLOOKUP(C137,'[8]ATTENDANCE- ACCOM &amp; VILLA'!$B$7:$AQ$34,41,0)</f>
        <v>23</v>
      </c>
      <c r="H137" s="14">
        <v>14135.44305483871</v>
      </c>
      <c r="I137" s="14">
        <v>1564.4854246451612</v>
      </c>
      <c r="J137" s="14">
        <v>97.780339040322573</v>
      </c>
      <c r="K137" s="14">
        <v>0</v>
      </c>
      <c r="L137" s="24">
        <v>3146.1367314274194</v>
      </c>
      <c r="M137" s="34">
        <v>10989</v>
      </c>
      <c r="N137" s="8">
        <v>1694.8592100322578</v>
      </c>
      <c r="O137" s="14">
        <v>423.71480250806445</v>
      </c>
      <c r="P137" s="14">
        <v>400</v>
      </c>
    </row>
    <row r="138" spans="1:16" x14ac:dyDescent="0.25">
      <c r="A138" s="2" t="s">
        <v>191</v>
      </c>
      <c r="B138" s="6">
        <f t="shared" si="3"/>
        <v>137</v>
      </c>
      <c r="C138" s="16">
        <v>3</v>
      </c>
      <c r="D138" s="2" t="s">
        <v>189</v>
      </c>
      <c r="E138" s="2" t="s">
        <v>20</v>
      </c>
      <c r="F138" s="8">
        <v>31</v>
      </c>
      <c r="G138" s="8">
        <f>VLOOKUP(C138,'[8]ATTENDANCE- ACCOM &amp; VILLA'!$B$7:$AQ$34,41,0)</f>
        <v>19</v>
      </c>
      <c r="H138" s="14">
        <v>11677.105132258066</v>
      </c>
      <c r="I138" s="14">
        <v>1292.401002967742</v>
      </c>
      <c r="J138" s="14">
        <v>80.775062685483874</v>
      </c>
      <c r="K138" s="14">
        <v>0</v>
      </c>
      <c r="L138" s="24">
        <v>2598.982517266129</v>
      </c>
      <c r="M138" s="34">
        <v>9078</v>
      </c>
      <c r="N138" s="8">
        <v>1400.101086548387</v>
      </c>
      <c r="O138" s="14">
        <v>350.02527163709675</v>
      </c>
      <c r="P138" s="14">
        <v>400</v>
      </c>
    </row>
    <row r="139" spans="1:16" x14ac:dyDescent="0.25">
      <c r="A139" s="2" t="s">
        <v>191</v>
      </c>
      <c r="B139" s="6">
        <f t="shared" si="3"/>
        <v>138</v>
      </c>
      <c r="C139" s="16">
        <v>2</v>
      </c>
      <c r="D139" s="2" t="s">
        <v>190</v>
      </c>
      <c r="E139" s="2" t="s">
        <v>20</v>
      </c>
      <c r="F139" s="8">
        <v>31</v>
      </c>
      <c r="G139" s="8">
        <f>VLOOKUP(C139,'[8]ATTENDANCE- ACCOM &amp; VILLA'!$B$7:$AQ$34,41,0)</f>
        <v>31</v>
      </c>
      <c r="H139" s="14">
        <v>19052.118900000001</v>
      </c>
      <c r="I139" s="14">
        <v>1800</v>
      </c>
      <c r="J139" s="14">
        <v>131.79089175000001</v>
      </c>
      <c r="K139" s="14">
        <v>150</v>
      </c>
      <c r="L139" s="24">
        <v>4081.7908917499999</v>
      </c>
      <c r="M139" s="34">
        <v>14970</v>
      </c>
      <c r="N139" s="8">
        <v>1950</v>
      </c>
      <c r="O139" s="14">
        <v>571.09386425000002</v>
      </c>
      <c r="P139" s="14">
        <v>400</v>
      </c>
    </row>
    <row r="140" spans="1:16" x14ac:dyDescent="0.25">
      <c r="A140" s="2" t="s">
        <v>191</v>
      </c>
      <c r="B140" s="6">
        <f t="shared" si="3"/>
        <v>139</v>
      </c>
      <c r="C140" s="35">
        <v>11690</v>
      </c>
      <c r="D140" s="3" t="s">
        <v>706</v>
      </c>
      <c r="E140" s="3" t="s">
        <v>707</v>
      </c>
      <c r="F140" s="8">
        <v>31</v>
      </c>
      <c r="G140" s="8">
        <v>31</v>
      </c>
      <c r="H140" s="27">
        <v>23000.113799999999</v>
      </c>
      <c r="I140" s="27">
        <v>1800</v>
      </c>
      <c r="J140" s="27">
        <v>0</v>
      </c>
      <c r="K140" s="27">
        <v>200</v>
      </c>
      <c r="L140" s="36">
        <v>2000</v>
      </c>
      <c r="M140" s="37">
        <v>21000</v>
      </c>
      <c r="N140" s="8">
        <v>1950</v>
      </c>
      <c r="O140" s="27">
        <v>1800</v>
      </c>
      <c r="P140" s="27">
        <v>400</v>
      </c>
    </row>
    <row r="141" spans="1:16" x14ac:dyDescent="0.25">
      <c r="A141" s="2" t="s">
        <v>191</v>
      </c>
      <c r="B141" s="6">
        <f t="shared" si="3"/>
        <v>140</v>
      </c>
      <c r="C141" s="20">
        <v>11531</v>
      </c>
      <c r="D141" s="3" t="s">
        <v>708</v>
      </c>
      <c r="E141" s="3" t="s">
        <v>709</v>
      </c>
      <c r="F141" s="8">
        <v>31</v>
      </c>
      <c r="G141" s="8">
        <v>31</v>
      </c>
      <c r="H141" s="27">
        <v>19243.666980000002</v>
      </c>
      <c r="I141" s="27">
        <v>1800</v>
      </c>
      <c r="J141" s="27">
        <v>119.01200235000002</v>
      </c>
      <c r="K141" s="27">
        <v>150</v>
      </c>
      <c r="L141" s="36">
        <v>2069.0120023500003</v>
      </c>
      <c r="M141" s="37">
        <v>17175</v>
      </c>
      <c r="N141" s="8">
        <v>1950</v>
      </c>
      <c r="O141" s="27">
        <v>515.71867685000007</v>
      </c>
      <c r="P141" s="27">
        <v>400</v>
      </c>
    </row>
    <row r="142" spans="1:16" x14ac:dyDescent="0.25">
      <c r="A142" s="2" t="s">
        <v>191</v>
      </c>
      <c r="B142" s="6">
        <f t="shared" si="3"/>
        <v>141</v>
      </c>
      <c r="C142" s="20">
        <v>11538</v>
      </c>
      <c r="D142" s="3" t="s">
        <v>710</v>
      </c>
      <c r="E142" s="3" t="s">
        <v>709</v>
      </c>
      <c r="F142" s="8">
        <v>31</v>
      </c>
      <c r="G142" s="8">
        <v>10</v>
      </c>
      <c r="H142" s="27">
        <v>6207.6345096774185</v>
      </c>
      <c r="I142" s="27">
        <v>614.25549599999988</v>
      </c>
      <c r="J142" s="27">
        <v>38.390968499999993</v>
      </c>
      <c r="K142" s="27">
        <v>0</v>
      </c>
      <c r="L142" s="36">
        <v>652.64646449999987</v>
      </c>
      <c r="M142" s="37">
        <v>5555</v>
      </c>
      <c r="N142" s="8">
        <v>665.44345399999986</v>
      </c>
      <c r="O142" s="27">
        <v>166.36086349999997</v>
      </c>
      <c r="P142" s="27">
        <v>400</v>
      </c>
    </row>
    <row r="143" spans="1:16" x14ac:dyDescent="0.25">
      <c r="A143" s="2" t="s">
        <v>191</v>
      </c>
      <c r="B143" s="6">
        <f t="shared" si="3"/>
        <v>142</v>
      </c>
      <c r="C143" s="20">
        <v>11513</v>
      </c>
      <c r="D143" s="3" t="s">
        <v>711</v>
      </c>
      <c r="E143" s="3" t="s">
        <v>709</v>
      </c>
      <c r="F143" s="8">
        <v>31</v>
      </c>
      <c r="G143" s="8">
        <v>31</v>
      </c>
      <c r="H143" s="27">
        <v>19243.666980000002</v>
      </c>
      <c r="I143" s="27">
        <v>1800</v>
      </c>
      <c r="J143" s="27">
        <v>119.01200235000002</v>
      </c>
      <c r="K143" s="27">
        <v>150</v>
      </c>
      <c r="L143" s="36">
        <v>2069.0120023500003</v>
      </c>
      <c r="M143" s="37">
        <v>17175</v>
      </c>
      <c r="N143" s="8">
        <v>1950</v>
      </c>
      <c r="O143" s="27">
        <v>515.71867685000007</v>
      </c>
      <c r="P143" s="27">
        <v>400</v>
      </c>
    </row>
    <row r="144" spans="1:16" x14ac:dyDescent="0.25">
      <c r="A144" s="2" t="s">
        <v>191</v>
      </c>
      <c r="B144" s="6">
        <f t="shared" si="3"/>
        <v>143</v>
      </c>
      <c r="C144" s="20">
        <v>11511</v>
      </c>
      <c r="D144" s="3" t="s">
        <v>712</v>
      </c>
      <c r="E144" s="3" t="s">
        <v>709</v>
      </c>
      <c r="F144" s="8">
        <v>31</v>
      </c>
      <c r="G144" s="8">
        <v>27</v>
      </c>
      <c r="H144" s="27">
        <v>16760.613176129031</v>
      </c>
      <c r="I144" s="27">
        <v>1658.4898391999996</v>
      </c>
      <c r="J144" s="27">
        <v>103.65561494999997</v>
      </c>
      <c r="K144" s="27">
        <v>150</v>
      </c>
      <c r="L144" s="36">
        <v>1912.1454541499995</v>
      </c>
      <c r="M144" s="37">
        <v>14848</v>
      </c>
      <c r="N144" s="8">
        <v>1796.6973257999996</v>
      </c>
      <c r="O144" s="27">
        <v>449.1743314499999</v>
      </c>
      <c r="P144" s="27">
        <v>400</v>
      </c>
    </row>
    <row r="145" spans="1:16" x14ac:dyDescent="0.25">
      <c r="A145" s="2" t="s">
        <v>191</v>
      </c>
      <c r="B145" s="6">
        <f t="shared" si="3"/>
        <v>144</v>
      </c>
      <c r="C145" s="20">
        <v>11539</v>
      </c>
      <c r="D145" s="3" t="s">
        <v>713</v>
      </c>
      <c r="E145" s="3" t="s">
        <v>709</v>
      </c>
      <c r="F145" s="8">
        <v>31</v>
      </c>
      <c r="G145" s="8">
        <v>31</v>
      </c>
      <c r="H145" s="27">
        <v>19243.666980000002</v>
      </c>
      <c r="I145" s="27">
        <v>1800</v>
      </c>
      <c r="J145" s="27">
        <v>119.01200235000002</v>
      </c>
      <c r="K145" s="27">
        <v>150</v>
      </c>
      <c r="L145" s="36">
        <v>2069.0120023500003</v>
      </c>
      <c r="M145" s="37">
        <v>17175</v>
      </c>
      <c r="N145" s="8">
        <v>1950</v>
      </c>
      <c r="O145" s="27">
        <v>515.71867685000007</v>
      </c>
      <c r="P145" s="27">
        <v>400</v>
      </c>
    </row>
    <row r="146" spans="1:16" x14ac:dyDescent="0.25">
      <c r="A146" s="2" t="s">
        <v>191</v>
      </c>
      <c r="B146" s="6">
        <f t="shared" si="3"/>
        <v>145</v>
      </c>
      <c r="C146" s="20">
        <v>11670</v>
      </c>
      <c r="D146" s="38" t="s">
        <v>714</v>
      </c>
      <c r="E146" s="3" t="s">
        <v>709</v>
      </c>
      <c r="F146" s="8">
        <v>31</v>
      </c>
      <c r="G146" s="8">
        <v>31</v>
      </c>
      <c r="H146" s="27">
        <v>18668.808000000001</v>
      </c>
      <c r="I146" s="27">
        <v>1800</v>
      </c>
      <c r="J146" s="27">
        <v>118.71606</v>
      </c>
      <c r="K146" s="27">
        <v>150</v>
      </c>
      <c r="L146" s="36">
        <v>2068.7160599999997</v>
      </c>
      <c r="M146" s="37">
        <v>16600</v>
      </c>
      <c r="N146" s="8">
        <v>1950</v>
      </c>
      <c r="O146" s="27">
        <v>514.43626000000006</v>
      </c>
      <c r="P146" s="27">
        <v>400</v>
      </c>
    </row>
    <row r="147" spans="1:16" x14ac:dyDescent="0.25">
      <c r="A147" s="2" t="s">
        <v>191</v>
      </c>
      <c r="B147" s="6">
        <f t="shared" si="3"/>
        <v>146</v>
      </c>
      <c r="C147" s="20">
        <v>1</v>
      </c>
      <c r="D147" s="38" t="s">
        <v>715</v>
      </c>
      <c r="E147" s="3" t="s">
        <v>709</v>
      </c>
      <c r="F147" s="8">
        <v>31</v>
      </c>
      <c r="G147" s="8">
        <v>14</v>
      </c>
      <c r="H147" s="27">
        <v>8308.3956967741942</v>
      </c>
      <c r="I147" s="27">
        <v>856.80877393548394</v>
      </c>
      <c r="J147" s="27">
        <v>53.550548370967746</v>
      </c>
      <c r="K147" s="27">
        <v>0</v>
      </c>
      <c r="L147" s="36">
        <v>910.35932230645165</v>
      </c>
      <c r="M147" s="37">
        <v>7398</v>
      </c>
      <c r="N147" s="8">
        <v>928.20950509677425</v>
      </c>
      <c r="O147" s="27">
        <v>232.05237627419356</v>
      </c>
      <c r="P147" s="27">
        <v>400</v>
      </c>
    </row>
    <row r="148" spans="1:16" x14ac:dyDescent="0.25">
      <c r="A148" s="2" t="s">
        <v>191</v>
      </c>
      <c r="B148" s="6">
        <f t="shared" si="3"/>
        <v>147</v>
      </c>
      <c r="C148" s="20">
        <v>11533</v>
      </c>
      <c r="D148" s="3" t="s">
        <v>716</v>
      </c>
      <c r="E148" s="3" t="s">
        <v>20</v>
      </c>
      <c r="F148" s="8">
        <v>31</v>
      </c>
      <c r="G148" s="8">
        <v>31</v>
      </c>
      <c r="H148" s="27">
        <v>19213.173900000002</v>
      </c>
      <c r="I148" s="27">
        <v>1800</v>
      </c>
      <c r="J148" s="27">
        <v>118.99630425000001</v>
      </c>
      <c r="K148" s="27">
        <v>150</v>
      </c>
      <c r="L148" s="36">
        <v>2068.9963042500003</v>
      </c>
      <c r="M148" s="37">
        <v>17144</v>
      </c>
      <c r="N148" s="8">
        <v>1950</v>
      </c>
      <c r="O148" s="27">
        <v>515.65065175000007</v>
      </c>
      <c r="P148" s="27">
        <v>400</v>
      </c>
    </row>
    <row r="149" spans="1:16" x14ac:dyDescent="0.25">
      <c r="A149" s="2" t="s">
        <v>191</v>
      </c>
      <c r="B149" s="6">
        <f t="shared" si="3"/>
        <v>148</v>
      </c>
      <c r="C149" s="20">
        <v>11703</v>
      </c>
      <c r="D149" s="3" t="s">
        <v>717</v>
      </c>
      <c r="E149" s="3" t="s">
        <v>20</v>
      </c>
      <c r="F149" s="8">
        <v>31</v>
      </c>
      <c r="G149" s="8">
        <v>28</v>
      </c>
      <c r="H149" s="27">
        <v>15416.186980645161</v>
      </c>
      <c r="I149" s="27">
        <v>1703.7282441290322</v>
      </c>
      <c r="J149" s="27">
        <v>106.48301525806451</v>
      </c>
      <c r="K149" s="27">
        <v>150</v>
      </c>
      <c r="L149" s="36">
        <v>1960.2112593870968</v>
      </c>
      <c r="M149" s="37">
        <v>13456</v>
      </c>
      <c r="N149" s="8">
        <v>1845.7055978064516</v>
      </c>
      <c r="O149" s="27">
        <v>461.42639945161289</v>
      </c>
      <c r="P149" s="27">
        <v>400</v>
      </c>
    </row>
    <row r="150" spans="1:16" x14ac:dyDescent="0.25">
      <c r="A150" s="2" t="s">
        <v>705</v>
      </c>
      <c r="B150" s="6">
        <f t="shared" si="3"/>
        <v>149</v>
      </c>
      <c r="C150" s="39">
        <v>10905</v>
      </c>
      <c r="D150" s="40" t="s">
        <v>192</v>
      </c>
      <c r="E150" s="6" t="s">
        <v>193</v>
      </c>
      <c r="F150" s="2">
        <v>30</v>
      </c>
      <c r="G150" s="8">
        <f ca="1">VLOOKUP(C150,'[9]ATTENDANCE '!$B$4:$AS$11,43,0)-H150</f>
        <v>35</v>
      </c>
      <c r="H150" s="14">
        <f ca="1">A150+B150+C150+D150+E150+F150+G150</f>
        <v>33840.892866666669</v>
      </c>
      <c r="I150" s="14">
        <f ca="1">IF((H150-C150)&lt;15000,(H150-C150)*12%,1800)</f>
        <v>1800</v>
      </c>
      <c r="J150" s="14">
        <v>0</v>
      </c>
      <c r="K150" s="14">
        <f ca="1">IF(H150&gt;20000,200,IF(H150&gt;15000,150,0))</f>
        <v>200</v>
      </c>
      <c r="L150" s="14">
        <f t="shared" ref="L150:L153" ca="1" si="4">I150+J150+K150</f>
        <v>2000</v>
      </c>
      <c r="M150" s="15">
        <v>31840.892866666669</v>
      </c>
      <c r="N150" s="8">
        <v>1950</v>
      </c>
      <c r="O150" s="2">
        <v>1300</v>
      </c>
      <c r="P150" s="2">
        <v>500</v>
      </c>
    </row>
    <row r="151" spans="1:16" x14ac:dyDescent="0.25">
      <c r="A151" s="2" t="s">
        <v>705</v>
      </c>
      <c r="B151" s="6">
        <f t="shared" si="3"/>
        <v>150</v>
      </c>
      <c r="C151" s="7">
        <v>11057</v>
      </c>
      <c r="D151" s="6" t="s">
        <v>194</v>
      </c>
      <c r="E151" s="6" t="s">
        <v>193</v>
      </c>
      <c r="F151" s="2">
        <v>30</v>
      </c>
      <c r="G151" s="8">
        <f ca="1">VLOOKUP(C151,'[9]ATTENDANCE '!$B$4:$AS$11,43,0)-H151</f>
        <v>30</v>
      </c>
      <c r="H151" s="14">
        <f ca="1">A151+B151+C151+D151+E151+F151+G151</f>
        <v>29006.479600000006</v>
      </c>
      <c r="I151" s="14">
        <f ca="1">IF((H151-C151)&lt;15000,(H151-C151)*12%,1800)</f>
        <v>1800</v>
      </c>
      <c r="J151" s="14">
        <v>0</v>
      </c>
      <c r="K151" s="14">
        <f ca="1">IF(H151&gt;20000,200,IF(H151&gt;15000,150,0))</f>
        <v>200</v>
      </c>
      <c r="L151" s="14">
        <f ca="1">I151+J151+K151</f>
        <v>2000</v>
      </c>
      <c r="M151" s="15">
        <v>27006.479600000006</v>
      </c>
      <c r="N151" s="8">
        <v>1950</v>
      </c>
      <c r="O151" s="2">
        <v>1300</v>
      </c>
      <c r="P151" s="2">
        <v>500</v>
      </c>
    </row>
    <row r="152" spans="1:16" x14ac:dyDescent="0.25">
      <c r="A152" s="2" t="s">
        <v>705</v>
      </c>
      <c r="B152" s="6">
        <f t="shared" si="3"/>
        <v>151</v>
      </c>
      <c r="C152" s="41">
        <v>11046</v>
      </c>
      <c r="D152" s="42" t="s">
        <v>195</v>
      </c>
      <c r="E152" s="6" t="s">
        <v>193</v>
      </c>
      <c r="F152" s="2">
        <v>30</v>
      </c>
      <c r="G152" s="8">
        <f ca="1">VLOOKUP(C152,'[9]ATTENDANCE '!$B$4:$AS$11,43,0)-H152</f>
        <v>32</v>
      </c>
      <c r="H152" s="14">
        <f t="shared" ref="H152:H153" ca="1" si="5">A152+B152+C152+D152+E152+F152+G152</f>
        <v>27435.648426666667</v>
      </c>
      <c r="I152" s="14">
        <f t="shared" ref="I152:I200" ca="1" si="6">IF((H152-C152)&lt;15000,(H152-C152)*12%,1800)</f>
        <v>1800</v>
      </c>
      <c r="J152" s="14">
        <v>0</v>
      </c>
      <c r="K152" s="14">
        <f t="shared" ref="K152:K165" ca="1" si="7">IF(H152&gt;20000,200,IF(H152&gt;15000,150,0))</f>
        <v>200</v>
      </c>
      <c r="L152" s="14">
        <f t="shared" ca="1" si="4"/>
        <v>2000</v>
      </c>
      <c r="M152" s="15">
        <v>25435.648426666667</v>
      </c>
      <c r="N152" s="8">
        <v>1950</v>
      </c>
      <c r="O152" s="2">
        <v>1300</v>
      </c>
      <c r="P152" s="2">
        <v>500</v>
      </c>
    </row>
    <row r="153" spans="1:16" x14ac:dyDescent="0.25">
      <c r="A153" s="2" t="s">
        <v>705</v>
      </c>
      <c r="B153" s="6">
        <f t="shared" si="3"/>
        <v>152</v>
      </c>
      <c r="C153" s="7">
        <v>11899</v>
      </c>
      <c r="D153" s="6" t="s">
        <v>196</v>
      </c>
      <c r="E153" s="6" t="s">
        <v>193</v>
      </c>
      <c r="F153" s="2">
        <v>30</v>
      </c>
      <c r="G153" s="8">
        <f ca="1">VLOOKUP(C153,'[9]ATTENDANCE '!$B$4:$AS$11,43,0)-H153</f>
        <v>21</v>
      </c>
      <c r="H153" s="14">
        <f t="shared" ca="1" si="5"/>
        <v>15679.75402</v>
      </c>
      <c r="I153" s="14">
        <f t="shared" ca="1" si="6"/>
        <v>1723.5704823999999</v>
      </c>
      <c r="J153" s="14">
        <v>0</v>
      </c>
      <c r="K153" s="14">
        <f t="shared" ca="1" si="7"/>
        <v>150</v>
      </c>
      <c r="L153" s="14">
        <f t="shared" ca="1" si="4"/>
        <v>1873.5704823999999</v>
      </c>
      <c r="M153" s="15">
        <v>13806.1835376</v>
      </c>
      <c r="N153" s="8">
        <v>1950</v>
      </c>
      <c r="O153" s="2">
        <v>1300</v>
      </c>
      <c r="P153" s="2">
        <v>500</v>
      </c>
    </row>
    <row r="154" spans="1:16" x14ac:dyDescent="0.25">
      <c r="A154" s="2" t="s">
        <v>252</v>
      </c>
      <c r="B154" s="6">
        <f t="shared" si="3"/>
        <v>153</v>
      </c>
      <c r="C154" s="7">
        <v>11737</v>
      </c>
      <c r="D154" s="6" t="s">
        <v>197</v>
      </c>
      <c r="E154" s="6" t="s">
        <v>198</v>
      </c>
      <c r="F154" s="3">
        <v>30</v>
      </c>
      <c r="G154" s="43" t="e">
        <f ca="1">VLOOKUP(C154,[10]ATTANDANCE!$B$5:$AQ$110,42,0)-H154-1</f>
        <v>#REF!</v>
      </c>
      <c r="H154" s="8" t="e">
        <f t="shared" ref="H154:H165" ca="1" si="8">SUM(A154:G154)</f>
        <v>#REF!</v>
      </c>
      <c r="I154" s="8" t="e">
        <f t="shared" ca="1" si="6"/>
        <v>#REF!</v>
      </c>
      <c r="J154" s="8">
        <v>0</v>
      </c>
      <c r="K154" s="8" t="e">
        <f t="shared" ca="1" si="7"/>
        <v>#REF!</v>
      </c>
      <c r="L154" s="8" t="e">
        <f t="shared" ref="L154:L200" ca="1" si="9">H154+I154+J154+K154</f>
        <v>#REF!</v>
      </c>
      <c r="M154" s="9">
        <v>30521</v>
      </c>
      <c r="N154" s="8">
        <v>1950</v>
      </c>
      <c r="O154" s="8">
        <v>1800</v>
      </c>
      <c r="P154" s="8">
        <v>600</v>
      </c>
    </row>
    <row r="155" spans="1:16" x14ac:dyDescent="0.25">
      <c r="A155" s="2" t="s">
        <v>252</v>
      </c>
      <c r="B155" s="6">
        <f t="shared" si="3"/>
        <v>154</v>
      </c>
      <c r="C155" s="7">
        <v>12054</v>
      </c>
      <c r="D155" s="6" t="s">
        <v>199</v>
      </c>
      <c r="E155" s="6" t="s">
        <v>143</v>
      </c>
      <c r="F155" s="3">
        <v>30</v>
      </c>
      <c r="G155" s="43" t="e">
        <f ca="1">VLOOKUP(C155,[10]ATTANDANCE!$B$5:$AQ$110,42,0)-H155</f>
        <v>#REF!</v>
      </c>
      <c r="H155" s="8" t="e">
        <f t="shared" ca="1" si="8"/>
        <v>#REF!</v>
      </c>
      <c r="I155" s="8" t="e">
        <f t="shared" ca="1" si="6"/>
        <v>#REF!</v>
      </c>
      <c r="J155" s="8">
        <v>0</v>
      </c>
      <c r="K155" s="8" t="e">
        <f t="shared" ca="1" si="7"/>
        <v>#REF!</v>
      </c>
      <c r="L155" s="8" t="e">
        <f t="shared" ca="1" si="9"/>
        <v>#REF!</v>
      </c>
      <c r="M155" s="9">
        <v>22607</v>
      </c>
      <c r="N155" s="8">
        <v>1950</v>
      </c>
      <c r="O155" s="8">
        <v>1800</v>
      </c>
      <c r="P155" s="8">
        <v>600</v>
      </c>
    </row>
    <row r="156" spans="1:16" x14ac:dyDescent="0.25">
      <c r="A156" s="2" t="s">
        <v>252</v>
      </c>
      <c r="B156" s="6">
        <f t="shared" si="3"/>
        <v>155</v>
      </c>
      <c r="C156" s="7">
        <v>11936</v>
      </c>
      <c r="D156" s="6" t="s">
        <v>200</v>
      </c>
      <c r="E156" s="6" t="s">
        <v>143</v>
      </c>
      <c r="F156" s="3">
        <v>30</v>
      </c>
      <c r="G156" s="43" t="e">
        <f ca="1">VLOOKUP(C156,[10]ATTANDANCE!$B$5:$AQ$110,42,0)-H156</f>
        <v>#REF!</v>
      </c>
      <c r="H156" s="8" t="e">
        <f t="shared" ca="1" si="8"/>
        <v>#REF!</v>
      </c>
      <c r="I156" s="8" t="e">
        <f t="shared" ca="1" si="6"/>
        <v>#REF!</v>
      </c>
      <c r="J156" s="8">
        <v>0</v>
      </c>
      <c r="K156" s="8" t="e">
        <f t="shared" ca="1" si="7"/>
        <v>#REF!</v>
      </c>
      <c r="L156" s="8" t="e">
        <f t="shared" ca="1" si="9"/>
        <v>#REF!</v>
      </c>
      <c r="M156" s="9">
        <v>5476</v>
      </c>
      <c r="N156" s="8">
        <v>1950</v>
      </c>
      <c r="O156" s="8">
        <v>1800</v>
      </c>
      <c r="P156" s="8">
        <v>600</v>
      </c>
    </row>
    <row r="157" spans="1:16" x14ac:dyDescent="0.25">
      <c r="A157" s="2" t="s">
        <v>252</v>
      </c>
      <c r="B157" s="6">
        <f t="shared" si="3"/>
        <v>156</v>
      </c>
      <c r="C157" s="7">
        <v>12087</v>
      </c>
      <c r="D157" s="6" t="s">
        <v>201</v>
      </c>
      <c r="E157" s="6" t="s">
        <v>143</v>
      </c>
      <c r="F157" s="3">
        <v>30</v>
      </c>
      <c r="G157" s="43" t="e">
        <f ca="1">VLOOKUP(C157,[10]ATTANDANCE!$B$5:$AQ$110,42,0)-H157</f>
        <v>#REF!</v>
      </c>
      <c r="H157" s="8" t="e">
        <f t="shared" ca="1" si="8"/>
        <v>#REF!</v>
      </c>
      <c r="I157" s="8" t="e">
        <f t="shared" ca="1" si="6"/>
        <v>#REF!</v>
      </c>
      <c r="J157" s="8">
        <v>0</v>
      </c>
      <c r="K157" s="8" t="e">
        <f t="shared" ca="1" si="7"/>
        <v>#REF!</v>
      </c>
      <c r="L157" s="8" t="e">
        <f t="shared" ca="1" si="9"/>
        <v>#REF!</v>
      </c>
      <c r="M157" s="9">
        <v>19961</v>
      </c>
      <c r="N157" s="8">
        <v>1950</v>
      </c>
      <c r="O157" s="8">
        <v>1800</v>
      </c>
      <c r="P157" s="8">
        <v>600</v>
      </c>
    </row>
    <row r="158" spans="1:16" x14ac:dyDescent="0.25">
      <c r="A158" s="2" t="s">
        <v>252</v>
      </c>
      <c r="B158" s="6">
        <f t="shared" si="3"/>
        <v>157</v>
      </c>
      <c r="C158" s="7">
        <v>11409</v>
      </c>
      <c r="D158" s="6" t="s">
        <v>202</v>
      </c>
      <c r="E158" s="6" t="s">
        <v>114</v>
      </c>
      <c r="F158" s="3">
        <v>30</v>
      </c>
      <c r="G158" s="43" t="e">
        <f ca="1">VLOOKUP(C158,[10]ATTANDANCE!$B$5:$AQ$110,42,0)-H158</f>
        <v>#REF!</v>
      </c>
      <c r="H158" s="8" t="e">
        <f t="shared" ca="1" si="8"/>
        <v>#REF!</v>
      </c>
      <c r="I158" s="8" t="e">
        <f t="shared" ca="1" si="6"/>
        <v>#REF!</v>
      </c>
      <c r="J158" s="8" t="e">
        <f ca="1">H158*0.75%</f>
        <v>#REF!</v>
      </c>
      <c r="K158" s="8" t="e">
        <f t="shared" ca="1" si="7"/>
        <v>#REF!</v>
      </c>
      <c r="L158" s="8" t="e">
        <f t="shared" ca="1" si="9"/>
        <v>#REF!</v>
      </c>
      <c r="M158" s="9">
        <v>10344</v>
      </c>
      <c r="N158" s="8">
        <v>1950</v>
      </c>
      <c r="O158" s="8" t="e">
        <f t="shared" ref="O158:O165" ca="1" si="10">G158*3.25%</f>
        <v>#REF!</v>
      </c>
      <c r="P158" s="8">
        <v>400</v>
      </c>
    </row>
    <row r="159" spans="1:16" x14ac:dyDescent="0.25">
      <c r="A159" s="2" t="s">
        <v>252</v>
      </c>
      <c r="B159" s="6">
        <f t="shared" si="3"/>
        <v>158</v>
      </c>
      <c r="C159" s="7">
        <v>11942</v>
      </c>
      <c r="D159" s="6" t="s">
        <v>203</v>
      </c>
      <c r="E159" s="6" t="s">
        <v>204</v>
      </c>
      <c r="F159" s="3">
        <v>30</v>
      </c>
      <c r="G159" s="43" t="e">
        <f ca="1">VLOOKUP(C159,[10]ATTANDANCE!$B$5:$AQ$110,42,0)-H159</f>
        <v>#REF!</v>
      </c>
      <c r="H159" s="8" t="e">
        <f t="shared" ca="1" si="8"/>
        <v>#REF!</v>
      </c>
      <c r="I159" s="8" t="e">
        <f t="shared" ca="1" si="6"/>
        <v>#REF!</v>
      </c>
      <c r="J159" s="8" t="e">
        <f ca="1">H159*0.75%</f>
        <v>#REF!</v>
      </c>
      <c r="K159" s="8" t="e">
        <f t="shared" ca="1" si="7"/>
        <v>#REF!</v>
      </c>
      <c r="L159" s="8" t="e">
        <f t="shared" ca="1" si="9"/>
        <v>#REF!</v>
      </c>
      <c r="M159" s="9">
        <v>18322</v>
      </c>
      <c r="N159" s="8">
        <v>1950</v>
      </c>
      <c r="O159" s="8" t="e">
        <f t="shared" ca="1" si="10"/>
        <v>#REF!</v>
      </c>
      <c r="P159" s="8">
        <v>400</v>
      </c>
    </row>
    <row r="160" spans="1:16" x14ac:dyDescent="0.25">
      <c r="A160" s="2" t="s">
        <v>252</v>
      </c>
      <c r="B160" s="6">
        <f t="shared" si="3"/>
        <v>159</v>
      </c>
      <c r="C160" s="7">
        <v>11301</v>
      </c>
      <c r="D160" s="6" t="s">
        <v>205</v>
      </c>
      <c r="E160" s="6" t="s">
        <v>204</v>
      </c>
      <c r="F160" s="3">
        <v>30</v>
      </c>
      <c r="G160" s="43" t="e">
        <f ca="1">VLOOKUP(C160,[10]ATTANDANCE!$B$5:$AQ$110,42,0)-H160</f>
        <v>#REF!</v>
      </c>
      <c r="H160" s="8" t="e">
        <f t="shared" ca="1" si="8"/>
        <v>#REF!</v>
      </c>
      <c r="I160" s="8" t="e">
        <f t="shared" ca="1" si="6"/>
        <v>#REF!</v>
      </c>
      <c r="J160" s="8" t="e">
        <f t="shared" ref="J160:J200" ca="1" si="11">H160*0.75%</f>
        <v>#REF!</v>
      </c>
      <c r="K160" s="8" t="e">
        <f t="shared" ca="1" si="7"/>
        <v>#REF!</v>
      </c>
      <c r="L160" s="8" t="e">
        <f t="shared" ca="1" si="9"/>
        <v>#REF!</v>
      </c>
      <c r="M160" s="9">
        <v>18048</v>
      </c>
      <c r="N160" s="8">
        <v>1950</v>
      </c>
      <c r="O160" s="8" t="e">
        <f t="shared" ca="1" si="10"/>
        <v>#REF!</v>
      </c>
      <c r="P160" s="8">
        <v>400</v>
      </c>
    </row>
    <row r="161" spans="1:16" x14ac:dyDescent="0.25">
      <c r="A161" s="2" t="s">
        <v>252</v>
      </c>
      <c r="B161" s="6">
        <f t="shared" si="3"/>
        <v>160</v>
      </c>
      <c r="C161" s="7">
        <v>11932</v>
      </c>
      <c r="D161" s="6" t="s">
        <v>206</v>
      </c>
      <c r="E161" s="6" t="s">
        <v>204</v>
      </c>
      <c r="F161" s="3">
        <v>30</v>
      </c>
      <c r="G161" s="43" t="e">
        <f ca="1">VLOOKUP(C161,[10]ATTANDANCE!$B$5:$AQ$110,42,0)-H161</f>
        <v>#REF!</v>
      </c>
      <c r="H161" s="8" t="e">
        <f t="shared" ca="1" si="8"/>
        <v>#REF!</v>
      </c>
      <c r="I161" s="8" t="e">
        <f t="shared" ca="1" si="6"/>
        <v>#REF!</v>
      </c>
      <c r="J161" s="8" t="e">
        <f t="shared" ca="1" si="11"/>
        <v>#REF!</v>
      </c>
      <c r="K161" s="8" t="e">
        <f t="shared" ca="1" si="7"/>
        <v>#REF!</v>
      </c>
      <c r="L161" s="8" t="e">
        <f t="shared" ca="1" si="9"/>
        <v>#REF!</v>
      </c>
      <c r="M161" s="9">
        <v>17171</v>
      </c>
      <c r="N161" s="8">
        <v>1950</v>
      </c>
      <c r="O161" s="8" t="e">
        <f t="shared" ca="1" si="10"/>
        <v>#REF!</v>
      </c>
      <c r="P161" s="8">
        <v>400</v>
      </c>
    </row>
    <row r="162" spans="1:16" x14ac:dyDescent="0.25">
      <c r="A162" s="2" t="s">
        <v>252</v>
      </c>
      <c r="B162" s="6">
        <f t="shared" si="3"/>
        <v>161</v>
      </c>
      <c r="C162" s="7">
        <v>11304</v>
      </c>
      <c r="D162" s="6" t="s">
        <v>207</v>
      </c>
      <c r="E162" s="6" t="s">
        <v>204</v>
      </c>
      <c r="F162" s="3">
        <v>30</v>
      </c>
      <c r="G162" s="43" t="e">
        <f ca="1">VLOOKUP(C162,[10]ATTANDANCE!$B$5:$AQ$110,42,0)-H162</f>
        <v>#REF!</v>
      </c>
      <c r="H162" s="8" t="e">
        <f t="shared" ca="1" si="8"/>
        <v>#REF!</v>
      </c>
      <c r="I162" s="8" t="e">
        <f t="shared" ca="1" si="6"/>
        <v>#REF!</v>
      </c>
      <c r="J162" s="8" t="e">
        <f t="shared" ca="1" si="11"/>
        <v>#REF!</v>
      </c>
      <c r="K162" s="8" t="e">
        <f t="shared" ca="1" si="7"/>
        <v>#REF!</v>
      </c>
      <c r="L162" s="8" t="e">
        <f t="shared" ca="1" si="9"/>
        <v>#REF!</v>
      </c>
      <c r="M162" s="9">
        <v>17366</v>
      </c>
      <c r="N162" s="8">
        <v>1950</v>
      </c>
      <c r="O162" s="8" t="e">
        <f t="shared" ca="1" si="10"/>
        <v>#REF!</v>
      </c>
      <c r="P162" s="8">
        <v>400</v>
      </c>
    </row>
    <row r="163" spans="1:16" x14ac:dyDescent="0.25">
      <c r="A163" s="2" t="s">
        <v>252</v>
      </c>
      <c r="B163" s="6">
        <f t="shared" si="3"/>
        <v>162</v>
      </c>
      <c r="C163" s="7">
        <v>12072</v>
      </c>
      <c r="D163" s="6" t="s">
        <v>208</v>
      </c>
      <c r="E163" s="6" t="s">
        <v>204</v>
      </c>
      <c r="F163" s="3">
        <v>30</v>
      </c>
      <c r="G163" s="43" t="e">
        <f ca="1">VLOOKUP(C163,[10]ATTANDANCE!$B$5:$AQ$110,42,0)-H163</f>
        <v>#REF!</v>
      </c>
      <c r="H163" s="8" t="e">
        <f t="shared" ca="1" si="8"/>
        <v>#REF!</v>
      </c>
      <c r="I163" s="8" t="e">
        <f t="shared" ca="1" si="6"/>
        <v>#REF!</v>
      </c>
      <c r="J163" s="8" t="e">
        <f t="shared" ca="1" si="11"/>
        <v>#REF!</v>
      </c>
      <c r="K163" s="8" t="e">
        <f t="shared" ca="1" si="7"/>
        <v>#REF!</v>
      </c>
      <c r="L163" s="8" t="e">
        <f t="shared" ca="1" si="9"/>
        <v>#REF!</v>
      </c>
      <c r="M163" s="9">
        <v>17028</v>
      </c>
      <c r="N163" s="8">
        <v>1950</v>
      </c>
      <c r="O163" s="8" t="e">
        <f t="shared" ca="1" si="10"/>
        <v>#REF!</v>
      </c>
      <c r="P163" s="8">
        <v>400</v>
      </c>
    </row>
    <row r="164" spans="1:16" x14ac:dyDescent="0.25">
      <c r="A164" s="2" t="s">
        <v>252</v>
      </c>
      <c r="B164" s="6">
        <f t="shared" si="3"/>
        <v>163</v>
      </c>
      <c r="C164" s="7" t="s">
        <v>209</v>
      </c>
      <c r="D164" s="6" t="s">
        <v>210</v>
      </c>
      <c r="E164" s="6" t="s">
        <v>204</v>
      </c>
      <c r="F164" s="3">
        <v>30</v>
      </c>
      <c r="G164" s="43" t="e">
        <f ca="1">VLOOKUP(C164,[10]ATTANDANCE!$B$5:$AQ$110,42,0)-H164</f>
        <v>#REF!</v>
      </c>
      <c r="H164" s="8" t="e">
        <f t="shared" ca="1" si="8"/>
        <v>#REF!</v>
      </c>
      <c r="I164" s="8" t="e">
        <f t="shared" ca="1" si="6"/>
        <v>#REF!</v>
      </c>
      <c r="J164" s="8" t="e">
        <f t="shared" ca="1" si="11"/>
        <v>#REF!</v>
      </c>
      <c r="K164" s="8" t="e">
        <f t="shared" ca="1" si="7"/>
        <v>#REF!</v>
      </c>
      <c r="L164" s="8" t="e">
        <f t="shared" ca="1" si="9"/>
        <v>#REF!</v>
      </c>
      <c r="M164" s="9">
        <v>11749</v>
      </c>
      <c r="N164" s="8">
        <v>1950</v>
      </c>
      <c r="O164" s="8" t="e">
        <f t="shared" ca="1" si="10"/>
        <v>#REF!</v>
      </c>
      <c r="P164" s="8">
        <v>400</v>
      </c>
    </row>
    <row r="165" spans="1:16" x14ac:dyDescent="0.25">
      <c r="A165" s="2" t="s">
        <v>252</v>
      </c>
      <c r="B165" s="6">
        <f t="shared" si="3"/>
        <v>164</v>
      </c>
      <c r="C165" s="7">
        <v>11298</v>
      </c>
      <c r="D165" s="6" t="s">
        <v>211</v>
      </c>
      <c r="E165" s="6" t="s">
        <v>212</v>
      </c>
      <c r="F165" s="3">
        <v>30</v>
      </c>
      <c r="G165" s="43" t="e">
        <f ca="1">VLOOKUP(C165,[10]ATTANDANCE!$B$5:$AQ$110,42,0)-H165</f>
        <v>#REF!</v>
      </c>
      <c r="H165" s="8" t="e">
        <f t="shared" ca="1" si="8"/>
        <v>#REF!</v>
      </c>
      <c r="I165" s="8" t="e">
        <f t="shared" ca="1" si="6"/>
        <v>#REF!</v>
      </c>
      <c r="J165" s="8" t="e">
        <f t="shared" ca="1" si="11"/>
        <v>#REF!</v>
      </c>
      <c r="K165" s="8" t="e">
        <f t="shared" ca="1" si="7"/>
        <v>#REF!</v>
      </c>
      <c r="L165" s="8" t="e">
        <f t="shared" ca="1" si="9"/>
        <v>#REF!</v>
      </c>
      <c r="M165" s="9">
        <v>13578</v>
      </c>
      <c r="N165" s="8">
        <v>1950</v>
      </c>
      <c r="O165" s="8" t="e">
        <f t="shared" ca="1" si="10"/>
        <v>#REF!</v>
      </c>
      <c r="P165" s="8">
        <v>400</v>
      </c>
    </row>
    <row r="166" spans="1:16" x14ac:dyDescent="0.25">
      <c r="A166" s="2" t="s">
        <v>252</v>
      </c>
      <c r="B166" s="6">
        <f t="shared" si="3"/>
        <v>165</v>
      </c>
      <c r="C166" s="7">
        <v>11305</v>
      </c>
      <c r="D166" s="6" t="s">
        <v>213</v>
      </c>
      <c r="E166" s="6" t="s">
        <v>214</v>
      </c>
      <c r="F166" s="3">
        <v>30</v>
      </c>
      <c r="G166" s="43" t="e">
        <f ca="1">VLOOKUP(C166,[10]ATTANDANCE!$B$5:$AQ$110,42,0)-H166</f>
        <v>#REF!</v>
      </c>
      <c r="H166" s="8" t="e">
        <f ca="1">SUM(A166:G166)</f>
        <v>#REF!</v>
      </c>
      <c r="I166" s="8" t="e">
        <f ca="1">IF((H166-C166)&lt;15000,(H166-C166)*12%,1800)</f>
        <v>#REF!</v>
      </c>
      <c r="J166" s="8" t="e">
        <f ca="1">H166*0.75%</f>
        <v>#REF!</v>
      </c>
      <c r="K166" s="8" t="e">
        <f ca="1">IF(H166&gt;20000,200,IF(H166&gt;15000,150,0))</f>
        <v>#REF!</v>
      </c>
      <c r="L166" s="8" t="e">
        <f ca="1">H166+I166+J166+K166</f>
        <v>#REF!</v>
      </c>
      <c r="M166" s="9">
        <v>13778</v>
      </c>
      <c r="N166" s="8">
        <v>1950</v>
      </c>
      <c r="O166" s="8" t="e">
        <f ca="1">G166*3.25%</f>
        <v>#REF!</v>
      </c>
      <c r="P166" s="8">
        <v>400</v>
      </c>
    </row>
    <row r="167" spans="1:16" x14ac:dyDescent="0.25">
      <c r="A167" s="2" t="s">
        <v>252</v>
      </c>
      <c r="B167" s="6">
        <f t="shared" si="3"/>
        <v>166</v>
      </c>
      <c r="C167" s="7">
        <v>11667</v>
      </c>
      <c r="D167" s="6" t="s">
        <v>215</v>
      </c>
      <c r="E167" s="6" t="s">
        <v>51</v>
      </c>
      <c r="F167" s="3">
        <v>30</v>
      </c>
      <c r="G167" s="43" t="e">
        <f ca="1">VLOOKUP(C167,[10]ATTANDANCE!$B$5:$AQ$110,42,0)-H167</f>
        <v>#REF!</v>
      </c>
      <c r="H167" s="8" t="e">
        <f ca="1">SUM(A167:G167)</f>
        <v>#REF!</v>
      </c>
      <c r="I167" s="8" t="e">
        <f ca="1">IF((H167-C167)&lt;15000,(H167-C167)*12%,1800)</f>
        <v>#REF!</v>
      </c>
      <c r="J167" s="8">
        <v>0</v>
      </c>
      <c r="K167" s="8" t="e">
        <f ca="1">IF(H167&gt;20000,200,IF(H167&gt;15000,150,0))</f>
        <v>#REF!</v>
      </c>
      <c r="L167" s="8" t="e">
        <f ca="1">H167+I167+J167+K167</f>
        <v>#REF!</v>
      </c>
      <c r="M167" s="9">
        <v>22513</v>
      </c>
      <c r="N167" s="8">
        <v>1950</v>
      </c>
      <c r="O167" s="8">
        <v>1800</v>
      </c>
      <c r="P167" s="8">
        <v>400</v>
      </c>
    </row>
    <row r="168" spans="1:16" x14ac:dyDescent="0.25">
      <c r="A168" s="2" t="s">
        <v>252</v>
      </c>
      <c r="B168" s="6">
        <f t="shared" si="3"/>
        <v>167</v>
      </c>
      <c r="C168" s="7">
        <v>11707</v>
      </c>
      <c r="D168" s="6" t="s">
        <v>216</v>
      </c>
      <c r="E168" s="6" t="s">
        <v>51</v>
      </c>
      <c r="F168" s="3">
        <v>30</v>
      </c>
      <c r="G168" s="43" t="e">
        <f ca="1">VLOOKUP(C168,[10]ATTANDANCE!$B$5:$AQ$110,42,0)-H168</f>
        <v>#REF!</v>
      </c>
      <c r="H168" s="8" t="e">
        <f t="shared" ref="H168:H170" ca="1" si="12">SUM(A168:G168)</f>
        <v>#REF!</v>
      </c>
      <c r="I168" s="8" t="e">
        <f t="shared" ref="I168:I170" ca="1" si="13">IF((H168-C168)&lt;15000,(H168-C168)*12%,1800)</f>
        <v>#REF!</v>
      </c>
      <c r="J168" s="8">
        <v>0</v>
      </c>
      <c r="K168" s="8" t="e">
        <f t="shared" ref="K168:K170" ca="1" si="14">IF(H168&gt;20000,200,IF(H168&gt;15000,150,0))</f>
        <v>#REF!</v>
      </c>
      <c r="L168" s="8" t="e">
        <f t="shared" ref="L168:L169" ca="1" si="15">H168+I168+J168+K168</f>
        <v>#REF!</v>
      </c>
      <c r="M168" s="9">
        <v>23242</v>
      </c>
      <c r="N168" s="8">
        <v>1950</v>
      </c>
      <c r="O168" s="8">
        <v>1800</v>
      </c>
      <c r="P168" s="8">
        <v>400</v>
      </c>
    </row>
    <row r="169" spans="1:16" x14ac:dyDescent="0.25">
      <c r="A169" s="2" t="s">
        <v>252</v>
      </c>
      <c r="B169" s="6">
        <f t="shared" si="3"/>
        <v>168</v>
      </c>
      <c r="C169" s="7">
        <v>11992</v>
      </c>
      <c r="D169" s="6" t="s">
        <v>217</v>
      </c>
      <c r="E169" s="6" t="s">
        <v>51</v>
      </c>
      <c r="F169" s="3">
        <v>30</v>
      </c>
      <c r="G169" s="43" t="e">
        <f ca="1">VLOOKUP(C169,[10]ATTANDANCE!$B$5:$AQ$110,42,0)-H169</f>
        <v>#REF!</v>
      </c>
      <c r="H169" s="8" t="e">
        <f t="shared" ca="1" si="12"/>
        <v>#REF!</v>
      </c>
      <c r="I169" s="8" t="e">
        <f t="shared" ca="1" si="13"/>
        <v>#REF!</v>
      </c>
      <c r="J169" s="8">
        <v>0</v>
      </c>
      <c r="K169" s="8" t="e">
        <f t="shared" ca="1" si="14"/>
        <v>#REF!</v>
      </c>
      <c r="L169" s="8" t="e">
        <f t="shared" ca="1" si="15"/>
        <v>#REF!</v>
      </c>
      <c r="M169" s="9">
        <v>22838</v>
      </c>
      <c r="N169" s="8">
        <v>1950</v>
      </c>
      <c r="O169" s="8">
        <v>1800</v>
      </c>
      <c r="P169" s="8">
        <v>400</v>
      </c>
    </row>
    <row r="170" spans="1:16" x14ac:dyDescent="0.25">
      <c r="A170" s="2" t="s">
        <v>252</v>
      </c>
      <c r="B170" s="6">
        <f t="shared" si="3"/>
        <v>169</v>
      </c>
      <c r="C170" s="7">
        <v>10845</v>
      </c>
      <c r="D170" s="6" t="s">
        <v>218</v>
      </c>
      <c r="E170" s="6" t="s">
        <v>219</v>
      </c>
      <c r="F170" s="3">
        <v>30</v>
      </c>
      <c r="G170" s="43" t="e">
        <f ca="1">VLOOKUP(C170,[10]ATTANDANCE!$B$5:$AQ$110,42,0)-H170</f>
        <v>#REF!</v>
      </c>
      <c r="H170" s="8" t="e">
        <f t="shared" ca="1" si="12"/>
        <v>#REF!</v>
      </c>
      <c r="I170" s="8" t="e">
        <f t="shared" ca="1" si="13"/>
        <v>#REF!</v>
      </c>
      <c r="J170" s="8">
        <v>0</v>
      </c>
      <c r="K170" s="8" t="e">
        <f t="shared" ca="1" si="14"/>
        <v>#REF!</v>
      </c>
      <c r="L170" s="8" t="e">
        <f ca="1">H170+I170+J170+K170</f>
        <v>#REF!</v>
      </c>
      <c r="M170" s="9">
        <v>11955</v>
      </c>
      <c r="N170" s="8">
        <v>1950</v>
      </c>
      <c r="O170" s="8">
        <v>1800</v>
      </c>
      <c r="P170" s="8">
        <v>400</v>
      </c>
    </row>
    <row r="171" spans="1:16" x14ac:dyDescent="0.25">
      <c r="A171" s="2" t="s">
        <v>252</v>
      </c>
      <c r="B171" s="6">
        <f t="shared" si="3"/>
        <v>170</v>
      </c>
      <c r="C171" s="7">
        <v>11753</v>
      </c>
      <c r="D171" s="6" t="s">
        <v>220</v>
      </c>
      <c r="E171" s="6" t="s">
        <v>221</v>
      </c>
      <c r="F171" s="3">
        <v>30</v>
      </c>
      <c r="G171" s="43" t="e">
        <f ca="1">VLOOKUP(C171,[10]ATTANDANCE!$B$5:$AQ$110,42,0)-H171</f>
        <v>#REF!</v>
      </c>
      <c r="H171" s="8" t="e">
        <f ca="1">SUM(A171:G171)</f>
        <v>#REF!</v>
      </c>
      <c r="I171" s="8" t="e">
        <f ca="1">IF((H171-C171)&lt;15000,(H171-C171)*12%,1800)</f>
        <v>#REF!</v>
      </c>
      <c r="J171" s="8" t="e">
        <f ca="1">H171*0.75%</f>
        <v>#REF!</v>
      </c>
      <c r="K171" s="8" t="e">
        <f ca="1">IF(H171&gt;20000,200,IF(H171&gt;15000,150,0))</f>
        <v>#REF!</v>
      </c>
      <c r="L171" s="8" t="e">
        <f ca="1">H171+I171+J171+K171</f>
        <v>#REF!</v>
      </c>
      <c r="M171" s="9">
        <v>17494</v>
      </c>
      <c r="N171" s="8">
        <v>1950</v>
      </c>
      <c r="O171" s="8" t="e">
        <f ca="1">G171*3.25%</f>
        <v>#REF!</v>
      </c>
      <c r="P171" s="8">
        <v>400</v>
      </c>
    </row>
    <row r="172" spans="1:16" x14ac:dyDescent="0.25">
      <c r="A172" s="2" t="s">
        <v>252</v>
      </c>
      <c r="B172" s="6">
        <f t="shared" si="3"/>
        <v>171</v>
      </c>
      <c r="C172" s="7">
        <v>11471</v>
      </c>
      <c r="D172" s="6" t="s">
        <v>222</v>
      </c>
      <c r="E172" s="6" t="s">
        <v>221</v>
      </c>
      <c r="F172" s="3">
        <v>30</v>
      </c>
      <c r="G172" s="43" t="e">
        <f ca="1">VLOOKUP(C172,[10]ATTANDANCE!$B$5:$AQ$110,42,0)-H172</f>
        <v>#REF!</v>
      </c>
      <c r="H172" s="8" t="e">
        <f t="shared" ref="H172:H180" ca="1" si="16">SUM(A172:G172)</f>
        <v>#REF!</v>
      </c>
      <c r="I172" s="8" t="e">
        <f t="shared" ref="I172:I180" ca="1" si="17">IF((H172-C172)&lt;15000,(H172-C172)*12%,1800)</f>
        <v>#REF!</v>
      </c>
      <c r="J172" s="8" t="e">
        <f t="shared" ref="J172:J180" ca="1" si="18">H172*0.75%</f>
        <v>#REF!</v>
      </c>
      <c r="K172" s="8" t="e">
        <f t="shared" ref="K172:K180" ca="1" si="19">IF(H172&gt;20000,200,IF(H172&gt;15000,150,0))</f>
        <v>#REF!</v>
      </c>
      <c r="L172" s="8" t="e">
        <f t="shared" ref="L172:L180" ca="1" si="20">H172+I172+J172+K172</f>
        <v>#REF!</v>
      </c>
      <c r="M172" s="9">
        <v>6194</v>
      </c>
      <c r="N172" s="8">
        <v>1950</v>
      </c>
      <c r="O172" s="8" t="e">
        <f t="shared" ref="O172:O180" ca="1" si="21">G172*3.25%</f>
        <v>#REF!</v>
      </c>
      <c r="P172" s="8">
        <v>400</v>
      </c>
    </row>
    <row r="173" spans="1:16" x14ac:dyDescent="0.25">
      <c r="A173" s="2" t="s">
        <v>252</v>
      </c>
      <c r="B173" s="6">
        <f t="shared" si="3"/>
        <v>172</v>
      </c>
      <c r="C173" s="7">
        <v>12047</v>
      </c>
      <c r="D173" s="6" t="s">
        <v>223</v>
      </c>
      <c r="E173" s="6" t="s">
        <v>118</v>
      </c>
      <c r="F173" s="3">
        <v>30</v>
      </c>
      <c r="G173" s="43" t="e">
        <f ca="1">VLOOKUP(C173,[10]ATTANDANCE!$B$5:$AQ$110,42,0)-H173</f>
        <v>#REF!</v>
      </c>
      <c r="H173" s="8" t="e">
        <f t="shared" ca="1" si="16"/>
        <v>#REF!</v>
      </c>
      <c r="I173" s="8" t="e">
        <f t="shared" ca="1" si="17"/>
        <v>#REF!</v>
      </c>
      <c r="J173" s="8" t="e">
        <f t="shared" ca="1" si="18"/>
        <v>#REF!</v>
      </c>
      <c r="K173" s="8" t="e">
        <f t="shared" ca="1" si="19"/>
        <v>#REF!</v>
      </c>
      <c r="L173" s="8" t="e">
        <f t="shared" ca="1" si="20"/>
        <v>#REF!</v>
      </c>
      <c r="M173" s="9">
        <v>4873</v>
      </c>
      <c r="N173" s="8">
        <v>1950</v>
      </c>
      <c r="O173" s="8" t="e">
        <f t="shared" ca="1" si="21"/>
        <v>#REF!</v>
      </c>
      <c r="P173" s="8">
        <v>400</v>
      </c>
    </row>
    <row r="174" spans="1:16" x14ac:dyDescent="0.25">
      <c r="A174" s="2" t="s">
        <v>252</v>
      </c>
      <c r="B174" s="6">
        <f t="shared" si="3"/>
        <v>173</v>
      </c>
      <c r="C174" s="7">
        <v>11984</v>
      </c>
      <c r="D174" s="6" t="s">
        <v>224</v>
      </c>
      <c r="E174" s="6" t="s">
        <v>118</v>
      </c>
      <c r="F174" s="3">
        <v>30</v>
      </c>
      <c r="G174" s="43" t="e">
        <f ca="1">VLOOKUP(C174,[10]ATTANDANCE!$B$5:$AQ$110,42,0)-H174</f>
        <v>#REF!</v>
      </c>
      <c r="H174" s="8" t="e">
        <f t="shared" ca="1" si="16"/>
        <v>#REF!</v>
      </c>
      <c r="I174" s="8" t="e">
        <f t="shared" ca="1" si="17"/>
        <v>#REF!</v>
      </c>
      <c r="J174" s="8" t="e">
        <f t="shared" ca="1" si="18"/>
        <v>#REF!</v>
      </c>
      <c r="K174" s="8" t="e">
        <f t="shared" ca="1" si="19"/>
        <v>#REF!</v>
      </c>
      <c r="L174" s="8" t="e">
        <f t="shared" ca="1" si="20"/>
        <v>#REF!</v>
      </c>
      <c r="M174" s="9">
        <v>16703</v>
      </c>
      <c r="N174" s="8">
        <v>1950</v>
      </c>
      <c r="O174" s="8" t="e">
        <f t="shared" ca="1" si="21"/>
        <v>#REF!</v>
      </c>
      <c r="P174" s="8">
        <v>400</v>
      </c>
    </row>
    <row r="175" spans="1:16" x14ac:dyDescent="0.25">
      <c r="A175" s="2" t="s">
        <v>252</v>
      </c>
      <c r="B175" s="6">
        <f t="shared" si="3"/>
        <v>174</v>
      </c>
      <c r="C175" s="7">
        <v>12064</v>
      </c>
      <c r="D175" s="6" t="s">
        <v>225</v>
      </c>
      <c r="E175" s="6" t="s">
        <v>221</v>
      </c>
      <c r="F175" s="3">
        <v>30</v>
      </c>
      <c r="G175" s="43" t="e">
        <f ca="1">VLOOKUP(C175,[10]ATTANDANCE!$B$5:$AQ$110,42,0)-H175</f>
        <v>#REF!</v>
      </c>
      <c r="H175" s="8" t="e">
        <f t="shared" ca="1" si="16"/>
        <v>#REF!</v>
      </c>
      <c r="I175" s="8" t="e">
        <f t="shared" ca="1" si="17"/>
        <v>#REF!</v>
      </c>
      <c r="J175" s="8" t="e">
        <f t="shared" ca="1" si="18"/>
        <v>#REF!</v>
      </c>
      <c r="K175" s="8" t="e">
        <f t="shared" ca="1" si="19"/>
        <v>#REF!</v>
      </c>
      <c r="L175" s="8" t="e">
        <f t="shared" ca="1" si="20"/>
        <v>#REF!</v>
      </c>
      <c r="M175" s="9">
        <v>12329</v>
      </c>
      <c r="N175" s="8">
        <v>1950</v>
      </c>
      <c r="O175" s="8" t="e">
        <f t="shared" ca="1" si="21"/>
        <v>#REF!</v>
      </c>
      <c r="P175" s="8">
        <v>400</v>
      </c>
    </row>
    <row r="176" spans="1:16" x14ac:dyDescent="0.25">
      <c r="A176" s="2" t="s">
        <v>252</v>
      </c>
      <c r="B176" s="6">
        <f t="shared" si="3"/>
        <v>175</v>
      </c>
      <c r="C176" s="7">
        <v>12078</v>
      </c>
      <c r="D176" s="6" t="s">
        <v>226</v>
      </c>
      <c r="E176" s="6" t="s">
        <v>221</v>
      </c>
      <c r="F176" s="3">
        <v>30</v>
      </c>
      <c r="G176" s="43" t="e">
        <f ca="1">VLOOKUP(C176,[10]ATTANDANCE!$B$5:$AQ$110,42,0)-H176</f>
        <v>#REF!</v>
      </c>
      <c r="H176" s="8" t="e">
        <f t="shared" ca="1" si="16"/>
        <v>#REF!</v>
      </c>
      <c r="I176" s="8" t="e">
        <f t="shared" ca="1" si="17"/>
        <v>#REF!</v>
      </c>
      <c r="J176" s="8" t="e">
        <f t="shared" ca="1" si="18"/>
        <v>#REF!</v>
      </c>
      <c r="K176" s="8" t="e">
        <f t="shared" ca="1" si="19"/>
        <v>#REF!</v>
      </c>
      <c r="L176" s="8" t="e">
        <f t="shared" ca="1" si="20"/>
        <v>#REF!</v>
      </c>
      <c r="M176" s="9">
        <v>14242</v>
      </c>
      <c r="N176" s="8">
        <v>1950</v>
      </c>
      <c r="O176" s="8" t="e">
        <f t="shared" ca="1" si="21"/>
        <v>#REF!</v>
      </c>
      <c r="P176" s="8">
        <v>400</v>
      </c>
    </row>
    <row r="177" spans="1:16" x14ac:dyDescent="0.25">
      <c r="A177" s="2" t="s">
        <v>252</v>
      </c>
      <c r="B177" s="6">
        <f t="shared" si="3"/>
        <v>176</v>
      </c>
      <c r="C177" s="7">
        <v>12046</v>
      </c>
      <c r="D177" s="6" t="s">
        <v>227</v>
      </c>
      <c r="E177" s="6" t="s">
        <v>221</v>
      </c>
      <c r="F177" s="3">
        <v>30</v>
      </c>
      <c r="G177" s="43" t="e">
        <f ca="1">VLOOKUP(C177,[10]ATTANDANCE!$B$5:$AQ$110,42,0)-H177</f>
        <v>#REF!</v>
      </c>
      <c r="H177" s="8" t="e">
        <f t="shared" ca="1" si="16"/>
        <v>#REF!</v>
      </c>
      <c r="I177" s="8" t="e">
        <f t="shared" ca="1" si="17"/>
        <v>#REF!</v>
      </c>
      <c r="J177" s="8" t="e">
        <f t="shared" ca="1" si="18"/>
        <v>#REF!</v>
      </c>
      <c r="K177" s="8" t="e">
        <f t="shared" ca="1" si="19"/>
        <v>#REF!</v>
      </c>
      <c r="L177" s="8" t="e">
        <f t="shared" ca="1" si="20"/>
        <v>#REF!</v>
      </c>
      <c r="M177" s="9">
        <v>16915</v>
      </c>
      <c r="N177" s="8">
        <v>1950</v>
      </c>
      <c r="O177" s="8" t="e">
        <f t="shared" ca="1" si="21"/>
        <v>#REF!</v>
      </c>
      <c r="P177" s="8">
        <v>400</v>
      </c>
    </row>
    <row r="178" spans="1:16" x14ac:dyDescent="0.25">
      <c r="A178" s="2" t="s">
        <v>252</v>
      </c>
      <c r="B178" s="6">
        <f t="shared" si="3"/>
        <v>177</v>
      </c>
      <c r="C178" s="7">
        <v>12075</v>
      </c>
      <c r="D178" s="6" t="s">
        <v>228</v>
      </c>
      <c r="E178" s="6" t="s">
        <v>221</v>
      </c>
      <c r="F178" s="3">
        <v>30</v>
      </c>
      <c r="G178" s="43" t="e">
        <f ca="1">VLOOKUP(C178,[10]ATTANDANCE!$B$5:$AQ$110,42,0)-H178</f>
        <v>#REF!</v>
      </c>
      <c r="H178" s="8" t="e">
        <f t="shared" ca="1" si="16"/>
        <v>#REF!</v>
      </c>
      <c r="I178" s="8" t="e">
        <f t="shared" ca="1" si="17"/>
        <v>#REF!</v>
      </c>
      <c r="J178" s="8" t="e">
        <f t="shared" ca="1" si="18"/>
        <v>#REF!</v>
      </c>
      <c r="K178" s="8" t="e">
        <f t="shared" ca="1" si="19"/>
        <v>#REF!</v>
      </c>
      <c r="L178" s="8" t="e">
        <f t="shared" ca="1" si="20"/>
        <v>#REF!</v>
      </c>
      <c r="M178" s="9">
        <v>17958</v>
      </c>
      <c r="N178" s="8">
        <v>1950</v>
      </c>
      <c r="O178" s="8" t="e">
        <f t="shared" ca="1" si="21"/>
        <v>#REF!</v>
      </c>
      <c r="P178" s="8">
        <v>400</v>
      </c>
    </row>
    <row r="179" spans="1:16" x14ac:dyDescent="0.25">
      <c r="A179" s="2" t="s">
        <v>252</v>
      </c>
      <c r="B179" s="6">
        <f t="shared" si="3"/>
        <v>178</v>
      </c>
      <c r="C179" s="7">
        <v>12069</v>
      </c>
      <c r="D179" s="6" t="s">
        <v>229</v>
      </c>
      <c r="E179" s="6" t="s">
        <v>221</v>
      </c>
      <c r="F179" s="3">
        <v>30</v>
      </c>
      <c r="G179" s="43" t="e">
        <f ca="1">VLOOKUP(C179,[10]ATTANDANCE!$B$5:$AQ$110,42,0)-H179</f>
        <v>#REF!</v>
      </c>
      <c r="H179" s="8" t="e">
        <f t="shared" ca="1" si="16"/>
        <v>#REF!</v>
      </c>
      <c r="I179" s="8" t="e">
        <f t="shared" ca="1" si="17"/>
        <v>#REF!</v>
      </c>
      <c r="J179" s="8" t="e">
        <f t="shared" ca="1" si="18"/>
        <v>#REF!</v>
      </c>
      <c r="K179" s="8" t="e">
        <f t="shared" ca="1" si="19"/>
        <v>#REF!</v>
      </c>
      <c r="L179" s="8" t="e">
        <f t="shared" ca="1" si="20"/>
        <v>#REF!</v>
      </c>
      <c r="M179" s="9">
        <v>17462</v>
      </c>
      <c r="N179" s="8">
        <v>1950</v>
      </c>
      <c r="O179" s="8" t="e">
        <f t="shared" ca="1" si="21"/>
        <v>#REF!</v>
      </c>
      <c r="P179" s="8">
        <v>400</v>
      </c>
    </row>
    <row r="180" spans="1:16" x14ac:dyDescent="0.25">
      <c r="A180" s="2" t="s">
        <v>252</v>
      </c>
      <c r="B180" s="6">
        <f t="shared" si="3"/>
        <v>179</v>
      </c>
      <c r="C180" s="7">
        <v>11967</v>
      </c>
      <c r="D180" s="6" t="s">
        <v>230</v>
      </c>
      <c r="E180" s="6" t="s">
        <v>221</v>
      </c>
      <c r="F180" s="3">
        <v>30</v>
      </c>
      <c r="G180" s="43" t="e">
        <f ca="1">VLOOKUP(C180,[10]ATTANDANCE!$B$5:$AQ$110,42,0)-H180</f>
        <v>#REF!</v>
      </c>
      <c r="H180" s="8" t="e">
        <f t="shared" ca="1" si="16"/>
        <v>#REF!</v>
      </c>
      <c r="I180" s="8" t="e">
        <f t="shared" ca="1" si="17"/>
        <v>#REF!</v>
      </c>
      <c r="J180" s="8" t="e">
        <f t="shared" ca="1" si="18"/>
        <v>#REF!</v>
      </c>
      <c r="K180" s="8" t="e">
        <f t="shared" ca="1" si="19"/>
        <v>#REF!</v>
      </c>
      <c r="L180" s="8" t="e">
        <f t="shared" ca="1" si="20"/>
        <v>#REF!</v>
      </c>
      <c r="M180" s="9">
        <v>14490</v>
      </c>
      <c r="N180" s="8">
        <v>1950</v>
      </c>
      <c r="O180" s="8" t="e">
        <f t="shared" ca="1" si="21"/>
        <v>#REF!</v>
      </c>
      <c r="P180" s="8">
        <v>400</v>
      </c>
    </row>
    <row r="181" spans="1:16" x14ac:dyDescent="0.25">
      <c r="A181" s="2" t="s">
        <v>252</v>
      </c>
      <c r="B181" s="6">
        <f t="shared" si="3"/>
        <v>180</v>
      </c>
      <c r="C181" s="7">
        <v>11778</v>
      </c>
      <c r="D181" s="6" t="s">
        <v>231</v>
      </c>
      <c r="E181" s="6" t="s">
        <v>221</v>
      </c>
      <c r="F181" s="3">
        <v>30</v>
      </c>
      <c r="G181" s="43" t="e">
        <f ca="1">VLOOKUP(C181,[10]ATTANDANCE!$B$5:$AQ$110,42,0)-H181</f>
        <v>#REF!</v>
      </c>
      <c r="H181" s="8" t="e">
        <f ca="1">SUM(A181:G181)</f>
        <v>#REF!</v>
      </c>
      <c r="I181" s="8" t="e">
        <f ca="1">IF((H181-C181)&lt;15000,(H181-C181)*12%,1800)</f>
        <v>#REF!</v>
      </c>
      <c r="J181" s="8" t="e">
        <f ca="1">H181*0.75%</f>
        <v>#REF!</v>
      </c>
      <c r="K181" s="8" t="e">
        <f ca="1">IF(H181&gt;20000,200,IF(H181&gt;15000,150,0))</f>
        <v>#REF!</v>
      </c>
      <c r="L181" s="8" t="e">
        <f ca="1">H181+I181+J181+K181</f>
        <v>#REF!</v>
      </c>
      <c r="M181" s="9">
        <v>4505</v>
      </c>
      <c r="N181" s="8">
        <v>1950</v>
      </c>
      <c r="O181" s="8" t="e">
        <f ca="1">G181*3.25%</f>
        <v>#REF!</v>
      </c>
      <c r="P181" s="8">
        <v>400</v>
      </c>
    </row>
    <row r="182" spans="1:16" x14ac:dyDescent="0.25">
      <c r="A182" s="2" t="s">
        <v>252</v>
      </c>
      <c r="B182" s="6">
        <f t="shared" si="3"/>
        <v>181</v>
      </c>
      <c r="C182" s="7">
        <v>11416</v>
      </c>
      <c r="D182" s="6" t="s">
        <v>232</v>
      </c>
      <c r="E182" s="6" t="s">
        <v>221</v>
      </c>
      <c r="F182" s="3">
        <v>30</v>
      </c>
      <c r="G182" s="43" t="e">
        <f ca="1">VLOOKUP(C182,[10]ATTANDANCE!$B$5:$AQ$110,42,0)-H182</f>
        <v>#REF!</v>
      </c>
      <c r="H182" s="8" t="e">
        <f t="shared" ref="H182:H190" ca="1" si="22">SUM(A182:G182)</f>
        <v>#REF!</v>
      </c>
      <c r="I182" s="8" t="e">
        <f t="shared" ref="I182:I190" ca="1" si="23">IF((H182-C182)&lt;15000,(H182-C182)*12%,1800)</f>
        <v>#REF!</v>
      </c>
      <c r="J182" s="8" t="e">
        <f t="shared" ref="J182:J190" ca="1" si="24">H182*0.75%</f>
        <v>#REF!</v>
      </c>
      <c r="K182" s="8" t="e">
        <f t="shared" ref="K182:K190" ca="1" si="25">IF(H182&gt;20000,200,IF(H182&gt;15000,150,0))</f>
        <v>#REF!</v>
      </c>
      <c r="L182" s="8" t="e">
        <f t="shared" ref="L182:L190" ca="1" si="26">H182+I182+J182+K182</f>
        <v>#REF!</v>
      </c>
      <c r="M182" s="9">
        <v>12951</v>
      </c>
      <c r="N182" s="8">
        <v>1950</v>
      </c>
      <c r="O182" s="8" t="e">
        <f t="shared" ref="O182:O190" ca="1" si="27">G182*3.25%</f>
        <v>#REF!</v>
      </c>
      <c r="P182" s="8">
        <v>400</v>
      </c>
    </row>
    <row r="183" spans="1:16" x14ac:dyDescent="0.25">
      <c r="A183" s="2" t="s">
        <v>252</v>
      </c>
      <c r="B183" s="6">
        <f t="shared" si="3"/>
        <v>182</v>
      </c>
      <c r="C183" s="7">
        <v>12134</v>
      </c>
      <c r="D183" s="6" t="s">
        <v>233</v>
      </c>
      <c r="E183" s="6" t="s">
        <v>221</v>
      </c>
      <c r="F183" s="3">
        <v>30</v>
      </c>
      <c r="G183" s="43" t="e">
        <f ca="1">VLOOKUP(C183,[10]ATTANDANCE!$B$5:$AQ$110,42,0)-H183</f>
        <v>#REF!</v>
      </c>
      <c r="H183" s="8" t="e">
        <f t="shared" ca="1" si="22"/>
        <v>#REF!</v>
      </c>
      <c r="I183" s="8" t="e">
        <f t="shared" ca="1" si="23"/>
        <v>#REF!</v>
      </c>
      <c r="J183" s="8" t="e">
        <f t="shared" ca="1" si="24"/>
        <v>#REF!</v>
      </c>
      <c r="K183" s="8" t="e">
        <f t="shared" ca="1" si="25"/>
        <v>#REF!</v>
      </c>
      <c r="L183" s="8" t="e">
        <f t="shared" ca="1" si="26"/>
        <v>#REF!</v>
      </c>
      <c r="M183" s="9">
        <v>15119</v>
      </c>
      <c r="N183" s="8">
        <v>1950</v>
      </c>
      <c r="O183" s="8" t="e">
        <f t="shared" ca="1" si="27"/>
        <v>#REF!</v>
      </c>
      <c r="P183" s="8">
        <v>400</v>
      </c>
    </row>
    <row r="184" spans="1:16" x14ac:dyDescent="0.25">
      <c r="A184" s="2" t="s">
        <v>252</v>
      </c>
      <c r="B184" s="6">
        <f t="shared" si="3"/>
        <v>183</v>
      </c>
      <c r="C184" s="7">
        <v>12138</v>
      </c>
      <c r="D184" s="6" t="s">
        <v>234</v>
      </c>
      <c r="E184" s="6" t="s">
        <v>221</v>
      </c>
      <c r="F184" s="3">
        <v>30</v>
      </c>
      <c r="G184" s="43" t="e">
        <f ca="1">VLOOKUP(C184,[10]ATTANDANCE!$B$5:$AQ$110,42,0)-H184</f>
        <v>#REF!</v>
      </c>
      <c r="H184" s="8" t="e">
        <f t="shared" ca="1" si="22"/>
        <v>#REF!</v>
      </c>
      <c r="I184" s="8" t="e">
        <f t="shared" ca="1" si="23"/>
        <v>#REF!</v>
      </c>
      <c r="J184" s="8" t="e">
        <f t="shared" ca="1" si="24"/>
        <v>#REF!</v>
      </c>
      <c r="K184" s="8" t="e">
        <f t="shared" ca="1" si="25"/>
        <v>#REF!</v>
      </c>
      <c r="L184" s="8" t="e">
        <f t="shared" ca="1" si="26"/>
        <v>#REF!</v>
      </c>
      <c r="M184" s="9">
        <v>14845</v>
      </c>
      <c r="N184" s="8">
        <v>1950</v>
      </c>
      <c r="O184" s="8" t="e">
        <f t="shared" ca="1" si="27"/>
        <v>#REF!</v>
      </c>
      <c r="P184" s="8">
        <v>400</v>
      </c>
    </row>
    <row r="185" spans="1:16" x14ac:dyDescent="0.25">
      <c r="A185" s="2" t="s">
        <v>252</v>
      </c>
      <c r="B185" s="6">
        <f t="shared" si="3"/>
        <v>184</v>
      </c>
      <c r="C185" s="7">
        <v>11921</v>
      </c>
      <c r="D185" s="6" t="s">
        <v>235</v>
      </c>
      <c r="E185" s="6" t="s">
        <v>221</v>
      </c>
      <c r="F185" s="3">
        <v>30</v>
      </c>
      <c r="G185" s="43" t="e">
        <f ca="1">VLOOKUP(C185,[10]ATTANDANCE!$B$5:$AQ$110,42,0)-H185</f>
        <v>#REF!</v>
      </c>
      <c r="H185" s="8" t="e">
        <f t="shared" ca="1" si="22"/>
        <v>#REF!</v>
      </c>
      <c r="I185" s="8" t="e">
        <f t="shared" ca="1" si="23"/>
        <v>#REF!</v>
      </c>
      <c r="J185" s="8" t="e">
        <f t="shared" ca="1" si="24"/>
        <v>#REF!</v>
      </c>
      <c r="K185" s="8" t="e">
        <f t="shared" ca="1" si="25"/>
        <v>#REF!</v>
      </c>
      <c r="L185" s="8" t="e">
        <f t="shared" ca="1" si="26"/>
        <v>#REF!</v>
      </c>
      <c r="M185" s="9">
        <v>14935</v>
      </c>
      <c r="N185" s="8">
        <v>1950</v>
      </c>
      <c r="O185" s="8" t="e">
        <f t="shared" ca="1" si="27"/>
        <v>#REF!</v>
      </c>
      <c r="P185" s="8">
        <v>400</v>
      </c>
    </row>
    <row r="186" spans="1:16" x14ac:dyDescent="0.25">
      <c r="A186" s="2" t="s">
        <v>252</v>
      </c>
      <c r="B186" s="6">
        <f t="shared" si="3"/>
        <v>185</v>
      </c>
      <c r="C186" s="7">
        <v>11991</v>
      </c>
      <c r="D186" s="6" t="s">
        <v>236</v>
      </c>
      <c r="E186" s="6" t="s">
        <v>221</v>
      </c>
      <c r="F186" s="3">
        <v>30</v>
      </c>
      <c r="G186" s="43" t="e">
        <f ca="1">VLOOKUP(C186,[10]ATTANDANCE!$B$5:$AQ$110,42,0)-H186</f>
        <v>#REF!</v>
      </c>
      <c r="H186" s="8" t="e">
        <f t="shared" ca="1" si="22"/>
        <v>#REF!</v>
      </c>
      <c r="I186" s="8" t="e">
        <f t="shared" ca="1" si="23"/>
        <v>#REF!</v>
      </c>
      <c r="J186" s="8" t="e">
        <f t="shared" ca="1" si="24"/>
        <v>#REF!</v>
      </c>
      <c r="K186" s="8" t="e">
        <f t="shared" ca="1" si="25"/>
        <v>#REF!</v>
      </c>
      <c r="L186" s="8" t="e">
        <f t="shared" ca="1" si="26"/>
        <v>#REF!</v>
      </c>
      <c r="M186" s="9">
        <v>11792</v>
      </c>
      <c r="N186" s="8">
        <v>1950</v>
      </c>
      <c r="O186" s="8" t="e">
        <f t="shared" ca="1" si="27"/>
        <v>#REF!</v>
      </c>
      <c r="P186" s="8">
        <v>400</v>
      </c>
    </row>
    <row r="187" spans="1:16" x14ac:dyDescent="0.25">
      <c r="A187" s="2" t="s">
        <v>252</v>
      </c>
      <c r="B187" s="6">
        <f t="shared" si="3"/>
        <v>186</v>
      </c>
      <c r="C187" s="7">
        <v>12136</v>
      </c>
      <c r="D187" s="6" t="s">
        <v>237</v>
      </c>
      <c r="E187" s="6" t="s">
        <v>221</v>
      </c>
      <c r="F187" s="3">
        <v>30</v>
      </c>
      <c r="G187" s="43" t="e">
        <f ca="1">VLOOKUP(C187,[10]ATTANDANCE!$B$5:$AQ$110,42,0)-H187</f>
        <v>#REF!</v>
      </c>
      <c r="H187" s="8" t="e">
        <f t="shared" ca="1" si="22"/>
        <v>#REF!</v>
      </c>
      <c r="I187" s="8" t="e">
        <f t="shared" ca="1" si="23"/>
        <v>#REF!</v>
      </c>
      <c r="J187" s="8" t="e">
        <f t="shared" ca="1" si="24"/>
        <v>#REF!</v>
      </c>
      <c r="K187" s="8" t="e">
        <f t="shared" ca="1" si="25"/>
        <v>#REF!</v>
      </c>
      <c r="L187" s="8" t="e">
        <f t="shared" ca="1" si="26"/>
        <v>#REF!</v>
      </c>
      <c r="M187" s="9">
        <v>11396</v>
      </c>
      <c r="N187" s="8">
        <v>1950</v>
      </c>
      <c r="O187" s="8" t="e">
        <f t="shared" ca="1" si="27"/>
        <v>#REF!</v>
      </c>
      <c r="P187" s="8">
        <v>400</v>
      </c>
    </row>
    <row r="188" spans="1:16" x14ac:dyDescent="0.25">
      <c r="A188" s="2" t="s">
        <v>252</v>
      </c>
      <c r="B188" s="6">
        <f t="shared" si="3"/>
        <v>187</v>
      </c>
      <c r="C188" s="7">
        <v>11766</v>
      </c>
      <c r="D188" s="6" t="s">
        <v>238</v>
      </c>
      <c r="E188" s="6" t="s">
        <v>221</v>
      </c>
      <c r="F188" s="3">
        <v>30</v>
      </c>
      <c r="G188" s="43" t="e">
        <f ca="1">VLOOKUP(C188,[10]ATTANDANCE!$B$5:$AQ$110,42,0)-H188</f>
        <v>#REF!</v>
      </c>
      <c r="H188" s="8" t="e">
        <f t="shared" ca="1" si="22"/>
        <v>#REF!</v>
      </c>
      <c r="I188" s="8" t="e">
        <f t="shared" ca="1" si="23"/>
        <v>#REF!</v>
      </c>
      <c r="J188" s="8" t="e">
        <f t="shared" ca="1" si="24"/>
        <v>#REF!</v>
      </c>
      <c r="K188" s="8" t="e">
        <f t="shared" ca="1" si="25"/>
        <v>#REF!</v>
      </c>
      <c r="L188" s="8" t="e">
        <f t="shared" ca="1" si="26"/>
        <v>#REF!</v>
      </c>
      <c r="M188" s="9">
        <v>3378</v>
      </c>
      <c r="N188" s="8">
        <v>1950</v>
      </c>
      <c r="O188" s="8" t="e">
        <f t="shared" ca="1" si="27"/>
        <v>#REF!</v>
      </c>
      <c r="P188" s="8">
        <v>400</v>
      </c>
    </row>
    <row r="189" spans="1:16" x14ac:dyDescent="0.25">
      <c r="A189" s="2" t="s">
        <v>252</v>
      </c>
      <c r="B189" s="6">
        <f t="shared" si="3"/>
        <v>188</v>
      </c>
      <c r="C189" s="7">
        <v>12139</v>
      </c>
      <c r="D189" s="6" t="s">
        <v>239</v>
      </c>
      <c r="E189" s="6" t="s">
        <v>221</v>
      </c>
      <c r="F189" s="3">
        <v>30</v>
      </c>
      <c r="G189" s="43" t="e">
        <f ca="1">VLOOKUP(C189,[10]ATTANDANCE!$B$5:$AQ$110,42,0)-H189</f>
        <v>#REF!</v>
      </c>
      <c r="H189" s="8" t="e">
        <f t="shared" ca="1" si="22"/>
        <v>#REF!</v>
      </c>
      <c r="I189" s="8" t="e">
        <f t="shared" ca="1" si="23"/>
        <v>#REF!</v>
      </c>
      <c r="J189" s="8" t="e">
        <f t="shared" ca="1" si="24"/>
        <v>#REF!</v>
      </c>
      <c r="K189" s="8" t="e">
        <f t="shared" ca="1" si="25"/>
        <v>#REF!</v>
      </c>
      <c r="L189" s="8" t="e">
        <f t="shared" ca="1" si="26"/>
        <v>#REF!</v>
      </c>
      <c r="M189" s="9">
        <v>4090</v>
      </c>
      <c r="N189" s="8">
        <v>1950</v>
      </c>
      <c r="O189" s="8" t="e">
        <f t="shared" ca="1" si="27"/>
        <v>#REF!</v>
      </c>
      <c r="P189" s="8">
        <v>400</v>
      </c>
    </row>
    <row r="190" spans="1:16" x14ac:dyDescent="0.25">
      <c r="A190" s="2" t="s">
        <v>252</v>
      </c>
      <c r="B190" s="6">
        <f t="shared" si="3"/>
        <v>189</v>
      </c>
      <c r="C190" s="7">
        <v>11760</v>
      </c>
      <c r="D190" s="6" t="s">
        <v>240</v>
      </c>
      <c r="E190" s="6" t="s">
        <v>221</v>
      </c>
      <c r="F190" s="3">
        <v>30</v>
      </c>
      <c r="G190" s="43" t="e">
        <f ca="1">VLOOKUP(C190,[10]ATTANDANCE!$B$5:$AQ$110,42,0)-H190</f>
        <v>#REF!</v>
      </c>
      <c r="H190" s="8" t="e">
        <f t="shared" ca="1" si="22"/>
        <v>#REF!</v>
      </c>
      <c r="I190" s="8" t="e">
        <f t="shared" ca="1" si="23"/>
        <v>#REF!</v>
      </c>
      <c r="J190" s="8" t="e">
        <f t="shared" ca="1" si="24"/>
        <v>#REF!</v>
      </c>
      <c r="K190" s="8" t="e">
        <f t="shared" ca="1" si="25"/>
        <v>#REF!</v>
      </c>
      <c r="L190" s="8" t="e">
        <f t="shared" ca="1" si="26"/>
        <v>#REF!</v>
      </c>
      <c r="M190" s="9">
        <v>5068</v>
      </c>
      <c r="N190" s="8">
        <v>1950</v>
      </c>
      <c r="O190" s="8" t="e">
        <f t="shared" ca="1" si="27"/>
        <v>#REF!</v>
      </c>
      <c r="P190" s="8">
        <v>400</v>
      </c>
    </row>
    <row r="191" spans="1:16" x14ac:dyDescent="0.25">
      <c r="A191" s="2" t="s">
        <v>252</v>
      </c>
      <c r="B191" s="6">
        <f t="shared" si="3"/>
        <v>190</v>
      </c>
      <c r="C191" s="7">
        <v>11752</v>
      </c>
      <c r="D191" s="6" t="s">
        <v>241</v>
      </c>
      <c r="E191" s="6" t="s">
        <v>221</v>
      </c>
      <c r="F191" s="3">
        <v>30</v>
      </c>
      <c r="G191" s="43" t="e">
        <f ca="1">VLOOKUP(C191,[10]ATTANDANCE!$B$5:$AQ$110,42,0)-H191</f>
        <v>#REF!</v>
      </c>
      <c r="H191" s="8" t="e">
        <f ca="1">SUM(A191:G191)</f>
        <v>#REF!</v>
      </c>
      <c r="I191" s="8" t="e">
        <f ca="1">IF((H191-C191)&lt;15000,(H191-C191)*12%,1800)</f>
        <v>#REF!</v>
      </c>
      <c r="J191" s="8" t="e">
        <f ca="1">H191*0.75%</f>
        <v>#REF!</v>
      </c>
      <c r="K191" s="8" t="e">
        <f ca="1">IF(H191&gt;20000,200,IF(H191&gt;15000,150,0))</f>
        <v>#REF!</v>
      </c>
      <c r="L191" s="8" t="e">
        <f ca="1">H191+I191+J191+K191</f>
        <v>#REF!</v>
      </c>
      <c r="M191" s="9">
        <v>8446</v>
      </c>
      <c r="N191" s="8">
        <v>1950</v>
      </c>
      <c r="O191" s="8" t="e">
        <f ca="1">G191*3.25%</f>
        <v>#REF!</v>
      </c>
      <c r="P191" s="8">
        <v>400</v>
      </c>
    </row>
    <row r="192" spans="1:16" x14ac:dyDescent="0.25">
      <c r="A192" s="2" t="s">
        <v>252</v>
      </c>
      <c r="B192" s="6">
        <f t="shared" si="3"/>
        <v>191</v>
      </c>
      <c r="C192" s="7">
        <v>11980</v>
      </c>
      <c r="D192" s="6" t="s">
        <v>242</v>
      </c>
      <c r="E192" s="6" t="s">
        <v>221</v>
      </c>
      <c r="F192" s="3">
        <v>30</v>
      </c>
      <c r="G192" s="43" t="e">
        <f ca="1">VLOOKUP(C192,[10]ATTANDANCE!$B$5:$AQ$110,42,0)-H192</f>
        <v>#REF!</v>
      </c>
      <c r="H192" s="8" t="e">
        <f t="shared" ref="H192:H200" ca="1" si="28">SUM(A192:G192)</f>
        <v>#REF!</v>
      </c>
      <c r="I192" s="8" t="e">
        <f ca="1">IF((H192-C192)&lt;15000,(H192-C192)*12%,1800)</f>
        <v>#REF!</v>
      </c>
      <c r="J192" s="8" t="e">
        <f ca="1">H192*0.75%</f>
        <v>#REF!</v>
      </c>
      <c r="K192" s="8" t="e">
        <f ca="1">IF(H192&gt;20000,200,IF(H192&gt;15000,150,0))</f>
        <v>#REF!</v>
      </c>
      <c r="L192" s="8" t="e">
        <f ca="1">H192+I192+J192+K192</f>
        <v>#REF!</v>
      </c>
      <c r="M192" s="9">
        <v>11742</v>
      </c>
      <c r="N192" s="8">
        <v>1950</v>
      </c>
      <c r="O192" s="8" t="e">
        <f t="shared" ref="O192:O200" ca="1" si="29">G192*3.25%</f>
        <v>#REF!</v>
      </c>
      <c r="P192" s="8">
        <v>400</v>
      </c>
    </row>
    <row r="193" spans="1:16" x14ac:dyDescent="0.25">
      <c r="A193" s="2" t="s">
        <v>252</v>
      </c>
      <c r="B193" s="6">
        <f t="shared" si="3"/>
        <v>192</v>
      </c>
      <c r="C193" s="44">
        <v>11173</v>
      </c>
      <c r="D193" s="45" t="s">
        <v>243</v>
      </c>
      <c r="E193" s="6" t="s">
        <v>221</v>
      </c>
      <c r="F193" s="3">
        <v>30</v>
      </c>
      <c r="G193" s="43" t="e">
        <f ca="1">VLOOKUP(C193,[10]ATTANDANCE!$B$5:$AQ$110,42,0)-H193</f>
        <v>#REF!</v>
      </c>
      <c r="H193" s="8" t="e">
        <f t="shared" ca="1" si="28"/>
        <v>#REF!</v>
      </c>
      <c r="I193" s="8" t="e">
        <f t="shared" ref="I193:I196" ca="1" si="30">IF((H193-C193)&lt;15000,(H193-C193)*12%,1800)</f>
        <v>#REF!</v>
      </c>
      <c r="J193" s="8" t="e">
        <f t="shared" ref="J193:J196" ca="1" si="31">H193*0.75%</f>
        <v>#REF!</v>
      </c>
      <c r="K193" s="8" t="e">
        <f t="shared" ref="K193:K200" ca="1" si="32">IF(H193&gt;20000,200,IF(H193&gt;15000,150,0))</f>
        <v>#REF!</v>
      </c>
      <c r="L193" s="8" t="e">
        <f t="shared" ref="L193:L196" ca="1" si="33">H193+I193+J193+K193</f>
        <v>#REF!</v>
      </c>
      <c r="M193" s="9">
        <v>13199</v>
      </c>
      <c r="N193" s="8">
        <v>1950</v>
      </c>
      <c r="O193" s="8" t="e">
        <f t="shared" ca="1" si="29"/>
        <v>#REF!</v>
      </c>
      <c r="P193" s="8">
        <v>400</v>
      </c>
    </row>
    <row r="194" spans="1:16" x14ac:dyDescent="0.25">
      <c r="A194" s="2" t="s">
        <v>252</v>
      </c>
      <c r="B194" s="6">
        <f t="shared" si="3"/>
        <v>193</v>
      </c>
      <c r="C194" s="44">
        <v>11258</v>
      </c>
      <c r="D194" s="45" t="s">
        <v>244</v>
      </c>
      <c r="E194" s="6" t="s">
        <v>221</v>
      </c>
      <c r="F194" s="3">
        <v>30</v>
      </c>
      <c r="G194" s="43" t="e">
        <f ca="1">VLOOKUP(C194,[10]ATTANDANCE!$B$5:$AQ$110,42,0)-H194</f>
        <v>#REF!</v>
      </c>
      <c r="H194" s="8" t="e">
        <f t="shared" ca="1" si="28"/>
        <v>#REF!</v>
      </c>
      <c r="I194" s="8" t="e">
        <f t="shared" ca="1" si="30"/>
        <v>#REF!</v>
      </c>
      <c r="J194" s="8" t="e">
        <f t="shared" ca="1" si="31"/>
        <v>#REF!</v>
      </c>
      <c r="K194" s="8" t="e">
        <f t="shared" ca="1" si="32"/>
        <v>#REF!</v>
      </c>
      <c r="L194" s="8" t="e">
        <f t="shared" ca="1" si="33"/>
        <v>#REF!</v>
      </c>
      <c r="M194" s="9">
        <v>13844</v>
      </c>
      <c r="N194" s="8">
        <v>1950</v>
      </c>
      <c r="O194" s="8" t="e">
        <f t="shared" ca="1" si="29"/>
        <v>#REF!</v>
      </c>
      <c r="P194" s="8">
        <v>400</v>
      </c>
    </row>
    <row r="195" spans="1:16" x14ac:dyDescent="0.25">
      <c r="A195" s="2" t="s">
        <v>252</v>
      </c>
      <c r="B195" s="6">
        <f t="shared" ref="B195:B258" si="34">B194+1</f>
        <v>194</v>
      </c>
      <c r="C195" s="7">
        <v>12016</v>
      </c>
      <c r="D195" s="6" t="s">
        <v>245</v>
      </c>
      <c r="E195" s="6" t="s">
        <v>221</v>
      </c>
      <c r="F195" s="3">
        <v>30</v>
      </c>
      <c r="G195" s="43" t="e">
        <f ca="1">VLOOKUP(C195,[10]ATTANDANCE!$B$5:$AQ$110,42,0)-H195</f>
        <v>#REF!</v>
      </c>
      <c r="H195" s="8" t="e">
        <f t="shared" ca="1" si="28"/>
        <v>#REF!</v>
      </c>
      <c r="I195" s="8" t="e">
        <f t="shared" ca="1" si="30"/>
        <v>#REF!</v>
      </c>
      <c r="J195" s="8" t="e">
        <f t="shared" ca="1" si="31"/>
        <v>#REF!</v>
      </c>
      <c r="K195" s="8" t="e">
        <f t="shared" ca="1" si="32"/>
        <v>#REF!</v>
      </c>
      <c r="L195" s="8" t="e">
        <f t="shared" ca="1" si="33"/>
        <v>#REF!</v>
      </c>
      <c r="M195" s="9">
        <v>3941</v>
      </c>
      <c r="N195" s="8">
        <v>1950</v>
      </c>
      <c r="O195" s="8" t="e">
        <f t="shared" ca="1" si="29"/>
        <v>#REF!</v>
      </c>
      <c r="P195" s="8">
        <v>400</v>
      </c>
    </row>
    <row r="196" spans="1:16" x14ac:dyDescent="0.25">
      <c r="A196" s="2" t="s">
        <v>252</v>
      </c>
      <c r="B196" s="6">
        <f t="shared" si="34"/>
        <v>195</v>
      </c>
      <c r="C196" s="44">
        <v>11627</v>
      </c>
      <c r="D196" s="45" t="s">
        <v>246</v>
      </c>
      <c r="E196" s="6" t="s">
        <v>221</v>
      </c>
      <c r="F196" s="3">
        <v>30</v>
      </c>
      <c r="G196" s="43" t="e">
        <f ca="1">VLOOKUP(C196,[10]ATTANDANCE!$B$5:$AQ$110,42,0)-H196</f>
        <v>#REF!</v>
      </c>
      <c r="H196" s="8" t="e">
        <f t="shared" ca="1" si="28"/>
        <v>#REF!</v>
      </c>
      <c r="I196" s="8" t="e">
        <f t="shared" ca="1" si="30"/>
        <v>#REF!</v>
      </c>
      <c r="J196" s="8" t="e">
        <f t="shared" ca="1" si="31"/>
        <v>#REF!</v>
      </c>
      <c r="K196" s="8" t="e">
        <f t="shared" ca="1" si="32"/>
        <v>#REF!</v>
      </c>
      <c r="L196" s="8" t="e">
        <f t="shared" ca="1" si="33"/>
        <v>#REF!</v>
      </c>
      <c r="M196" s="9">
        <v>15652</v>
      </c>
      <c r="N196" s="8">
        <v>1950</v>
      </c>
      <c r="O196" s="8" t="e">
        <f t="shared" ca="1" si="29"/>
        <v>#REF!</v>
      </c>
      <c r="P196" s="8">
        <v>400</v>
      </c>
    </row>
    <row r="197" spans="1:16" x14ac:dyDescent="0.25">
      <c r="A197" s="2" t="s">
        <v>252</v>
      </c>
      <c r="B197" s="6">
        <f t="shared" si="34"/>
        <v>196</v>
      </c>
      <c r="C197" s="16">
        <v>11296</v>
      </c>
      <c r="D197" s="2" t="s">
        <v>247</v>
      </c>
      <c r="E197" s="6" t="s">
        <v>248</v>
      </c>
      <c r="F197" s="3">
        <v>30</v>
      </c>
      <c r="G197" s="43" t="e">
        <f ca="1">VLOOKUP(C197,[10]ATTANDANCE!$B$5:$AQ$110,42,0)-H197</f>
        <v>#REF!</v>
      </c>
      <c r="H197" s="8" t="e">
        <f t="shared" ca="1" si="28"/>
        <v>#REF!</v>
      </c>
      <c r="I197" s="8" t="e">
        <f t="shared" ca="1" si="6"/>
        <v>#REF!</v>
      </c>
      <c r="J197" s="8" t="e">
        <f t="shared" ca="1" si="11"/>
        <v>#REF!</v>
      </c>
      <c r="K197" s="8" t="e">
        <f t="shared" ca="1" si="32"/>
        <v>#REF!</v>
      </c>
      <c r="L197" s="8" t="e">
        <f t="shared" ca="1" si="9"/>
        <v>#REF!</v>
      </c>
      <c r="M197" s="9">
        <v>17547</v>
      </c>
      <c r="N197" s="8">
        <v>1950</v>
      </c>
      <c r="O197" s="8" t="e">
        <f t="shared" ca="1" si="29"/>
        <v>#REF!</v>
      </c>
      <c r="P197" s="8">
        <v>400</v>
      </c>
    </row>
    <row r="198" spans="1:16" x14ac:dyDescent="0.25">
      <c r="A198" s="2" t="s">
        <v>252</v>
      </c>
      <c r="B198" s="6">
        <f t="shared" si="34"/>
        <v>197</v>
      </c>
      <c r="C198" s="16">
        <v>11297</v>
      </c>
      <c r="D198" s="2" t="s">
        <v>249</v>
      </c>
      <c r="E198" s="6" t="s">
        <v>248</v>
      </c>
      <c r="F198" s="3">
        <v>30</v>
      </c>
      <c r="G198" s="43" t="e">
        <f ca="1">VLOOKUP(C198,[10]ATTANDANCE!$B$5:$AQ$110,42,0)-H198</f>
        <v>#REF!</v>
      </c>
      <c r="H198" s="8" t="e">
        <f t="shared" ca="1" si="28"/>
        <v>#REF!</v>
      </c>
      <c r="I198" s="8" t="e">
        <f t="shared" ca="1" si="6"/>
        <v>#REF!</v>
      </c>
      <c r="J198" s="8" t="e">
        <f t="shared" ca="1" si="11"/>
        <v>#REF!</v>
      </c>
      <c r="K198" s="8" t="e">
        <f t="shared" ca="1" si="32"/>
        <v>#REF!</v>
      </c>
      <c r="L198" s="8" t="e">
        <f t="shared" ca="1" si="9"/>
        <v>#REF!</v>
      </c>
      <c r="M198" s="9">
        <v>17547</v>
      </c>
      <c r="N198" s="8">
        <v>1950</v>
      </c>
      <c r="O198" s="8" t="e">
        <f t="shared" ca="1" si="29"/>
        <v>#REF!</v>
      </c>
      <c r="P198" s="8">
        <v>400</v>
      </c>
    </row>
    <row r="199" spans="1:16" x14ac:dyDescent="0.25">
      <c r="A199" s="2" t="s">
        <v>252</v>
      </c>
      <c r="B199" s="6">
        <f t="shared" si="34"/>
        <v>198</v>
      </c>
      <c r="C199" s="16">
        <v>11299</v>
      </c>
      <c r="D199" s="2" t="s">
        <v>250</v>
      </c>
      <c r="E199" s="6" t="s">
        <v>248</v>
      </c>
      <c r="F199" s="3">
        <v>30</v>
      </c>
      <c r="G199" s="43" t="e">
        <f ca="1">VLOOKUP(C199,[10]ATTANDANCE!$B$5:$AQ$110,42,0)-H199</f>
        <v>#REF!</v>
      </c>
      <c r="H199" s="8" t="e">
        <f t="shared" ca="1" si="28"/>
        <v>#REF!</v>
      </c>
      <c r="I199" s="8" t="e">
        <f t="shared" ca="1" si="6"/>
        <v>#REF!</v>
      </c>
      <c r="J199" s="8" t="e">
        <f t="shared" ca="1" si="11"/>
        <v>#REF!</v>
      </c>
      <c r="K199" s="8" t="e">
        <f t="shared" ca="1" si="32"/>
        <v>#REF!</v>
      </c>
      <c r="L199" s="8" t="e">
        <f t="shared" ca="1" si="9"/>
        <v>#REF!</v>
      </c>
      <c r="M199" s="9">
        <v>16283</v>
      </c>
      <c r="N199" s="8">
        <v>1950</v>
      </c>
      <c r="O199" s="8" t="e">
        <f t="shared" ca="1" si="29"/>
        <v>#REF!</v>
      </c>
      <c r="P199" s="8">
        <v>400</v>
      </c>
    </row>
    <row r="200" spans="1:16" x14ac:dyDescent="0.25">
      <c r="A200" s="2" t="s">
        <v>252</v>
      </c>
      <c r="B200" s="6">
        <f t="shared" si="34"/>
        <v>199</v>
      </c>
      <c r="C200" s="16">
        <v>11300</v>
      </c>
      <c r="D200" s="2" t="s">
        <v>251</v>
      </c>
      <c r="E200" s="6" t="s">
        <v>248</v>
      </c>
      <c r="F200" s="3">
        <v>30</v>
      </c>
      <c r="G200" s="43" t="e">
        <f ca="1">VLOOKUP(C200,[10]ATTANDANCE!$B$5:$AQ$110,42,0)-H200</f>
        <v>#REF!</v>
      </c>
      <c r="H200" s="8" t="e">
        <f t="shared" ca="1" si="28"/>
        <v>#REF!</v>
      </c>
      <c r="I200" s="8" t="e">
        <f t="shared" ca="1" si="6"/>
        <v>#REF!</v>
      </c>
      <c r="J200" s="8" t="e">
        <f t="shared" ca="1" si="11"/>
        <v>#REF!</v>
      </c>
      <c r="K200" s="8" t="e">
        <f t="shared" ca="1" si="32"/>
        <v>#REF!</v>
      </c>
      <c r="L200" s="8" t="e">
        <f t="shared" ca="1" si="9"/>
        <v>#REF!</v>
      </c>
      <c r="M200" s="9">
        <v>17462</v>
      </c>
      <c r="N200" s="8">
        <v>1950</v>
      </c>
      <c r="O200" s="8" t="e">
        <f t="shared" ca="1" si="29"/>
        <v>#REF!</v>
      </c>
      <c r="P200" s="8">
        <v>400</v>
      </c>
    </row>
    <row r="201" spans="1:16" x14ac:dyDescent="0.25">
      <c r="A201" s="2" t="s">
        <v>263</v>
      </c>
      <c r="B201" s="6">
        <f t="shared" si="34"/>
        <v>200</v>
      </c>
      <c r="C201" s="46">
        <v>10613</v>
      </c>
      <c r="D201" s="47" t="s">
        <v>253</v>
      </c>
      <c r="E201" s="47" t="s">
        <v>254</v>
      </c>
      <c r="F201" s="47">
        <v>31</v>
      </c>
      <c r="G201" s="47">
        <f>VLOOKUP($C201,[11]ATTANDANCE!$B$7:$AQ$22,42,0)</f>
        <v>31</v>
      </c>
      <c r="H201" s="33">
        <v>32000</v>
      </c>
      <c r="I201" s="33">
        <v>1800</v>
      </c>
      <c r="J201" s="33">
        <v>0</v>
      </c>
      <c r="K201" s="33">
        <v>200</v>
      </c>
      <c r="L201" s="33">
        <v>2000</v>
      </c>
      <c r="M201" s="48">
        <v>30000</v>
      </c>
      <c r="N201" s="8">
        <v>1950</v>
      </c>
      <c r="O201" s="33">
        <v>1800</v>
      </c>
      <c r="P201" s="6"/>
    </row>
    <row r="202" spans="1:16" x14ac:dyDescent="0.25">
      <c r="A202" s="2" t="s">
        <v>263</v>
      </c>
      <c r="B202" s="6">
        <f t="shared" si="34"/>
        <v>201</v>
      </c>
      <c r="C202" s="46">
        <v>10619</v>
      </c>
      <c r="D202" s="47" t="s">
        <v>255</v>
      </c>
      <c r="E202" s="47" t="s">
        <v>256</v>
      </c>
      <c r="F202" s="47">
        <v>31</v>
      </c>
      <c r="G202" s="47">
        <f>VLOOKUP($C202,[11]ATTANDANCE!$B$7:$AQ$22,42,0)</f>
        <v>31</v>
      </c>
      <c r="H202" s="33">
        <v>28000</v>
      </c>
      <c r="I202" s="33">
        <v>1800</v>
      </c>
      <c r="J202" s="33">
        <v>0</v>
      </c>
      <c r="K202" s="33">
        <v>200</v>
      </c>
      <c r="L202" s="33">
        <v>2000</v>
      </c>
      <c r="M202" s="48">
        <v>26000</v>
      </c>
      <c r="N202" s="8">
        <v>1950</v>
      </c>
      <c r="O202" s="33">
        <v>1800</v>
      </c>
      <c r="P202" s="6"/>
    </row>
    <row r="203" spans="1:16" x14ac:dyDescent="0.25">
      <c r="A203" s="2" t="s">
        <v>263</v>
      </c>
      <c r="B203" s="6">
        <f t="shared" si="34"/>
        <v>202</v>
      </c>
      <c r="C203" s="46">
        <v>10617</v>
      </c>
      <c r="D203" s="47" t="s">
        <v>257</v>
      </c>
      <c r="E203" s="47" t="s">
        <v>256</v>
      </c>
      <c r="F203" s="47">
        <v>31</v>
      </c>
      <c r="G203" s="47">
        <f>VLOOKUP($C203,[11]ATTANDANCE!$B$7:$AQ$22,42,0)</f>
        <v>31</v>
      </c>
      <c r="H203" s="33">
        <v>28000</v>
      </c>
      <c r="I203" s="33">
        <v>1800</v>
      </c>
      <c r="J203" s="33">
        <v>0</v>
      </c>
      <c r="K203" s="33">
        <v>200</v>
      </c>
      <c r="L203" s="33">
        <v>2000</v>
      </c>
      <c r="M203" s="48">
        <v>26000</v>
      </c>
      <c r="N203" s="8">
        <v>1950</v>
      </c>
      <c r="O203" s="33">
        <v>1800</v>
      </c>
      <c r="P203" s="6"/>
    </row>
    <row r="204" spans="1:16" x14ac:dyDescent="0.25">
      <c r="A204" s="2" t="s">
        <v>263</v>
      </c>
      <c r="B204" s="6">
        <f t="shared" si="34"/>
        <v>203</v>
      </c>
      <c r="C204" s="46">
        <v>10620</v>
      </c>
      <c r="D204" s="47" t="s">
        <v>258</v>
      </c>
      <c r="E204" s="47" t="s">
        <v>256</v>
      </c>
      <c r="F204" s="47">
        <v>31</v>
      </c>
      <c r="G204" s="47">
        <f>VLOOKUP($C204,[11]ATTANDANCE!$B$7:$AQ$22,42,0)</f>
        <v>31</v>
      </c>
      <c r="H204" s="33">
        <v>28000</v>
      </c>
      <c r="I204" s="33">
        <v>1800</v>
      </c>
      <c r="J204" s="33">
        <v>0</v>
      </c>
      <c r="K204" s="33">
        <v>200</v>
      </c>
      <c r="L204" s="33">
        <v>2000</v>
      </c>
      <c r="M204" s="48">
        <v>26000</v>
      </c>
      <c r="N204" s="8">
        <v>1950</v>
      </c>
      <c r="O204" s="33">
        <v>1800</v>
      </c>
      <c r="P204" s="6"/>
    </row>
    <row r="205" spans="1:16" x14ac:dyDescent="0.25">
      <c r="A205" s="2" t="s">
        <v>263</v>
      </c>
      <c r="B205" s="6">
        <f t="shared" si="34"/>
        <v>204</v>
      </c>
      <c r="C205" s="49">
        <v>10925</v>
      </c>
      <c r="D205" s="47" t="s">
        <v>259</v>
      </c>
      <c r="E205" s="47" t="s">
        <v>256</v>
      </c>
      <c r="F205" s="47">
        <v>31</v>
      </c>
      <c r="G205" s="47">
        <f>VLOOKUP($C205,[11]ATTANDANCE!$B$7:$AQ$22,42,0)</f>
        <v>31</v>
      </c>
      <c r="H205" s="33">
        <v>28000</v>
      </c>
      <c r="I205" s="33">
        <v>1800</v>
      </c>
      <c r="J205" s="33">
        <v>0</v>
      </c>
      <c r="K205" s="33">
        <v>200</v>
      </c>
      <c r="L205" s="33">
        <v>2000</v>
      </c>
      <c r="M205" s="48">
        <v>26000</v>
      </c>
      <c r="N205" s="8">
        <v>1950</v>
      </c>
      <c r="O205" s="33">
        <v>1800</v>
      </c>
      <c r="P205" s="6"/>
    </row>
    <row r="206" spans="1:16" x14ac:dyDescent="0.25">
      <c r="A206" s="2" t="s">
        <v>263</v>
      </c>
      <c r="B206" s="6">
        <f t="shared" si="34"/>
        <v>205</v>
      </c>
      <c r="C206" s="46">
        <v>10616</v>
      </c>
      <c r="D206" s="47" t="s">
        <v>260</v>
      </c>
      <c r="E206" s="47" t="s">
        <v>256</v>
      </c>
      <c r="F206" s="47">
        <v>31</v>
      </c>
      <c r="G206" s="47">
        <f>VLOOKUP($C206,[11]ATTANDANCE!$B$7:$AQ$22,42,0)</f>
        <v>31</v>
      </c>
      <c r="H206" s="33">
        <v>28000</v>
      </c>
      <c r="I206" s="33">
        <v>1800</v>
      </c>
      <c r="J206" s="33">
        <v>0</v>
      </c>
      <c r="K206" s="33">
        <v>200</v>
      </c>
      <c r="L206" s="33">
        <v>2000</v>
      </c>
      <c r="M206" s="48">
        <v>26000</v>
      </c>
      <c r="N206" s="8">
        <v>1950</v>
      </c>
      <c r="O206" s="33">
        <v>1800</v>
      </c>
      <c r="P206" s="6"/>
    </row>
    <row r="207" spans="1:16" x14ac:dyDescent="0.25">
      <c r="A207" s="2" t="s">
        <v>263</v>
      </c>
      <c r="B207" s="6">
        <f t="shared" si="34"/>
        <v>206</v>
      </c>
      <c r="C207" s="50">
        <v>11974</v>
      </c>
      <c r="D207" s="47" t="s">
        <v>261</v>
      </c>
      <c r="E207" s="47" t="s">
        <v>256</v>
      </c>
      <c r="F207" s="47">
        <v>31</v>
      </c>
      <c r="G207" s="47">
        <f>VLOOKUP($C207,[11]ATTANDANCE!$B$7:$AQ$22,42,0)</f>
        <v>31</v>
      </c>
      <c r="H207" s="33">
        <v>28000</v>
      </c>
      <c r="I207" s="33">
        <v>1800</v>
      </c>
      <c r="J207" s="33">
        <v>0</v>
      </c>
      <c r="K207" s="33">
        <v>200</v>
      </c>
      <c r="L207" s="33">
        <v>2000</v>
      </c>
      <c r="M207" s="48">
        <v>26000</v>
      </c>
      <c r="N207" s="8">
        <v>1950</v>
      </c>
      <c r="O207" s="33">
        <v>1800</v>
      </c>
      <c r="P207" s="6"/>
    </row>
    <row r="208" spans="1:16" x14ac:dyDescent="0.25">
      <c r="A208" s="2" t="s">
        <v>263</v>
      </c>
      <c r="B208" s="6">
        <f t="shared" si="34"/>
        <v>207</v>
      </c>
      <c r="C208" s="49">
        <v>11669</v>
      </c>
      <c r="D208" s="51" t="s">
        <v>262</v>
      </c>
      <c r="E208" s="47" t="s">
        <v>256</v>
      </c>
      <c r="F208" s="47">
        <v>31</v>
      </c>
      <c r="G208" s="47">
        <f>VLOOKUP($C208,[11]ATTANDANCE!$B$7:$AQ$22,42,0)</f>
        <v>31</v>
      </c>
      <c r="H208" s="33">
        <v>28000</v>
      </c>
      <c r="I208" s="33">
        <v>1800</v>
      </c>
      <c r="J208" s="33">
        <v>0</v>
      </c>
      <c r="K208" s="33">
        <v>200</v>
      </c>
      <c r="L208" s="33">
        <v>2000</v>
      </c>
      <c r="M208" s="48">
        <v>26000</v>
      </c>
      <c r="N208" s="8">
        <v>1950</v>
      </c>
      <c r="O208" s="33">
        <v>1800</v>
      </c>
      <c r="P208" s="6"/>
    </row>
    <row r="209" spans="1:16" x14ac:dyDescent="0.25">
      <c r="A209" s="2" t="s">
        <v>270</v>
      </c>
      <c r="B209" s="6">
        <f t="shared" si="34"/>
        <v>208</v>
      </c>
      <c r="C209" s="52">
        <v>10473</v>
      </c>
      <c r="D209" s="53" t="s">
        <v>264</v>
      </c>
      <c r="E209" s="47" t="s">
        <v>254</v>
      </c>
      <c r="F209" s="47">
        <v>31</v>
      </c>
      <c r="G209" s="3">
        <v>31</v>
      </c>
      <c r="H209" s="33">
        <v>28500</v>
      </c>
      <c r="I209" s="33">
        <v>1800</v>
      </c>
      <c r="J209" s="33">
        <v>0</v>
      </c>
      <c r="K209" s="33">
        <v>200</v>
      </c>
      <c r="L209" s="33">
        <v>2000</v>
      </c>
      <c r="M209" s="48">
        <v>26500</v>
      </c>
      <c r="N209" s="8">
        <v>1950</v>
      </c>
      <c r="O209" s="33">
        <v>1800</v>
      </c>
      <c r="P209" s="6"/>
    </row>
    <row r="210" spans="1:16" x14ac:dyDescent="0.25">
      <c r="A210" s="2" t="s">
        <v>270</v>
      </c>
      <c r="B210" s="6">
        <f t="shared" si="34"/>
        <v>209</v>
      </c>
      <c r="C210" s="52">
        <v>11694</v>
      </c>
      <c r="D210" s="53" t="s">
        <v>265</v>
      </c>
      <c r="E210" s="54" t="s">
        <v>256</v>
      </c>
      <c r="F210" s="47">
        <v>31</v>
      </c>
      <c r="G210" s="3">
        <v>31</v>
      </c>
      <c r="H210" s="33">
        <v>24500</v>
      </c>
      <c r="I210" s="33">
        <v>1800</v>
      </c>
      <c r="J210" s="33">
        <v>0</v>
      </c>
      <c r="K210" s="33">
        <v>200</v>
      </c>
      <c r="L210" s="33">
        <v>2000</v>
      </c>
      <c r="M210" s="48">
        <v>22500</v>
      </c>
      <c r="N210" s="8">
        <v>1950</v>
      </c>
      <c r="O210" s="33">
        <v>1800</v>
      </c>
      <c r="P210" s="6"/>
    </row>
    <row r="211" spans="1:16" x14ac:dyDescent="0.25">
      <c r="A211" s="2" t="s">
        <v>270</v>
      </c>
      <c r="B211" s="6">
        <f t="shared" si="34"/>
        <v>210</v>
      </c>
      <c r="C211" s="52">
        <v>11307</v>
      </c>
      <c r="D211" s="53" t="s">
        <v>266</v>
      </c>
      <c r="E211" s="54" t="s">
        <v>256</v>
      </c>
      <c r="F211" s="47">
        <v>31</v>
      </c>
      <c r="G211" s="3">
        <v>31</v>
      </c>
      <c r="H211" s="33">
        <v>24500</v>
      </c>
      <c r="I211" s="33">
        <v>1800</v>
      </c>
      <c r="J211" s="33">
        <v>0</v>
      </c>
      <c r="K211" s="33">
        <v>200</v>
      </c>
      <c r="L211" s="33">
        <v>2000</v>
      </c>
      <c r="M211" s="48">
        <v>22500</v>
      </c>
      <c r="N211" s="8">
        <v>1950</v>
      </c>
      <c r="O211" s="33">
        <v>1800</v>
      </c>
      <c r="P211" s="6"/>
    </row>
    <row r="212" spans="1:16" x14ac:dyDescent="0.25">
      <c r="A212" s="2" t="s">
        <v>270</v>
      </c>
      <c r="B212" s="6">
        <f t="shared" si="34"/>
        <v>211</v>
      </c>
      <c r="C212" s="55">
        <v>10471</v>
      </c>
      <c r="D212" s="56" t="s">
        <v>267</v>
      </c>
      <c r="E212" s="54" t="s">
        <v>256</v>
      </c>
      <c r="F212" s="47">
        <v>31</v>
      </c>
      <c r="G212" s="3">
        <v>31</v>
      </c>
      <c r="H212" s="33">
        <v>24500</v>
      </c>
      <c r="I212" s="33">
        <v>1800</v>
      </c>
      <c r="J212" s="33">
        <v>0</v>
      </c>
      <c r="K212" s="33">
        <v>200</v>
      </c>
      <c r="L212" s="33">
        <v>2000</v>
      </c>
      <c r="M212" s="48">
        <v>22500</v>
      </c>
      <c r="N212" s="8">
        <v>1950</v>
      </c>
      <c r="O212" s="33">
        <v>1800</v>
      </c>
      <c r="P212" s="6"/>
    </row>
    <row r="213" spans="1:16" x14ac:dyDescent="0.25">
      <c r="A213" s="2" t="s">
        <v>270</v>
      </c>
      <c r="B213" s="6">
        <f t="shared" si="34"/>
        <v>212</v>
      </c>
      <c r="C213" s="55">
        <v>11861</v>
      </c>
      <c r="D213" s="56" t="s">
        <v>268</v>
      </c>
      <c r="E213" s="54" t="s">
        <v>256</v>
      </c>
      <c r="F213" s="47">
        <v>31</v>
      </c>
      <c r="G213" s="3">
        <v>31</v>
      </c>
      <c r="H213" s="33">
        <v>24500</v>
      </c>
      <c r="I213" s="33">
        <v>1800</v>
      </c>
      <c r="J213" s="33">
        <v>0</v>
      </c>
      <c r="K213" s="33">
        <v>200</v>
      </c>
      <c r="L213" s="33">
        <v>2000</v>
      </c>
      <c r="M213" s="48">
        <v>22500</v>
      </c>
      <c r="N213" s="8">
        <v>1950</v>
      </c>
      <c r="O213" s="33">
        <v>1800</v>
      </c>
      <c r="P213" s="6"/>
    </row>
    <row r="214" spans="1:16" x14ac:dyDescent="0.25">
      <c r="A214" s="2" t="s">
        <v>270</v>
      </c>
      <c r="B214" s="6">
        <f t="shared" si="34"/>
        <v>213</v>
      </c>
      <c r="C214" s="55">
        <v>11863</v>
      </c>
      <c r="D214" s="56" t="s">
        <v>269</v>
      </c>
      <c r="E214" s="54" t="s">
        <v>256</v>
      </c>
      <c r="F214" s="47">
        <v>31</v>
      </c>
      <c r="G214" s="3">
        <v>31</v>
      </c>
      <c r="H214" s="33">
        <v>24500</v>
      </c>
      <c r="I214" s="33">
        <v>1800</v>
      </c>
      <c r="J214" s="33">
        <v>0</v>
      </c>
      <c r="K214" s="33">
        <v>200</v>
      </c>
      <c r="L214" s="33">
        <v>2000</v>
      </c>
      <c r="M214" s="48">
        <v>22500</v>
      </c>
      <c r="N214" s="8">
        <v>1950</v>
      </c>
      <c r="O214" s="33">
        <v>1800</v>
      </c>
      <c r="P214" s="6"/>
    </row>
    <row r="215" spans="1:16" x14ac:dyDescent="0.25">
      <c r="A215" s="2" t="s">
        <v>273</v>
      </c>
      <c r="B215" s="6">
        <f t="shared" si="34"/>
        <v>214</v>
      </c>
      <c r="C215" s="39">
        <v>10771</v>
      </c>
      <c r="D215" s="40" t="s">
        <v>271</v>
      </c>
      <c r="E215" s="6" t="s">
        <v>272</v>
      </c>
      <c r="F215" s="2">
        <v>31</v>
      </c>
      <c r="G215" s="8">
        <v>31</v>
      </c>
      <c r="H215" s="14">
        <v>33000.165800000002</v>
      </c>
      <c r="I215" s="14">
        <v>1800</v>
      </c>
      <c r="J215" s="14">
        <v>0</v>
      </c>
      <c r="K215" s="14">
        <v>200</v>
      </c>
      <c r="L215" s="14">
        <v>2000</v>
      </c>
      <c r="M215" s="15">
        <v>31000.165800000002</v>
      </c>
      <c r="N215" s="8">
        <v>1950</v>
      </c>
      <c r="O215" s="6"/>
      <c r="P215" s="6"/>
    </row>
    <row r="216" spans="1:16" x14ac:dyDescent="0.25">
      <c r="A216" s="2" t="s">
        <v>276</v>
      </c>
      <c r="B216" s="6">
        <f t="shared" si="34"/>
        <v>215</v>
      </c>
      <c r="C216" s="16">
        <v>10764</v>
      </c>
      <c r="D216" s="6" t="s">
        <v>274</v>
      </c>
      <c r="E216" s="6" t="s">
        <v>15</v>
      </c>
      <c r="F216" s="2">
        <v>31</v>
      </c>
      <c r="G216" s="8">
        <v>31</v>
      </c>
      <c r="H216" s="14">
        <v>19112.130645161291</v>
      </c>
      <c r="I216" s="14">
        <v>1800</v>
      </c>
      <c r="J216" s="14">
        <v>143.34097983870967</v>
      </c>
      <c r="K216" s="14">
        <v>150</v>
      </c>
      <c r="L216" s="14">
        <v>2093.3409798387097</v>
      </c>
      <c r="M216" s="15">
        <v>17018.78966532258</v>
      </c>
      <c r="N216" s="8">
        <v>1950</v>
      </c>
      <c r="O216" s="6"/>
      <c r="P216" s="6"/>
    </row>
    <row r="217" spans="1:16" x14ac:dyDescent="0.25">
      <c r="A217" s="2" t="s">
        <v>276</v>
      </c>
      <c r="B217" s="6">
        <f t="shared" si="34"/>
        <v>216</v>
      </c>
      <c r="C217" s="16">
        <v>11641</v>
      </c>
      <c r="D217" s="6" t="s">
        <v>275</v>
      </c>
      <c r="E217" s="6" t="s">
        <v>15</v>
      </c>
      <c r="F217" s="2">
        <v>31</v>
      </c>
      <c r="G217" s="8">
        <v>29</v>
      </c>
      <c r="H217" s="14">
        <v>17390.224193548387</v>
      </c>
      <c r="I217" s="14">
        <v>1693.9236774193548</v>
      </c>
      <c r="J217" s="14">
        <v>130.42668145161289</v>
      </c>
      <c r="K217" s="14">
        <v>150</v>
      </c>
      <c r="L217" s="14">
        <v>1974.3503588709677</v>
      </c>
      <c r="M217" s="15">
        <v>15415.873834677419</v>
      </c>
      <c r="N217" s="8">
        <v>1835.0839838709678</v>
      </c>
      <c r="O217" s="6"/>
      <c r="P217" s="6"/>
    </row>
    <row r="218" spans="1:16" x14ac:dyDescent="0.25">
      <c r="A218" s="2" t="s">
        <v>279</v>
      </c>
      <c r="B218" s="6">
        <f t="shared" si="34"/>
        <v>217</v>
      </c>
      <c r="C218" s="16">
        <v>10897</v>
      </c>
      <c r="D218" s="2" t="s">
        <v>277</v>
      </c>
      <c r="E218" s="2" t="s">
        <v>278</v>
      </c>
      <c r="F218" s="3">
        <v>31</v>
      </c>
      <c r="G218" s="33">
        <f>VLOOKUP(C218,[12]ATTANDANCE!$B$7:$AQ$8,40)</f>
        <v>31</v>
      </c>
      <c r="H218" s="57">
        <f>SUM(A218:G218)</f>
        <v>11176</v>
      </c>
      <c r="I218" s="57">
        <f>IF((H218-C218)&lt;15000,(H218-C218)*12%,1800)</f>
        <v>33.479999999999997</v>
      </c>
      <c r="J218" s="14">
        <f>H218*0.75%</f>
        <v>83.82</v>
      </c>
      <c r="K218" s="8">
        <f>IF(H218&gt;20000,200,IF(H218&gt;15000,150,0))</f>
        <v>0</v>
      </c>
      <c r="L218" s="14">
        <f>I218+J218+K218</f>
        <v>117.29999999999998</v>
      </c>
      <c r="M218" s="15">
        <v>11071.7875</v>
      </c>
      <c r="N218" s="8">
        <v>38.089999999999996</v>
      </c>
      <c r="O218" s="6"/>
      <c r="P218" s="6"/>
    </row>
    <row r="219" spans="1:16" x14ac:dyDescent="0.25">
      <c r="A219" s="2" t="s">
        <v>349</v>
      </c>
      <c r="B219" s="6">
        <f t="shared" si="34"/>
        <v>218</v>
      </c>
      <c r="C219" s="16">
        <v>11029</v>
      </c>
      <c r="D219" s="2" t="s">
        <v>280</v>
      </c>
      <c r="E219" s="2" t="s">
        <v>281</v>
      </c>
      <c r="F219" s="2">
        <v>31</v>
      </c>
      <c r="G219" s="2">
        <f>VLOOKUP(C219,[13]ATTENDANCE!$B$4:$AS$113,44,0)</f>
        <v>31</v>
      </c>
      <c r="H219" s="1">
        <v>38000.144000000008</v>
      </c>
      <c r="I219" s="1">
        <v>1800</v>
      </c>
      <c r="J219" s="1">
        <v>0</v>
      </c>
      <c r="K219" s="1">
        <v>200</v>
      </c>
      <c r="L219" s="1">
        <v>2000</v>
      </c>
      <c r="M219" s="1">
        <v>36000</v>
      </c>
      <c r="N219" s="8">
        <v>1950</v>
      </c>
      <c r="O219" s="1">
        <v>1000</v>
      </c>
      <c r="P219" s="6"/>
    </row>
    <row r="220" spans="1:16" x14ac:dyDescent="0.25">
      <c r="A220" s="2" t="s">
        <v>349</v>
      </c>
      <c r="B220" s="6">
        <f t="shared" si="34"/>
        <v>219</v>
      </c>
      <c r="C220" s="16">
        <v>10984</v>
      </c>
      <c r="D220" s="2" t="s">
        <v>282</v>
      </c>
      <c r="E220" s="2" t="s">
        <v>283</v>
      </c>
      <c r="F220" s="2">
        <v>31</v>
      </c>
      <c r="G220" s="2">
        <f>VLOOKUP(C220,[13]ATTENDANCE!$B$4:$AS$113,44,0)</f>
        <v>30</v>
      </c>
      <c r="H220" s="1">
        <v>28064.487580645164</v>
      </c>
      <c r="I220" s="1">
        <v>1741.9354838709678</v>
      </c>
      <c r="J220" s="1">
        <v>0</v>
      </c>
      <c r="K220" s="1">
        <v>200</v>
      </c>
      <c r="L220" s="1">
        <v>1941.9354838709678</v>
      </c>
      <c r="M220" s="1">
        <v>26123</v>
      </c>
      <c r="N220" s="8">
        <v>1887.0967741935485</v>
      </c>
      <c r="O220" s="1">
        <v>1000</v>
      </c>
      <c r="P220" s="6"/>
    </row>
    <row r="221" spans="1:16" x14ac:dyDescent="0.25">
      <c r="A221" s="2" t="s">
        <v>349</v>
      </c>
      <c r="B221" s="6">
        <f t="shared" si="34"/>
        <v>220</v>
      </c>
      <c r="C221" s="16">
        <v>10986</v>
      </c>
      <c r="D221" s="2" t="s">
        <v>284</v>
      </c>
      <c r="E221" s="2" t="s">
        <v>283</v>
      </c>
      <c r="F221" s="2">
        <v>31</v>
      </c>
      <c r="G221" s="2">
        <f>VLOOKUP(C221,[13]ATTENDANCE!$B$4:$AS$113,44,0)</f>
        <v>15</v>
      </c>
      <c r="H221" s="1">
        <v>15000.157741935484</v>
      </c>
      <c r="I221" s="1">
        <v>870.9677419354839</v>
      </c>
      <c r="J221" s="1">
        <v>0</v>
      </c>
      <c r="K221" s="1">
        <v>150</v>
      </c>
      <c r="L221" s="1">
        <v>1020.9677419354839</v>
      </c>
      <c r="M221" s="1">
        <v>13979</v>
      </c>
      <c r="N221" s="8">
        <v>943.54838709677426</v>
      </c>
      <c r="O221" s="1">
        <v>1000</v>
      </c>
      <c r="P221" s="6"/>
    </row>
    <row r="222" spans="1:16" x14ac:dyDescent="0.25">
      <c r="A222" s="2" t="s">
        <v>349</v>
      </c>
      <c r="B222" s="6">
        <f t="shared" si="34"/>
        <v>221</v>
      </c>
      <c r="C222" s="16">
        <v>10976</v>
      </c>
      <c r="D222" s="2" t="s">
        <v>285</v>
      </c>
      <c r="E222" s="2" t="s">
        <v>283</v>
      </c>
      <c r="F222" s="2">
        <v>31</v>
      </c>
      <c r="G222" s="2">
        <f>VLOOKUP(C222,[13]ATTENDANCE!$B$4:$AS$113,44,0)</f>
        <v>31</v>
      </c>
      <c r="H222" s="1">
        <v>28999.970499999999</v>
      </c>
      <c r="I222" s="1">
        <v>1800</v>
      </c>
      <c r="J222" s="1">
        <v>0</v>
      </c>
      <c r="K222" s="1">
        <v>200</v>
      </c>
      <c r="L222" s="1">
        <v>2000</v>
      </c>
      <c r="M222" s="1">
        <v>27000</v>
      </c>
      <c r="N222" s="8">
        <v>1950</v>
      </c>
      <c r="O222" s="1">
        <v>1000</v>
      </c>
      <c r="P222" s="6"/>
    </row>
    <row r="223" spans="1:16" x14ac:dyDescent="0.25">
      <c r="A223" s="2" t="s">
        <v>349</v>
      </c>
      <c r="B223" s="6">
        <f t="shared" si="34"/>
        <v>222</v>
      </c>
      <c r="C223" s="16">
        <v>11365</v>
      </c>
      <c r="D223" s="2" t="s">
        <v>286</v>
      </c>
      <c r="E223" s="2" t="s">
        <v>283</v>
      </c>
      <c r="F223" s="2">
        <v>31</v>
      </c>
      <c r="G223" s="2">
        <f>VLOOKUP(C223,[13]ATTENDANCE!$B$4:$AS$113,44,0)</f>
        <v>30</v>
      </c>
      <c r="H223" s="1">
        <v>27096.734903225806</v>
      </c>
      <c r="I223" s="1">
        <v>1741.9354838709678</v>
      </c>
      <c r="J223" s="1">
        <v>0</v>
      </c>
      <c r="K223" s="1">
        <v>200</v>
      </c>
      <c r="L223" s="1">
        <v>1941.9354838709678</v>
      </c>
      <c r="M223" s="1">
        <v>25155</v>
      </c>
      <c r="N223" s="8">
        <v>1887.0967741935485</v>
      </c>
      <c r="O223" s="1">
        <v>1000</v>
      </c>
      <c r="P223" s="6"/>
    </row>
    <row r="224" spans="1:16" x14ac:dyDescent="0.25">
      <c r="A224" s="2" t="s">
        <v>349</v>
      </c>
      <c r="B224" s="6">
        <f t="shared" si="34"/>
        <v>223</v>
      </c>
      <c r="C224" s="16">
        <v>10989</v>
      </c>
      <c r="D224" s="2" t="s">
        <v>287</v>
      </c>
      <c r="E224" s="2" t="s">
        <v>283</v>
      </c>
      <c r="F224" s="2">
        <v>31</v>
      </c>
      <c r="G224" s="2">
        <f>VLOOKUP(C224,[13]ATTENDANCE!$B$4:$AS$113,44,0)</f>
        <v>31</v>
      </c>
      <c r="H224" s="1">
        <v>28999.859400000001</v>
      </c>
      <c r="I224" s="1">
        <v>1800</v>
      </c>
      <c r="J224" s="1">
        <v>0</v>
      </c>
      <c r="K224" s="1">
        <v>200</v>
      </c>
      <c r="L224" s="1">
        <v>2000</v>
      </c>
      <c r="M224" s="1">
        <v>27000</v>
      </c>
      <c r="N224" s="8">
        <v>1950</v>
      </c>
      <c r="O224" s="1">
        <v>1000</v>
      </c>
      <c r="P224" s="6"/>
    </row>
    <row r="225" spans="1:16" x14ac:dyDescent="0.25">
      <c r="A225" s="2" t="s">
        <v>349</v>
      </c>
      <c r="B225" s="6">
        <f t="shared" si="34"/>
        <v>224</v>
      </c>
      <c r="C225" s="16">
        <v>10982</v>
      </c>
      <c r="D225" s="2" t="s">
        <v>288</v>
      </c>
      <c r="E225" s="2" t="s">
        <v>283</v>
      </c>
      <c r="F225" s="2">
        <v>31</v>
      </c>
      <c r="G225" s="2">
        <f>VLOOKUP(C225,[13]ATTENDANCE!$B$4:$AS$113,44,0)</f>
        <v>31</v>
      </c>
      <c r="H225" s="1">
        <v>27499.564999999999</v>
      </c>
      <c r="I225" s="1">
        <v>1800</v>
      </c>
      <c r="J225" s="1">
        <v>0</v>
      </c>
      <c r="K225" s="1">
        <v>200</v>
      </c>
      <c r="L225" s="1">
        <v>2000</v>
      </c>
      <c r="M225" s="1">
        <v>25500</v>
      </c>
      <c r="N225" s="8">
        <v>1950</v>
      </c>
      <c r="O225" s="1">
        <v>1000</v>
      </c>
      <c r="P225" s="6"/>
    </row>
    <row r="226" spans="1:16" x14ac:dyDescent="0.25">
      <c r="A226" s="2" t="s">
        <v>349</v>
      </c>
      <c r="B226" s="6">
        <f t="shared" si="34"/>
        <v>225</v>
      </c>
      <c r="C226" s="16">
        <v>12076</v>
      </c>
      <c r="D226" s="2" t="s">
        <v>289</v>
      </c>
      <c r="E226" s="2" t="s">
        <v>283</v>
      </c>
      <c r="F226" s="2">
        <v>31</v>
      </c>
      <c r="G226" s="2">
        <f>VLOOKUP(C226,[13]ATTENDANCE!$B$4:$AS$113,44,0)</f>
        <v>31</v>
      </c>
      <c r="H226" s="1">
        <v>26999.615000000002</v>
      </c>
      <c r="I226" s="1">
        <v>1800</v>
      </c>
      <c r="J226" s="1">
        <v>0</v>
      </c>
      <c r="K226" s="1">
        <v>200</v>
      </c>
      <c r="L226" s="1">
        <v>2000</v>
      </c>
      <c r="M226" s="1">
        <v>25000</v>
      </c>
      <c r="N226" s="8">
        <v>1950</v>
      </c>
      <c r="O226" s="1">
        <v>1000</v>
      </c>
      <c r="P226" s="6"/>
    </row>
    <row r="227" spans="1:16" x14ac:dyDescent="0.25">
      <c r="A227" s="2" t="s">
        <v>349</v>
      </c>
      <c r="B227" s="6">
        <f t="shared" si="34"/>
        <v>226</v>
      </c>
      <c r="C227" s="16">
        <v>10013</v>
      </c>
      <c r="D227" s="2" t="s">
        <v>290</v>
      </c>
      <c r="E227" s="2" t="s">
        <v>283</v>
      </c>
      <c r="F227" s="2">
        <v>31</v>
      </c>
      <c r="G227" s="2">
        <f>VLOOKUP(C227,[13]ATTENDANCE!$B$4:$AS$113,44,0)</f>
        <v>31</v>
      </c>
      <c r="H227" s="1">
        <v>27999.9594</v>
      </c>
      <c r="I227" s="1">
        <v>1800</v>
      </c>
      <c r="J227" s="1">
        <v>0</v>
      </c>
      <c r="K227" s="1">
        <v>200</v>
      </c>
      <c r="L227" s="1">
        <v>2000</v>
      </c>
      <c r="M227" s="1">
        <v>26000</v>
      </c>
      <c r="N227" s="8">
        <v>1950</v>
      </c>
      <c r="O227" s="1">
        <v>1000</v>
      </c>
      <c r="P227" s="6"/>
    </row>
    <row r="228" spans="1:16" x14ac:dyDescent="0.25">
      <c r="A228" s="2" t="s">
        <v>349</v>
      </c>
      <c r="B228" s="6">
        <f t="shared" si="34"/>
        <v>227</v>
      </c>
      <c r="C228" s="16">
        <v>11032</v>
      </c>
      <c r="D228" s="2" t="s">
        <v>291</v>
      </c>
      <c r="E228" s="2" t="s">
        <v>292</v>
      </c>
      <c r="F228" s="2">
        <v>31</v>
      </c>
      <c r="G228" s="2">
        <f>VLOOKUP(C228,[13]ATTENDANCE!$B$4:$AS$113,44,0)</f>
        <v>31</v>
      </c>
      <c r="H228" s="1">
        <v>24799.834999999999</v>
      </c>
      <c r="I228" s="1">
        <v>1800</v>
      </c>
      <c r="J228" s="1">
        <v>0</v>
      </c>
      <c r="K228" s="1">
        <v>200</v>
      </c>
      <c r="L228" s="1">
        <v>2000</v>
      </c>
      <c r="M228" s="1">
        <v>22800</v>
      </c>
      <c r="N228" s="8">
        <v>1950</v>
      </c>
      <c r="O228" s="1">
        <v>1000</v>
      </c>
      <c r="P228" s="6"/>
    </row>
    <row r="229" spans="1:16" x14ac:dyDescent="0.25">
      <c r="A229" s="2" t="s">
        <v>349</v>
      </c>
      <c r="B229" s="6">
        <f t="shared" si="34"/>
        <v>228</v>
      </c>
      <c r="C229" s="16">
        <v>10981</v>
      </c>
      <c r="D229" s="2" t="s">
        <v>293</v>
      </c>
      <c r="E229" s="2" t="s">
        <v>292</v>
      </c>
      <c r="F229" s="2">
        <v>31</v>
      </c>
      <c r="G229" s="2">
        <f>VLOOKUP(C229,[13]ATTENDANCE!$B$4:$AS$113,44,0)</f>
        <v>29</v>
      </c>
      <c r="H229" s="1">
        <v>22451.53338709677</v>
      </c>
      <c r="I229" s="1">
        <v>1683.8709677419354</v>
      </c>
      <c r="J229" s="1">
        <v>0</v>
      </c>
      <c r="K229" s="1">
        <v>200</v>
      </c>
      <c r="L229" s="1">
        <v>1883.8709677419354</v>
      </c>
      <c r="M229" s="1">
        <v>20568</v>
      </c>
      <c r="N229" s="8">
        <v>1824.1935483870966</v>
      </c>
      <c r="O229" s="1">
        <v>1000</v>
      </c>
      <c r="P229" s="6"/>
    </row>
    <row r="230" spans="1:16" x14ac:dyDescent="0.25">
      <c r="A230" s="2" t="s">
        <v>349</v>
      </c>
      <c r="B230" s="6">
        <f t="shared" si="34"/>
        <v>229</v>
      </c>
      <c r="C230" s="16">
        <v>11377</v>
      </c>
      <c r="D230" s="2" t="s">
        <v>294</v>
      </c>
      <c r="E230" s="2" t="s">
        <v>292</v>
      </c>
      <c r="F230" s="2">
        <v>31</v>
      </c>
      <c r="G230" s="2">
        <f>VLOOKUP(C230,[13]ATTENDANCE!$B$4:$AS$113,44,0)</f>
        <v>25</v>
      </c>
      <c r="H230" s="1">
        <v>19354.770161290322</v>
      </c>
      <c r="I230" s="1">
        <v>1451.6129032258063</v>
      </c>
      <c r="J230" s="1">
        <v>0</v>
      </c>
      <c r="K230" s="1">
        <v>150</v>
      </c>
      <c r="L230" s="1">
        <v>1601.6129032258063</v>
      </c>
      <c r="M230" s="1">
        <v>17753</v>
      </c>
      <c r="N230" s="8">
        <v>1572.58064516129</v>
      </c>
      <c r="O230" s="1">
        <v>1000</v>
      </c>
      <c r="P230" s="6"/>
    </row>
    <row r="231" spans="1:16" x14ac:dyDescent="0.25">
      <c r="A231" s="2" t="s">
        <v>349</v>
      </c>
      <c r="B231" s="6">
        <f t="shared" si="34"/>
        <v>230</v>
      </c>
      <c r="C231" s="16">
        <v>1</v>
      </c>
      <c r="D231" s="58" t="s">
        <v>295</v>
      </c>
      <c r="E231" s="2" t="s">
        <v>292</v>
      </c>
      <c r="F231" s="2">
        <v>31</v>
      </c>
      <c r="G231" s="2">
        <f>VLOOKUP(C231,[13]ATTENDANCE!$B$4:$AS$113,44,0)</f>
        <v>28</v>
      </c>
      <c r="H231" s="1">
        <v>19110.649238709677</v>
      </c>
      <c r="I231" s="1">
        <v>1625.8064516129032</v>
      </c>
      <c r="J231" s="1">
        <v>143.32986929032256</v>
      </c>
      <c r="K231" s="1">
        <v>150</v>
      </c>
      <c r="L231" s="1">
        <v>1919.1363209032256</v>
      </c>
      <c r="M231" s="1">
        <v>17192</v>
      </c>
      <c r="N231" s="8">
        <v>1761.2903225806451</v>
      </c>
      <c r="O231" s="1">
        <v>621.09610025806444</v>
      </c>
      <c r="P231" s="6"/>
    </row>
    <row r="232" spans="1:16" x14ac:dyDescent="0.25">
      <c r="A232" s="2" t="s">
        <v>349</v>
      </c>
      <c r="B232" s="6">
        <f t="shared" si="34"/>
        <v>231</v>
      </c>
      <c r="C232" s="16">
        <v>2</v>
      </c>
      <c r="D232" s="58" t="s">
        <v>296</v>
      </c>
      <c r="E232" s="2" t="s">
        <v>292</v>
      </c>
      <c r="F232" s="2">
        <v>31</v>
      </c>
      <c r="G232" s="2">
        <f>VLOOKUP(C232,[13]ATTENDANCE!$B$4:$AS$113,44,0)</f>
        <v>27</v>
      </c>
      <c r="H232" s="1">
        <v>18428.126051612904</v>
      </c>
      <c r="I232" s="1">
        <v>1567.741935483871</v>
      </c>
      <c r="J232" s="1">
        <v>138.21094538709679</v>
      </c>
      <c r="K232" s="1">
        <v>150</v>
      </c>
      <c r="L232" s="1">
        <v>1855.9528808709679</v>
      </c>
      <c r="M232" s="1">
        <v>16572</v>
      </c>
      <c r="N232" s="8">
        <v>1698.3870967741934</v>
      </c>
      <c r="O232" s="1">
        <v>598.91409667741937</v>
      </c>
      <c r="P232" s="6"/>
    </row>
    <row r="233" spans="1:16" x14ac:dyDescent="0.25">
      <c r="A233" s="2" t="s">
        <v>349</v>
      </c>
      <c r="B233" s="6">
        <f t="shared" si="34"/>
        <v>232</v>
      </c>
      <c r="C233" s="16">
        <v>3</v>
      </c>
      <c r="D233" s="58" t="s">
        <v>297</v>
      </c>
      <c r="E233" s="2" t="s">
        <v>292</v>
      </c>
      <c r="F233" s="2">
        <v>31</v>
      </c>
      <c r="G233" s="2">
        <f>VLOOKUP(C233,[13]ATTENDANCE!$B$4:$AS$113,44,0)</f>
        <v>29</v>
      </c>
      <c r="H233" s="1">
        <v>19793.17242580645</v>
      </c>
      <c r="I233" s="1">
        <v>1683.8709677419354</v>
      </c>
      <c r="J233" s="1">
        <v>148.44879319354837</v>
      </c>
      <c r="K233" s="1">
        <v>150</v>
      </c>
      <c r="L233" s="1">
        <v>1982.3197609354838</v>
      </c>
      <c r="M233" s="1">
        <v>17811</v>
      </c>
      <c r="N233" s="8">
        <v>1824.1935483870966</v>
      </c>
      <c r="O233" s="1">
        <v>643.27810383870963</v>
      </c>
      <c r="P233" s="6"/>
    </row>
    <row r="234" spans="1:16" x14ac:dyDescent="0.25">
      <c r="A234" s="2" t="s">
        <v>349</v>
      </c>
      <c r="B234" s="6">
        <f t="shared" si="34"/>
        <v>233</v>
      </c>
      <c r="C234" s="16">
        <v>4</v>
      </c>
      <c r="D234" s="58" t="s">
        <v>298</v>
      </c>
      <c r="E234" s="2" t="s">
        <v>292</v>
      </c>
      <c r="F234" s="2">
        <v>31</v>
      </c>
      <c r="G234" s="2">
        <f>VLOOKUP(C234,[13]ATTENDANCE!$B$4:$AS$113,44,0)</f>
        <v>10</v>
      </c>
      <c r="H234" s="1">
        <v>6825.231870967742</v>
      </c>
      <c r="I234" s="1">
        <v>580.64516129032256</v>
      </c>
      <c r="J234" s="1">
        <v>51.189239032258065</v>
      </c>
      <c r="K234" s="1">
        <v>0</v>
      </c>
      <c r="L234" s="1">
        <v>631.83440032258068</v>
      </c>
      <c r="M234" s="1">
        <v>6193</v>
      </c>
      <c r="N234" s="8">
        <v>629.0322580645161</v>
      </c>
      <c r="O234" s="1">
        <v>221.82003580645161</v>
      </c>
      <c r="P234" s="6"/>
    </row>
    <row r="235" spans="1:16" x14ac:dyDescent="0.25">
      <c r="A235" s="2" t="s">
        <v>349</v>
      </c>
      <c r="B235" s="6">
        <f t="shared" si="34"/>
        <v>234</v>
      </c>
      <c r="C235" s="16">
        <v>5</v>
      </c>
      <c r="D235" s="58" t="s">
        <v>299</v>
      </c>
      <c r="E235" s="2" t="s">
        <v>292</v>
      </c>
      <c r="F235" s="2">
        <v>31</v>
      </c>
      <c r="G235" s="2">
        <f>VLOOKUP(C235,[13]ATTENDANCE!$B$4:$AS$113,44,0)</f>
        <v>28</v>
      </c>
      <c r="H235" s="1">
        <v>19871.148658064514</v>
      </c>
      <c r="I235" s="1">
        <v>1625.8064516129032</v>
      </c>
      <c r="J235" s="1">
        <v>0</v>
      </c>
      <c r="K235" s="1">
        <v>150</v>
      </c>
      <c r="L235" s="1">
        <v>1775.8064516129032</v>
      </c>
      <c r="M235" s="1">
        <v>18095</v>
      </c>
      <c r="N235" s="8">
        <v>1761.2903225806451</v>
      </c>
      <c r="O235" s="1">
        <v>1000</v>
      </c>
      <c r="P235" s="6"/>
    </row>
    <row r="236" spans="1:16" x14ac:dyDescent="0.25">
      <c r="A236" s="2" t="s">
        <v>349</v>
      </c>
      <c r="B236" s="6">
        <f t="shared" si="34"/>
        <v>235</v>
      </c>
      <c r="C236" s="16">
        <v>6</v>
      </c>
      <c r="D236" s="58" t="s">
        <v>300</v>
      </c>
      <c r="E236" s="2" t="s">
        <v>292</v>
      </c>
      <c r="F236" s="2">
        <v>31</v>
      </c>
      <c r="G236" s="2">
        <f>VLOOKUP(C236,[13]ATTENDANCE!$B$4:$AS$113,44,0)</f>
        <v>23</v>
      </c>
      <c r="H236" s="1">
        <v>15698.033303225808</v>
      </c>
      <c r="I236" s="1">
        <v>1335.483870967742</v>
      </c>
      <c r="J236" s="1">
        <v>117.73524977419355</v>
      </c>
      <c r="K236" s="1">
        <v>150</v>
      </c>
      <c r="L236" s="1">
        <v>1603.2191207419355</v>
      </c>
      <c r="M236" s="1">
        <v>14095</v>
      </c>
      <c r="N236" s="8">
        <v>1446.7741935483871</v>
      </c>
      <c r="O236" s="1">
        <v>510.18608235483867</v>
      </c>
      <c r="P236" s="6"/>
    </row>
    <row r="237" spans="1:16" x14ac:dyDescent="0.25">
      <c r="A237" s="2" t="s">
        <v>349</v>
      </c>
      <c r="B237" s="6">
        <f t="shared" si="34"/>
        <v>236</v>
      </c>
      <c r="C237" s="16">
        <v>7</v>
      </c>
      <c r="D237" s="58" t="s">
        <v>301</v>
      </c>
      <c r="E237" s="2" t="s">
        <v>292</v>
      </c>
      <c r="F237" s="2">
        <v>31</v>
      </c>
      <c r="G237" s="2">
        <f>VLOOKUP(C237,[13]ATTENDANCE!$B$4:$AS$113,44,0)</f>
        <v>24</v>
      </c>
      <c r="H237" s="1">
        <v>16380.55649032258</v>
      </c>
      <c r="I237" s="1">
        <v>1393.5483870967741</v>
      </c>
      <c r="J237" s="1">
        <v>122.85417367741935</v>
      </c>
      <c r="K237" s="1">
        <v>150</v>
      </c>
      <c r="L237" s="1">
        <v>1666.4025607741935</v>
      </c>
      <c r="M237" s="1">
        <v>14714</v>
      </c>
      <c r="N237" s="8">
        <v>1509.6774193548388</v>
      </c>
      <c r="O237" s="1">
        <v>532.36808593548392</v>
      </c>
      <c r="P237" s="6"/>
    </row>
    <row r="238" spans="1:16" x14ac:dyDescent="0.25">
      <c r="A238" s="2" t="s">
        <v>349</v>
      </c>
      <c r="B238" s="6">
        <f t="shared" si="34"/>
        <v>237</v>
      </c>
      <c r="C238" s="16">
        <v>8</v>
      </c>
      <c r="D238" s="58" t="s">
        <v>302</v>
      </c>
      <c r="E238" s="2" t="s">
        <v>292</v>
      </c>
      <c r="F238" s="2">
        <v>31</v>
      </c>
      <c r="G238" s="2">
        <f>VLOOKUP(C238,[13]ATTENDANCE!$B$4:$AS$113,44,0)</f>
        <v>10</v>
      </c>
      <c r="H238" s="1">
        <v>6825.231870967742</v>
      </c>
      <c r="I238" s="1">
        <v>580.64516129032256</v>
      </c>
      <c r="J238" s="1">
        <v>51.189239032258065</v>
      </c>
      <c r="K238" s="1">
        <v>0</v>
      </c>
      <c r="L238" s="1">
        <v>631.83440032258068</v>
      </c>
      <c r="M238" s="1">
        <v>6193</v>
      </c>
      <c r="N238" s="8">
        <v>629.0322580645161</v>
      </c>
      <c r="O238" s="1">
        <v>221.82003580645161</v>
      </c>
      <c r="P238" s="6"/>
    </row>
    <row r="239" spans="1:16" x14ac:dyDescent="0.25">
      <c r="A239" s="2" t="s">
        <v>349</v>
      </c>
      <c r="B239" s="6">
        <f t="shared" si="34"/>
        <v>238</v>
      </c>
      <c r="C239" s="16">
        <v>11958</v>
      </c>
      <c r="D239" s="58" t="s">
        <v>303</v>
      </c>
      <c r="E239" s="2" t="s">
        <v>292</v>
      </c>
      <c r="F239" s="2">
        <v>31</v>
      </c>
      <c r="G239" s="2">
        <f>VLOOKUP(C239,[13]ATTENDANCE!$B$4:$AS$113,44,0)</f>
        <v>6</v>
      </c>
      <c r="H239" s="1">
        <v>4645.1448387096771</v>
      </c>
      <c r="I239" s="1">
        <v>348.38709677419354</v>
      </c>
      <c r="J239" s="1">
        <v>0</v>
      </c>
      <c r="K239" s="1">
        <v>0</v>
      </c>
      <c r="L239" s="1">
        <v>348.38709677419354</v>
      </c>
      <c r="M239" s="1">
        <v>4297</v>
      </c>
      <c r="N239" s="8">
        <v>377.41935483870969</v>
      </c>
      <c r="O239" s="1">
        <v>1000</v>
      </c>
      <c r="P239" s="6"/>
    </row>
    <row r="240" spans="1:16" x14ac:dyDescent="0.25">
      <c r="A240" s="2" t="s">
        <v>349</v>
      </c>
      <c r="B240" s="6">
        <f t="shared" si="34"/>
        <v>239</v>
      </c>
      <c r="C240" s="16">
        <v>11651</v>
      </c>
      <c r="D240" s="2" t="s">
        <v>304</v>
      </c>
      <c r="E240" s="2" t="s">
        <v>292</v>
      </c>
      <c r="F240" s="2">
        <v>31</v>
      </c>
      <c r="G240" s="2">
        <f>VLOOKUP(C240,[13]ATTENDANCE!$B$4:$AS$113,44,0)</f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8">
        <v>0</v>
      </c>
      <c r="O240" s="1">
        <v>1000</v>
      </c>
      <c r="P240" s="6"/>
    </row>
    <row r="241" spans="1:16" x14ac:dyDescent="0.25">
      <c r="A241" s="2" t="s">
        <v>349</v>
      </c>
      <c r="B241" s="6">
        <f t="shared" si="34"/>
        <v>240</v>
      </c>
      <c r="C241" s="16">
        <v>11311</v>
      </c>
      <c r="D241" s="2" t="s">
        <v>305</v>
      </c>
      <c r="E241" s="2" t="s">
        <v>306</v>
      </c>
      <c r="F241" s="2">
        <v>31</v>
      </c>
      <c r="G241" s="2">
        <f>VLOOKUP(C241,[13]ATTENDANCE!$B$4:$AS$113,44,0)</f>
        <v>31</v>
      </c>
      <c r="H241" s="1">
        <v>22600.055</v>
      </c>
      <c r="I241" s="1">
        <v>1800</v>
      </c>
      <c r="J241" s="1">
        <v>0</v>
      </c>
      <c r="K241" s="1">
        <v>200</v>
      </c>
      <c r="L241" s="1">
        <v>2000</v>
      </c>
      <c r="M241" s="1">
        <v>20600</v>
      </c>
      <c r="N241" s="8">
        <v>1950</v>
      </c>
      <c r="O241" s="1">
        <v>1000</v>
      </c>
      <c r="P241" s="6"/>
    </row>
    <row r="242" spans="1:16" x14ac:dyDescent="0.25">
      <c r="A242" s="2" t="s">
        <v>349</v>
      </c>
      <c r="B242" s="6">
        <f t="shared" si="34"/>
        <v>241</v>
      </c>
      <c r="C242" s="16">
        <v>11376</v>
      </c>
      <c r="D242" s="58" t="s">
        <v>307</v>
      </c>
      <c r="E242" s="2" t="s">
        <v>306</v>
      </c>
      <c r="F242" s="2">
        <v>31</v>
      </c>
      <c r="G242" s="2">
        <f>VLOOKUP(C242,[13]ATTENDANCE!$B$4:$AS$113,44,0)</f>
        <v>31</v>
      </c>
      <c r="H242" s="1">
        <v>24499.864999999998</v>
      </c>
      <c r="I242" s="1">
        <v>1800</v>
      </c>
      <c r="J242" s="1">
        <v>0</v>
      </c>
      <c r="K242" s="1">
        <v>200</v>
      </c>
      <c r="L242" s="1">
        <v>2000</v>
      </c>
      <c r="M242" s="1">
        <v>22500</v>
      </c>
      <c r="N242" s="8">
        <v>1950</v>
      </c>
      <c r="O242" s="1">
        <v>1000</v>
      </c>
      <c r="P242" s="6"/>
    </row>
    <row r="243" spans="1:16" x14ac:dyDescent="0.25">
      <c r="A243" s="2" t="s">
        <v>349</v>
      </c>
      <c r="B243" s="6">
        <f t="shared" si="34"/>
        <v>242</v>
      </c>
      <c r="C243" s="16">
        <v>11</v>
      </c>
      <c r="D243" s="58" t="s">
        <v>308</v>
      </c>
      <c r="E243" s="2" t="s">
        <v>306</v>
      </c>
      <c r="F243" s="2">
        <v>31</v>
      </c>
      <c r="G243" s="2">
        <f>VLOOKUP(C243,[13]ATTENDANCE!$B$4:$AS$113,44,0)</f>
        <v>28</v>
      </c>
      <c r="H243" s="1">
        <v>19419.163896774193</v>
      </c>
      <c r="I243" s="1">
        <v>1625.8064516129032</v>
      </c>
      <c r="J243" s="1">
        <v>0</v>
      </c>
      <c r="K243" s="1">
        <v>150</v>
      </c>
      <c r="L243" s="1">
        <v>1775.8064516129032</v>
      </c>
      <c r="M243" s="1">
        <v>17643</v>
      </c>
      <c r="N243" s="8">
        <v>1761.2903225806451</v>
      </c>
      <c r="O243" s="1">
        <v>1000</v>
      </c>
      <c r="P243" s="6"/>
    </row>
    <row r="244" spans="1:16" x14ac:dyDescent="0.25">
      <c r="A244" s="2" t="s">
        <v>349</v>
      </c>
      <c r="B244" s="6">
        <f t="shared" si="34"/>
        <v>243</v>
      </c>
      <c r="C244" s="16">
        <v>10990</v>
      </c>
      <c r="D244" s="2" t="s">
        <v>309</v>
      </c>
      <c r="E244" s="2" t="s">
        <v>306</v>
      </c>
      <c r="F244" s="2">
        <v>31</v>
      </c>
      <c r="G244" s="2">
        <f>VLOOKUP(C244,[13]ATTENDANCE!$B$4:$AS$113,44,0)</f>
        <v>2</v>
      </c>
      <c r="H244" s="1">
        <v>1516.1267741935483</v>
      </c>
      <c r="I244" s="1">
        <v>116.12903225806451</v>
      </c>
      <c r="J244" s="1">
        <v>0</v>
      </c>
      <c r="K244" s="1">
        <v>0</v>
      </c>
      <c r="L244" s="1">
        <v>116.12903225806451</v>
      </c>
      <c r="M244" s="1">
        <v>1400</v>
      </c>
      <c r="N244" s="8">
        <v>125.80645161290322</v>
      </c>
      <c r="O244" s="1">
        <v>1000</v>
      </c>
      <c r="P244" s="6"/>
    </row>
    <row r="245" spans="1:16" x14ac:dyDescent="0.25">
      <c r="A245" s="2" t="s">
        <v>349</v>
      </c>
      <c r="B245" s="6">
        <f t="shared" si="34"/>
        <v>244</v>
      </c>
      <c r="C245" s="16">
        <v>11907</v>
      </c>
      <c r="D245" s="2" t="s">
        <v>310</v>
      </c>
      <c r="E245" s="2" t="s">
        <v>311</v>
      </c>
      <c r="F245" s="2">
        <v>31</v>
      </c>
      <c r="G245" s="2">
        <f>VLOOKUP(C245,[13]ATTENDANCE!$B$4:$AS$113,44,0)</f>
        <v>31</v>
      </c>
      <c r="H245" s="1">
        <v>21300.340500000002</v>
      </c>
      <c r="I245" s="1">
        <v>1800</v>
      </c>
      <c r="J245" s="1">
        <v>0</v>
      </c>
      <c r="K245" s="1">
        <v>200</v>
      </c>
      <c r="L245" s="1">
        <v>2000</v>
      </c>
      <c r="M245" s="1">
        <v>19300</v>
      </c>
      <c r="N245" s="8">
        <v>1950</v>
      </c>
      <c r="O245" s="1">
        <v>1000</v>
      </c>
      <c r="P245" s="6"/>
    </row>
    <row r="246" spans="1:16" x14ac:dyDescent="0.25">
      <c r="A246" s="2" t="s">
        <v>349</v>
      </c>
      <c r="B246" s="6">
        <f t="shared" si="34"/>
        <v>245</v>
      </c>
      <c r="C246" s="16">
        <v>11273</v>
      </c>
      <c r="D246" s="2" t="s">
        <v>312</v>
      </c>
      <c r="E246" s="2" t="s">
        <v>311</v>
      </c>
      <c r="F246" s="2">
        <v>31</v>
      </c>
      <c r="G246" s="2">
        <f>VLOOKUP(C246,[13]ATTENDANCE!$B$4:$AS$113,44,0)</f>
        <v>31</v>
      </c>
      <c r="H246" s="1">
        <v>23499.964999999997</v>
      </c>
      <c r="I246" s="1">
        <v>1800</v>
      </c>
      <c r="J246" s="1">
        <v>0</v>
      </c>
      <c r="K246" s="1">
        <v>200</v>
      </c>
      <c r="L246" s="1">
        <v>2000</v>
      </c>
      <c r="M246" s="1">
        <v>21500</v>
      </c>
      <c r="N246" s="8">
        <v>1950</v>
      </c>
      <c r="O246" s="1">
        <v>1000</v>
      </c>
      <c r="P246" s="6"/>
    </row>
    <row r="247" spans="1:16" x14ac:dyDescent="0.25">
      <c r="A247" s="2" t="s">
        <v>349</v>
      </c>
      <c r="B247" s="6">
        <f t="shared" si="34"/>
        <v>246</v>
      </c>
      <c r="C247" s="16">
        <v>11000</v>
      </c>
      <c r="D247" s="2" t="s">
        <v>313</v>
      </c>
      <c r="E247" s="2" t="s">
        <v>311</v>
      </c>
      <c r="F247" s="2">
        <v>31</v>
      </c>
      <c r="G247" s="2">
        <f>VLOOKUP(C247,[13]ATTENDANCE!$B$4:$AS$113,44,0)</f>
        <v>31</v>
      </c>
      <c r="H247" s="1">
        <v>27960.074500000002</v>
      </c>
      <c r="I247" s="1">
        <v>1800</v>
      </c>
      <c r="J247" s="1">
        <v>0</v>
      </c>
      <c r="K247" s="1">
        <v>200</v>
      </c>
      <c r="L247" s="1">
        <v>2000</v>
      </c>
      <c r="M247" s="1">
        <v>25960</v>
      </c>
      <c r="N247" s="8">
        <v>1950</v>
      </c>
      <c r="O247" s="1">
        <v>1000</v>
      </c>
      <c r="P247" s="6"/>
    </row>
    <row r="248" spans="1:16" x14ac:dyDescent="0.25">
      <c r="A248" s="2" t="s">
        <v>349</v>
      </c>
      <c r="B248" s="6">
        <f t="shared" si="34"/>
        <v>247</v>
      </c>
      <c r="C248" s="16">
        <v>11551</v>
      </c>
      <c r="D248" s="2" t="s">
        <v>314</v>
      </c>
      <c r="E248" s="2" t="s">
        <v>311</v>
      </c>
      <c r="F248" s="2">
        <v>31</v>
      </c>
      <c r="G248" s="2">
        <f>VLOOKUP(C248,[13]ATTENDANCE!$B$4:$AS$113,44,0)</f>
        <v>31</v>
      </c>
      <c r="H248" s="1">
        <v>22400.074999999997</v>
      </c>
      <c r="I248" s="1">
        <v>1800</v>
      </c>
      <c r="J248" s="1">
        <v>0</v>
      </c>
      <c r="K248" s="1">
        <v>200</v>
      </c>
      <c r="L248" s="1">
        <v>2000</v>
      </c>
      <c r="M248" s="1">
        <v>20400</v>
      </c>
      <c r="N248" s="8">
        <v>1950</v>
      </c>
      <c r="O248" s="1">
        <v>1000</v>
      </c>
      <c r="P248" s="6"/>
    </row>
    <row r="249" spans="1:16" x14ac:dyDescent="0.25">
      <c r="A249" s="2" t="s">
        <v>349</v>
      </c>
      <c r="B249" s="6">
        <f t="shared" si="34"/>
        <v>248</v>
      </c>
      <c r="C249" s="16">
        <v>10991</v>
      </c>
      <c r="D249" s="2" t="s">
        <v>315</v>
      </c>
      <c r="E249" s="2" t="s">
        <v>316</v>
      </c>
      <c r="F249" s="2">
        <v>31</v>
      </c>
      <c r="G249" s="2">
        <f>VLOOKUP(C249,[13]ATTENDANCE!$B$4:$AS$113,44,0)</f>
        <v>31</v>
      </c>
      <c r="H249" s="1">
        <v>27999.9594</v>
      </c>
      <c r="I249" s="1">
        <v>1800</v>
      </c>
      <c r="J249" s="1">
        <v>0</v>
      </c>
      <c r="K249" s="1">
        <v>200</v>
      </c>
      <c r="L249" s="1">
        <v>2000</v>
      </c>
      <c r="M249" s="1">
        <v>26000</v>
      </c>
      <c r="N249" s="8">
        <v>1950</v>
      </c>
      <c r="O249" s="1">
        <v>1000</v>
      </c>
      <c r="P249" s="6"/>
    </row>
    <row r="250" spans="1:16" x14ac:dyDescent="0.25">
      <c r="A250" s="2" t="s">
        <v>349</v>
      </c>
      <c r="B250" s="6">
        <f t="shared" si="34"/>
        <v>249</v>
      </c>
      <c r="C250" s="16">
        <v>11476</v>
      </c>
      <c r="D250" s="2" t="s">
        <v>317</v>
      </c>
      <c r="E250" s="2" t="s">
        <v>316</v>
      </c>
      <c r="F250" s="2">
        <v>31</v>
      </c>
      <c r="G250" s="2">
        <f>VLOOKUP(C250,[13]ATTENDANCE!$B$4:$AS$113,44,0)</f>
        <v>23</v>
      </c>
      <c r="H250" s="1">
        <v>17546.737096774188</v>
      </c>
      <c r="I250" s="1">
        <v>1335.483870967742</v>
      </c>
      <c r="J250" s="1">
        <v>0</v>
      </c>
      <c r="K250" s="1">
        <v>150</v>
      </c>
      <c r="L250" s="1">
        <v>1485.483870967742</v>
      </c>
      <c r="M250" s="1">
        <v>16061</v>
      </c>
      <c r="N250" s="8">
        <v>1446.7741935483871</v>
      </c>
      <c r="O250" s="1">
        <v>1000</v>
      </c>
      <c r="P250" s="6"/>
    </row>
    <row r="251" spans="1:16" x14ac:dyDescent="0.25">
      <c r="A251" s="2" t="s">
        <v>349</v>
      </c>
      <c r="B251" s="6">
        <f t="shared" si="34"/>
        <v>250</v>
      </c>
      <c r="C251" s="16">
        <v>11954</v>
      </c>
      <c r="D251" s="2" t="s">
        <v>318</v>
      </c>
      <c r="E251" s="2" t="s">
        <v>316</v>
      </c>
      <c r="F251" s="2">
        <v>31</v>
      </c>
      <c r="G251" s="2">
        <f>VLOOKUP(C251,[13]ATTENDANCE!$B$4:$AS$113,44,0)</f>
        <v>30</v>
      </c>
      <c r="H251" s="1">
        <v>21290.516419354841</v>
      </c>
      <c r="I251" s="1">
        <v>1741.9354838709678</v>
      </c>
      <c r="J251" s="1">
        <v>0</v>
      </c>
      <c r="K251" s="1">
        <v>200</v>
      </c>
      <c r="L251" s="1">
        <v>1941.9354838709678</v>
      </c>
      <c r="M251" s="1">
        <v>19349</v>
      </c>
      <c r="N251" s="8">
        <v>1887.0967741935485</v>
      </c>
      <c r="O251" s="1">
        <v>1000</v>
      </c>
      <c r="P251" s="6"/>
    </row>
    <row r="252" spans="1:16" x14ac:dyDescent="0.25">
      <c r="A252" s="2" t="s">
        <v>349</v>
      </c>
      <c r="B252" s="6">
        <f t="shared" si="34"/>
        <v>251</v>
      </c>
      <c r="C252" s="16">
        <v>11749</v>
      </c>
      <c r="D252" s="2" t="s">
        <v>319</v>
      </c>
      <c r="E252" s="16" t="s">
        <v>316</v>
      </c>
      <c r="F252" s="2">
        <v>31</v>
      </c>
      <c r="G252" s="2">
        <f>VLOOKUP(C252,[13]ATTENDANCE!$B$4:$AS$113,44,0)</f>
        <v>31</v>
      </c>
      <c r="H252" s="1">
        <v>22500.065000000002</v>
      </c>
      <c r="I252" s="1">
        <v>1800</v>
      </c>
      <c r="J252" s="1">
        <v>0</v>
      </c>
      <c r="K252" s="1">
        <v>200</v>
      </c>
      <c r="L252" s="1">
        <v>2000</v>
      </c>
      <c r="M252" s="1">
        <v>20500</v>
      </c>
      <c r="N252" s="8">
        <v>1950</v>
      </c>
      <c r="O252" s="1">
        <v>1000</v>
      </c>
      <c r="P252" s="6"/>
    </row>
    <row r="253" spans="1:16" x14ac:dyDescent="0.25">
      <c r="A253" s="2" t="s">
        <v>349</v>
      </c>
      <c r="B253" s="6">
        <f t="shared" si="34"/>
        <v>252</v>
      </c>
      <c r="C253" s="16">
        <v>11862</v>
      </c>
      <c r="D253" s="2" t="s">
        <v>320</v>
      </c>
      <c r="E253" s="16" t="s">
        <v>316</v>
      </c>
      <c r="F253" s="2">
        <v>31</v>
      </c>
      <c r="G253" s="2">
        <f>VLOOKUP(C253,[13]ATTENDANCE!$B$4:$AS$113,44,0)</f>
        <v>30</v>
      </c>
      <c r="H253" s="1">
        <v>21483.962903225809</v>
      </c>
      <c r="I253" s="1">
        <v>1741.9354838709678</v>
      </c>
      <c r="J253" s="1">
        <v>0</v>
      </c>
      <c r="K253" s="1">
        <v>200</v>
      </c>
      <c r="L253" s="1">
        <v>1941.9354838709678</v>
      </c>
      <c r="M253" s="1">
        <v>19542</v>
      </c>
      <c r="N253" s="8">
        <v>1887.0967741935485</v>
      </c>
      <c r="O253" s="1">
        <v>1000</v>
      </c>
      <c r="P253" s="6"/>
    </row>
    <row r="254" spans="1:16" x14ac:dyDescent="0.25">
      <c r="A254" s="2" t="s">
        <v>349</v>
      </c>
      <c r="B254" s="6">
        <f t="shared" si="34"/>
        <v>253</v>
      </c>
      <c r="C254" s="16">
        <v>11558</v>
      </c>
      <c r="D254" s="58" t="s">
        <v>321</v>
      </c>
      <c r="E254" s="16" t="s">
        <v>316</v>
      </c>
      <c r="F254" s="2">
        <v>31</v>
      </c>
      <c r="G254" s="2">
        <f>VLOOKUP(C254,[13]ATTENDANCE!$B$4:$AS$113,44,0)</f>
        <v>3</v>
      </c>
      <c r="H254" s="1">
        <v>2225.8079032258065</v>
      </c>
      <c r="I254" s="1">
        <v>174.19354838709677</v>
      </c>
      <c r="J254" s="1">
        <v>0</v>
      </c>
      <c r="K254" s="1">
        <v>0</v>
      </c>
      <c r="L254" s="1">
        <v>174.19354838709677</v>
      </c>
      <c r="M254" s="1">
        <v>2052</v>
      </c>
      <c r="N254" s="8">
        <v>188.70967741935485</v>
      </c>
      <c r="O254" s="1">
        <v>1000</v>
      </c>
      <c r="P254" s="6"/>
    </row>
    <row r="255" spans="1:16" x14ac:dyDescent="0.25">
      <c r="A255" s="2" t="s">
        <v>349</v>
      </c>
      <c r="B255" s="6">
        <f t="shared" si="34"/>
        <v>254</v>
      </c>
      <c r="C255" s="16">
        <v>9</v>
      </c>
      <c r="D255" s="58" t="s">
        <v>322</v>
      </c>
      <c r="E255" s="16" t="s">
        <v>316</v>
      </c>
      <c r="F255" s="2">
        <v>31</v>
      </c>
      <c r="G255" s="2">
        <f>VLOOKUP(C255,[13]ATTENDANCE!$B$4:$AS$113,44,0)</f>
        <v>26</v>
      </c>
      <c r="H255" s="1">
        <v>17745.602864516128</v>
      </c>
      <c r="I255" s="1">
        <v>1509.6774193548388</v>
      </c>
      <c r="J255" s="1">
        <v>133.09202148387095</v>
      </c>
      <c r="K255" s="1">
        <v>150</v>
      </c>
      <c r="L255" s="1">
        <v>1792.7694408387097</v>
      </c>
      <c r="M255" s="1">
        <v>15953</v>
      </c>
      <c r="N255" s="8">
        <v>1635.4838709677422</v>
      </c>
      <c r="O255" s="1">
        <v>576.73209309677407</v>
      </c>
      <c r="P255" s="6"/>
    </row>
    <row r="256" spans="1:16" x14ac:dyDescent="0.25">
      <c r="A256" s="2" t="s">
        <v>349</v>
      </c>
      <c r="B256" s="6">
        <f t="shared" si="34"/>
        <v>255</v>
      </c>
      <c r="C256" s="16">
        <v>10</v>
      </c>
      <c r="D256" s="58" t="s">
        <v>323</v>
      </c>
      <c r="E256" s="16" t="s">
        <v>316</v>
      </c>
      <c r="F256" s="2">
        <v>31</v>
      </c>
      <c r="G256" s="2">
        <f>VLOOKUP(C256,[13]ATTENDANCE!$B$4:$AS$113,44,0)</f>
        <v>25</v>
      </c>
      <c r="H256" s="1">
        <v>17063.079677419355</v>
      </c>
      <c r="I256" s="1">
        <v>1451.6129032258063</v>
      </c>
      <c r="J256" s="1">
        <v>127.97309758064516</v>
      </c>
      <c r="K256" s="1">
        <v>150</v>
      </c>
      <c r="L256" s="1">
        <v>1729.5860008064515</v>
      </c>
      <c r="M256" s="1">
        <v>15333</v>
      </c>
      <c r="N256" s="8">
        <v>1572.58064516129</v>
      </c>
      <c r="O256" s="1">
        <v>554.55008951612899</v>
      </c>
      <c r="P256" s="6"/>
    </row>
    <row r="257" spans="1:16" x14ac:dyDescent="0.25">
      <c r="A257" s="2" t="s">
        <v>349</v>
      </c>
      <c r="B257" s="6">
        <f t="shared" si="34"/>
        <v>256</v>
      </c>
      <c r="C257" s="16">
        <v>12035</v>
      </c>
      <c r="D257" s="58" t="s">
        <v>324</v>
      </c>
      <c r="E257" s="16" t="s">
        <v>316</v>
      </c>
      <c r="F257" s="2">
        <v>31</v>
      </c>
      <c r="G257" s="2">
        <f>VLOOKUP(C257,[13]ATTENDANCE!$B$4:$AS$113,44,0)</f>
        <v>31</v>
      </c>
      <c r="H257" s="1">
        <v>23000.015000000003</v>
      </c>
      <c r="I257" s="1">
        <v>1800</v>
      </c>
      <c r="J257" s="1">
        <v>0</v>
      </c>
      <c r="K257" s="1">
        <v>200</v>
      </c>
      <c r="L257" s="1">
        <v>2000</v>
      </c>
      <c r="M257" s="1">
        <v>21000</v>
      </c>
      <c r="N257" s="8">
        <v>1950</v>
      </c>
      <c r="O257" s="1">
        <v>1000</v>
      </c>
      <c r="P257" s="6"/>
    </row>
    <row r="258" spans="1:16" x14ac:dyDescent="0.25">
      <c r="A258" s="2" t="s">
        <v>349</v>
      </c>
      <c r="B258" s="6">
        <f t="shared" si="34"/>
        <v>257</v>
      </c>
      <c r="C258" s="16">
        <v>10980</v>
      </c>
      <c r="D258" s="2" t="s">
        <v>326</v>
      </c>
      <c r="E258" s="2" t="s">
        <v>219</v>
      </c>
      <c r="F258" s="2">
        <v>31</v>
      </c>
      <c r="G258" s="2">
        <f>VLOOKUP(C258,[13]ATTENDANCE!$B$4:$AS$113,44,0)</f>
        <v>5</v>
      </c>
      <c r="H258" s="1">
        <v>4564.5047419354842</v>
      </c>
      <c r="I258" s="1">
        <v>290.32258064516128</v>
      </c>
      <c r="J258" s="1">
        <v>0</v>
      </c>
      <c r="K258" s="1">
        <v>0</v>
      </c>
      <c r="L258" s="1">
        <v>290.32258064516128</v>
      </c>
      <c r="M258" s="1">
        <v>4274</v>
      </c>
      <c r="N258" s="8">
        <v>314.51612903225805</v>
      </c>
      <c r="O258" s="1">
        <v>1000</v>
      </c>
      <c r="P258" s="6"/>
    </row>
    <row r="259" spans="1:16" x14ac:dyDescent="0.25">
      <c r="A259" s="2" t="s">
        <v>349</v>
      </c>
      <c r="B259" s="6">
        <f t="shared" ref="B259:B322" si="35">B258+1</f>
        <v>258</v>
      </c>
      <c r="C259" s="16">
        <v>10978</v>
      </c>
      <c r="D259" s="2" t="s">
        <v>327</v>
      </c>
      <c r="E259" s="2" t="s">
        <v>219</v>
      </c>
      <c r="F259" s="2">
        <v>31</v>
      </c>
      <c r="G259" s="2">
        <f>VLOOKUP(C259,[13]ATTENDANCE!$B$4:$AS$113,44,0)</f>
        <v>31</v>
      </c>
      <c r="H259" s="1">
        <v>25999.714999999997</v>
      </c>
      <c r="I259" s="1">
        <v>1800</v>
      </c>
      <c r="J259" s="1">
        <v>0</v>
      </c>
      <c r="K259" s="1">
        <v>200</v>
      </c>
      <c r="L259" s="1">
        <v>2000</v>
      </c>
      <c r="M259" s="1">
        <v>24000</v>
      </c>
      <c r="N259" s="8">
        <v>1950</v>
      </c>
      <c r="O259" s="1">
        <v>1000</v>
      </c>
      <c r="P259" s="6"/>
    </row>
    <row r="260" spans="1:16" x14ac:dyDescent="0.25">
      <c r="A260" s="2" t="s">
        <v>349</v>
      </c>
      <c r="B260" s="6">
        <f t="shared" si="35"/>
        <v>259</v>
      </c>
      <c r="C260" s="16">
        <v>10974</v>
      </c>
      <c r="D260" s="2" t="s">
        <v>328</v>
      </c>
      <c r="E260" s="2" t="s">
        <v>219</v>
      </c>
      <c r="F260" s="2">
        <v>31</v>
      </c>
      <c r="G260" s="2">
        <f>VLOOKUP(C260,[13]ATTENDANCE!$B$4:$AS$113,44,0)</f>
        <v>31</v>
      </c>
      <c r="H260" s="1">
        <v>24099.904999999999</v>
      </c>
      <c r="I260" s="1">
        <v>1800</v>
      </c>
      <c r="J260" s="1">
        <v>0</v>
      </c>
      <c r="K260" s="1">
        <v>200</v>
      </c>
      <c r="L260" s="1">
        <v>2000</v>
      </c>
      <c r="M260" s="1">
        <v>22100</v>
      </c>
      <c r="N260" s="8">
        <v>1950</v>
      </c>
      <c r="O260" s="1">
        <v>1000</v>
      </c>
      <c r="P260" s="6"/>
    </row>
    <row r="261" spans="1:16" x14ac:dyDescent="0.25">
      <c r="A261" s="2" t="s">
        <v>349</v>
      </c>
      <c r="B261" s="6">
        <f t="shared" si="35"/>
        <v>260</v>
      </c>
      <c r="C261" s="16">
        <v>11439</v>
      </c>
      <c r="D261" s="2" t="s">
        <v>329</v>
      </c>
      <c r="E261" s="2" t="s">
        <v>219</v>
      </c>
      <c r="F261" s="2">
        <v>31</v>
      </c>
      <c r="G261" s="2">
        <f>VLOOKUP(C261,[13]ATTENDANCE!$B$4:$AS$113,44,0)</f>
        <v>16</v>
      </c>
      <c r="H261" s="1">
        <v>11354.942090322582</v>
      </c>
      <c r="I261" s="1">
        <v>929.0322580645161</v>
      </c>
      <c r="J261" s="1">
        <v>0</v>
      </c>
      <c r="K261" s="1">
        <v>0</v>
      </c>
      <c r="L261" s="1">
        <v>929.0322580645161</v>
      </c>
      <c r="M261" s="1">
        <v>10426</v>
      </c>
      <c r="N261" s="8">
        <v>1006.4516129032257</v>
      </c>
      <c r="O261" s="1">
        <v>1000</v>
      </c>
      <c r="P261" s="6"/>
    </row>
    <row r="262" spans="1:16" x14ac:dyDescent="0.25">
      <c r="A262" s="2" t="s">
        <v>349</v>
      </c>
      <c r="B262" s="6">
        <f t="shared" si="35"/>
        <v>261</v>
      </c>
      <c r="C262" s="16">
        <v>10983</v>
      </c>
      <c r="D262" s="2" t="s">
        <v>330</v>
      </c>
      <c r="E262" s="2" t="s">
        <v>219</v>
      </c>
      <c r="F262" s="2">
        <v>31</v>
      </c>
      <c r="G262" s="2">
        <f>VLOOKUP(C262,[13]ATTENDANCE!$B$4:$AS$113,44,0)</f>
        <v>7</v>
      </c>
      <c r="H262" s="1">
        <v>5216.0673870967739</v>
      </c>
      <c r="I262" s="1">
        <v>406.45161290322579</v>
      </c>
      <c r="J262" s="1">
        <v>0</v>
      </c>
      <c r="K262" s="1">
        <v>0</v>
      </c>
      <c r="L262" s="1">
        <v>406.45161290322579</v>
      </c>
      <c r="M262" s="1">
        <v>4810</v>
      </c>
      <c r="N262" s="8">
        <v>440.32258064516128</v>
      </c>
      <c r="O262" s="1">
        <v>1000</v>
      </c>
      <c r="P262" s="6"/>
    </row>
    <row r="263" spans="1:16" x14ac:dyDescent="0.25">
      <c r="A263" s="2" t="s">
        <v>349</v>
      </c>
      <c r="B263" s="6">
        <f t="shared" si="35"/>
        <v>262</v>
      </c>
      <c r="C263" s="16">
        <v>11158</v>
      </c>
      <c r="D263" s="2" t="s">
        <v>331</v>
      </c>
      <c r="E263" s="2" t="s">
        <v>219</v>
      </c>
      <c r="F263" s="2">
        <v>31</v>
      </c>
      <c r="G263" s="2">
        <f>VLOOKUP(C263,[13]ATTENDANCE!$B$4:$AS$113,44,0)</f>
        <v>31</v>
      </c>
      <c r="H263" s="1">
        <v>23299.984999999997</v>
      </c>
      <c r="I263" s="1">
        <v>1800</v>
      </c>
      <c r="J263" s="1">
        <v>0</v>
      </c>
      <c r="K263" s="1">
        <v>200</v>
      </c>
      <c r="L263" s="1">
        <v>2000</v>
      </c>
      <c r="M263" s="1">
        <v>21300</v>
      </c>
      <c r="N263" s="8">
        <v>1950</v>
      </c>
      <c r="O263" s="1">
        <v>1000</v>
      </c>
      <c r="P263" s="6"/>
    </row>
    <row r="264" spans="1:16" x14ac:dyDescent="0.25">
      <c r="A264" s="2" t="s">
        <v>349</v>
      </c>
      <c r="B264" s="6">
        <f t="shared" si="35"/>
        <v>263</v>
      </c>
      <c r="C264" s="16">
        <v>11203</v>
      </c>
      <c r="D264" s="2" t="s">
        <v>332</v>
      </c>
      <c r="E264" s="2" t="s">
        <v>219</v>
      </c>
      <c r="F264" s="2">
        <v>31</v>
      </c>
      <c r="G264" s="2">
        <f>VLOOKUP(C264,[13]ATTENDANCE!$B$4:$AS$113,44,0)</f>
        <v>23</v>
      </c>
      <c r="H264" s="1">
        <v>17064.527258064514</v>
      </c>
      <c r="I264" s="1">
        <v>1335.483870967742</v>
      </c>
      <c r="J264" s="1">
        <v>0</v>
      </c>
      <c r="K264" s="1">
        <v>150</v>
      </c>
      <c r="L264" s="1">
        <v>1485.483870967742</v>
      </c>
      <c r="M264" s="1">
        <v>15579</v>
      </c>
      <c r="N264" s="8">
        <v>1446.7741935483871</v>
      </c>
      <c r="O264" s="1">
        <v>1000</v>
      </c>
      <c r="P264" s="6"/>
    </row>
    <row r="265" spans="1:16" x14ac:dyDescent="0.25">
      <c r="A265" s="2" t="s">
        <v>349</v>
      </c>
      <c r="B265" s="6">
        <f t="shared" si="35"/>
        <v>264</v>
      </c>
      <c r="C265" s="16">
        <v>12</v>
      </c>
      <c r="D265" s="58" t="s">
        <v>333</v>
      </c>
      <c r="E265" s="2" t="s">
        <v>219</v>
      </c>
      <c r="F265" s="2">
        <v>31</v>
      </c>
      <c r="G265" s="2">
        <f>VLOOKUP(C265,[13]ATTENDANCE!$B$4:$AS$113,44,0)</f>
        <v>10</v>
      </c>
      <c r="H265" s="1">
        <v>7258.0854838709674</v>
      </c>
      <c r="I265" s="1">
        <v>580.64516129032256</v>
      </c>
      <c r="J265" s="1">
        <v>0</v>
      </c>
      <c r="K265" s="1">
        <v>0</v>
      </c>
      <c r="L265" s="1">
        <v>580.64516129032256</v>
      </c>
      <c r="M265" s="1">
        <v>6677</v>
      </c>
      <c r="N265" s="8">
        <v>629.0322580645161</v>
      </c>
      <c r="O265" s="1">
        <v>1000</v>
      </c>
      <c r="P265" s="6"/>
    </row>
    <row r="266" spans="1:16" x14ac:dyDescent="0.25">
      <c r="A266" s="2" t="s">
        <v>349</v>
      </c>
      <c r="B266" s="6">
        <f t="shared" si="35"/>
        <v>265</v>
      </c>
      <c r="C266" s="16">
        <v>10985</v>
      </c>
      <c r="D266" s="58" t="s">
        <v>334</v>
      </c>
      <c r="E266" s="2" t="s">
        <v>219</v>
      </c>
      <c r="F266" s="2">
        <v>31</v>
      </c>
      <c r="G266" s="2">
        <f>VLOOKUP(C266,[13]ATTENDANCE!$B$4:$AS$113,44,0)</f>
        <v>3</v>
      </c>
      <c r="H266" s="1">
        <v>2225.8079032258065</v>
      </c>
      <c r="I266" s="1">
        <v>174.19354838709677</v>
      </c>
      <c r="J266" s="1">
        <v>0</v>
      </c>
      <c r="K266" s="1">
        <v>0</v>
      </c>
      <c r="L266" s="1">
        <v>174.19354838709677</v>
      </c>
      <c r="M266" s="1">
        <v>2052</v>
      </c>
      <c r="N266" s="8">
        <v>188.70967741935485</v>
      </c>
      <c r="O266" s="1">
        <v>1000</v>
      </c>
      <c r="P266" s="6"/>
    </row>
    <row r="267" spans="1:16" x14ac:dyDescent="0.25">
      <c r="A267" s="2" t="s">
        <v>349</v>
      </c>
      <c r="B267" s="6">
        <f t="shared" si="35"/>
        <v>266</v>
      </c>
      <c r="C267" s="16">
        <v>11276</v>
      </c>
      <c r="D267" s="2" t="s">
        <v>335</v>
      </c>
      <c r="E267" s="2" t="s">
        <v>219</v>
      </c>
      <c r="F267" s="2">
        <v>31</v>
      </c>
      <c r="G267" s="2">
        <f>VLOOKUP(C267,[13]ATTENDANCE!$B$4:$AS$113,44,0)</f>
        <v>31</v>
      </c>
      <c r="H267" s="1">
        <v>24399.875</v>
      </c>
      <c r="I267" s="1">
        <v>1800</v>
      </c>
      <c r="J267" s="1">
        <v>0</v>
      </c>
      <c r="K267" s="1">
        <v>200</v>
      </c>
      <c r="L267" s="1">
        <v>2000</v>
      </c>
      <c r="M267" s="1">
        <v>22400</v>
      </c>
      <c r="N267" s="8">
        <v>1950</v>
      </c>
      <c r="O267" s="1">
        <v>1000</v>
      </c>
      <c r="P267" s="6"/>
    </row>
    <row r="268" spans="1:16" x14ac:dyDescent="0.25">
      <c r="A268" s="2" t="s">
        <v>349</v>
      </c>
      <c r="B268" s="6">
        <f t="shared" si="35"/>
        <v>267</v>
      </c>
      <c r="C268" s="16">
        <v>11572</v>
      </c>
      <c r="D268" s="2" t="s">
        <v>337</v>
      </c>
      <c r="E268" s="2" t="s">
        <v>338</v>
      </c>
      <c r="F268" s="2">
        <v>31</v>
      </c>
      <c r="G268" s="2">
        <f>VLOOKUP(C268,[13]ATTENDANCE!$B$4:$AS$113,44,0)</f>
        <v>31</v>
      </c>
      <c r="H268" s="1">
        <v>24189.896000000001</v>
      </c>
      <c r="I268" s="1">
        <v>1800</v>
      </c>
      <c r="J268" s="1">
        <v>0</v>
      </c>
      <c r="K268" s="1">
        <v>200</v>
      </c>
      <c r="L268" s="1">
        <v>2000</v>
      </c>
      <c r="M268" s="1">
        <v>22190</v>
      </c>
      <c r="N268" s="8">
        <v>1950</v>
      </c>
      <c r="O268" s="1">
        <v>1000</v>
      </c>
      <c r="P268" s="6"/>
    </row>
    <row r="269" spans="1:16" x14ac:dyDescent="0.25">
      <c r="A269" s="2" t="s">
        <v>349</v>
      </c>
      <c r="B269" s="6">
        <f t="shared" si="35"/>
        <v>268</v>
      </c>
      <c r="C269" s="16">
        <v>11214</v>
      </c>
      <c r="D269" s="2" t="s">
        <v>339</v>
      </c>
      <c r="E269" s="2" t="s">
        <v>340</v>
      </c>
      <c r="F269" s="2">
        <v>31</v>
      </c>
      <c r="G269" s="2">
        <f>VLOOKUP(C269,[13]ATTENDANCE!$B$4:$AS$113,44,0)</f>
        <v>31</v>
      </c>
      <c r="H269" s="1">
        <v>24189.896000000001</v>
      </c>
      <c r="I269" s="1">
        <v>1800</v>
      </c>
      <c r="J269" s="1">
        <v>0</v>
      </c>
      <c r="K269" s="1">
        <v>200</v>
      </c>
      <c r="L269" s="1">
        <v>2000</v>
      </c>
      <c r="M269" s="1">
        <v>22190</v>
      </c>
      <c r="N269" s="8">
        <v>1950</v>
      </c>
      <c r="O269" s="1">
        <v>1000</v>
      </c>
      <c r="P269" s="6"/>
    </row>
    <row r="270" spans="1:16" x14ac:dyDescent="0.25">
      <c r="A270" s="2" t="s">
        <v>349</v>
      </c>
      <c r="B270" s="6">
        <f t="shared" si="35"/>
        <v>269</v>
      </c>
      <c r="C270" s="16">
        <v>11640</v>
      </c>
      <c r="D270" s="59" t="s">
        <v>342</v>
      </c>
      <c r="E270" s="2" t="s">
        <v>343</v>
      </c>
      <c r="F270" s="2">
        <v>31</v>
      </c>
      <c r="G270" s="2">
        <f>VLOOKUP(C270,[13]ATTENDANCE!$B$4:$AS$113,44,0)</f>
        <v>31</v>
      </c>
      <c r="H270" s="1">
        <v>23000.015000000003</v>
      </c>
      <c r="I270" s="1">
        <v>1800</v>
      </c>
      <c r="J270" s="1">
        <v>0</v>
      </c>
      <c r="K270" s="1">
        <v>200</v>
      </c>
      <c r="L270" s="1">
        <v>2000</v>
      </c>
      <c r="M270" s="1">
        <v>21000</v>
      </c>
      <c r="N270" s="8">
        <v>1950</v>
      </c>
      <c r="O270" s="1">
        <v>1000</v>
      </c>
      <c r="P270" s="6"/>
    </row>
    <row r="271" spans="1:16" x14ac:dyDescent="0.25">
      <c r="A271" s="2" t="s">
        <v>349</v>
      </c>
      <c r="B271" s="6">
        <f t="shared" si="35"/>
        <v>270</v>
      </c>
      <c r="C271" s="16">
        <v>12141</v>
      </c>
      <c r="D271" s="58" t="s">
        <v>344</v>
      </c>
      <c r="E271" s="8" t="s">
        <v>345</v>
      </c>
      <c r="F271" s="2">
        <v>31</v>
      </c>
      <c r="G271" s="2">
        <f>VLOOKUP(C271,[13]ATTENDANCE!$B$4:$AS$113,44,0)</f>
        <v>26</v>
      </c>
      <c r="H271" s="1">
        <v>20967.586774193551</v>
      </c>
      <c r="I271" s="1">
        <v>1509.6774193548388</v>
      </c>
      <c r="J271" s="1">
        <v>0</v>
      </c>
      <c r="K271" s="1">
        <v>200</v>
      </c>
      <c r="L271" s="1">
        <v>1709.6774193548388</v>
      </c>
      <c r="M271" s="1">
        <v>19258</v>
      </c>
      <c r="N271" s="8">
        <v>1635.4838709677422</v>
      </c>
      <c r="O271" s="1">
        <v>1000</v>
      </c>
      <c r="P271" s="6"/>
    </row>
    <row r="272" spans="1:16" x14ac:dyDescent="0.25">
      <c r="A272" s="2" t="s">
        <v>349</v>
      </c>
      <c r="B272" s="6">
        <f t="shared" si="35"/>
        <v>271</v>
      </c>
      <c r="C272" s="16">
        <v>12057</v>
      </c>
      <c r="D272" s="58" t="s">
        <v>346</v>
      </c>
      <c r="E272" s="8" t="s">
        <v>347</v>
      </c>
      <c r="F272" s="2">
        <v>31</v>
      </c>
      <c r="G272" s="2">
        <f>VLOOKUP(C272,[13]ATTENDANCE!$B$4:$AS$113,44,0)</f>
        <v>31</v>
      </c>
      <c r="H272" s="1">
        <v>24189.896000000001</v>
      </c>
      <c r="I272" s="1">
        <v>1800</v>
      </c>
      <c r="J272" s="1">
        <v>0</v>
      </c>
      <c r="K272" s="1">
        <v>200</v>
      </c>
      <c r="L272" s="1">
        <v>2000</v>
      </c>
      <c r="M272" s="1">
        <v>22190</v>
      </c>
      <c r="N272" s="8">
        <v>1950</v>
      </c>
      <c r="O272" s="1">
        <v>1000</v>
      </c>
      <c r="P272" s="6"/>
    </row>
    <row r="273" spans="1:16" x14ac:dyDescent="0.25">
      <c r="A273" s="2" t="s">
        <v>350</v>
      </c>
      <c r="B273" s="6">
        <f t="shared" si="35"/>
        <v>272</v>
      </c>
      <c r="C273" s="60">
        <v>10265</v>
      </c>
      <c r="D273" s="61" t="s">
        <v>354</v>
      </c>
      <c r="E273" s="62" t="s">
        <v>355</v>
      </c>
      <c r="F273" s="14">
        <v>31</v>
      </c>
      <c r="G273" s="14">
        <f>VLOOKUP(C273,[14]ATTANDANCE!$C$4:$AR$61,42,0)</f>
        <v>31</v>
      </c>
      <c r="H273" s="14">
        <v>28500</v>
      </c>
      <c r="I273" s="8">
        <v>1800</v>
      </c>
      <c r="J273" s="14">
        <v>0</v>
      </c>
      <c r="K273" s="14">
        <v>200</v>
      </c>
      <c r="L273" s="14">
        <v>2000</v>
      </c>
      <c r="M273" s="15">
        <v>26500</v>
      </c>
      <c r="N273" s="8">
        <v>1950</v>
      </c>
      <c r="O273" s="14">
        <v>1000</v>
      </c>
      <c r="P273" s="6"/>
    </row>
    <row r="274" spans="1:16" x14ac:dyDescent="0.25">
      <c r="A274" s="2" t="s">
        <v>350</v>
      </c>
      <c r="B274" s="6">
        <f t="shared" si="35"/>
        <v>273</v>
      </c>
      <c r="C274" s="60">
        <v>11990</v>
      </c>
      <c r="D274" s="61" t="s">
        <v>356</v>
      </c>
      <c r="E274" s="62" t="s">
        <v>355</v>
      </c>
      <c r="F274" s="14">
        <v>31</v>
      </c>
      <c r="G274" s="14">
        <f>VLOOKUP(C274,[14]ATTANDANCE!$C$4:$AR$61,42,0)</f>
        <v>26</v>
      </c>
      <c r="H274" s="14">
        <v>23483</v>
      </c>
      <c r="I274" s="8">
        <v>1509.6774193548388</v>
      </c>
      <c r="J274" s="14">
        <v>0</v>
      </c>
      <c r="K274" s="14">
        <v>200</v>
      </c>
      <c r="L274" s="14">
        <v>1710</v>
      </c>
      <c r="M274" s="15">
        <v>21773</v>
      </c>
      <c r="N274" s="8">
        <v>1635.4838709677422</v>
      </c>
      <c r="O274" s="14">
        <v>1000</v>
      </c>
      <c r="P274" s="6"/>
    </row>
    <row r="275" spans="1:16" x14ac:dyDescent="0.25">
      <c r="A275" s="2" t="s">
        <v>350</v>
      </c>
      <c r="B275" s="6">
        <f t="shared" si="35"/>
        <v>274</v>
      </c>
      <c r="C275" s="60">
        <v>11391</v>
      </c>
      <c r="D275" s="61" t="s">
        <v>357</v>
      </c>
      <c r="E275" s="62" t="s">
        <v>355</v>
      </c>
      <c r="F275" s="14">
        <v>31</v>
      </c>
      <c r="G275" s="14">
        <f>VLOOKUP(C275,[14]ATTANDANCE!$C$4:$AR$61,42,0)</f>
        <v>8</v>
      </c>
      <c r="H275" s="14">
        <v>7485</v>
      </c>
      <c r="I275" s="8">
        <v>464.51612903225805</v>
      </c>
      <c r="J275" s="14">
        <v>0</v>
      </c>
      <c r="K275" s="14">
        <v>0</v>
      </c>
      <c r="L275" s="14">
        <v>465</v>
      </c>
      <c r="M275" s="15">
        <v>7020</v>
      </c>
      <c r="N275" s="8">
        <v>503.22580645161287</v>
      </c>
      <c r="O275" s="14">
        <v>1000</v>
      </c>
      <c r="P275" s="6"/>
    </row>
    <row r="276" spans="1:16" x14ac:dyDescent="0.25">
      <c r="A276" s="2" t="s">
        <v>350</v>
      </c>
      <c r="B276" s="6">
        <f t="shared" si="35"/>
        <v>275</v>
      </c>
      <c r="C276" s="60">
        <v>11658</v>
      </c>
      <c r="D276" s="61" t="s">
        <v>358</v>
      </c>
      <c r="E276" s="62" t="s">
        <v>355</v>
      </c>
      <c r="F276" s="14">
        <v>31</v>
      </c>
      <c r="G276" s="14">
        <f>VLOOKUP(C276,[14]ATTANDANCE!$C$4:$AR$61,42,0)</f>
        <v>19</v>
      </c>
      <c r="H276" s="14">
        <v>17467</v>
      </c>
      <c r="I276" s="8">
        <v>1103.2258064516129</v>
      </c>
      <c r="J276" s="14">
        <v>0</v>
      </c>
      <c r="K276" s="14">
        <v>150</v>
      </c>
      <c r="L276" s="14">
        <v>1253</v>
      </c>
      <c r="M276" s="15">
        <v>16214</v>
      </c>
      <c r="N276" s="8">
        <v>1195.1612903225807</v>
      </c>
      <c r="O276" s="14">
        <v>1000</v>
      </c>
      <c r="P276" s="6"/>
    </row>
    <row r="277" spans="1:16" x14ac:dyDescent="0.25">
      <c r="A277" s="2" t="s">
        <v>350</v>
      </c>
      <c r="B277" s="6">
        <f t="shared" si="35"/>
        <v>276</v>
      </c>
      <c r="C277" s="16">
        <v>10375</v>
      </c>
      <c r="D277" s="61" t="s">
        <v>359</v>
      </c>
      <c r="E277" s="62" t="s">
        <v>355</v>
      </c>
      <c r="F277" s="14">
        <v>31</v>
      </c>
      <c r="G277" s="14">
        <f>VLOOKUP(C277,[14]ATTANDANCE!$C$4:$AR$61,42,0)</f>
        <v>31</v>
      </c>
      <c r="H277" s="14">
        <v>27500</v>
      </c>
      <c r="I277" s="8">
        <v>1800</v>
      </c>
      <c r="J277" s="14">
        <v>0</v>
      </c>
      <c r="K277" s="14">
        <v>200</v>
      </c>
      <c r="L277" s="14">
        <v>2000</v>
      </c>
      <c r="M277" s="15">
        <v>25500</v>
      </c>
      <c r="N277" s="8">
        <v>1950</v>
      </c>
      <c r="O277" s="14">
        <v>1000</v>
      </c>
      <c r="P277" s="6"/>
    </row>
    <row r="278" spans="1:16" x14ac:dyDescent="0.25">
      <c r="A278" s="2" t="s">
        <v>350</v>
      </c>
      <c r="B278" s="6">
        <f t="shared" si="35"/>
        <v>277</v>
      </c>
      <c r="C278" s="16">
        <v>10222</v>
      </c>
      <c r="D278" s="2" t="s">
        <v>361</v>
      </c>
      <c r="E278" s="6" t="s">
        <v>362</v>
      </c>
      <c r="F278" s="14">
        <v>31</v>
      </c>
      <c r="G278" s="14">
        <f>VLOOKUP(C278,[14]ATTANDANCE!$C$4:$AR$61,42,0)</f>
        <v>29</v>
      </c>
      <c r="H278" s="14">
        <v>23836</v>
      </c>
      <c r="I278" s="8">
        <v>1683.8709677419354</v>
      </c>
      <c r="J278" s="14">
        <v>0</v>
      </c>
      <c r="K278" s="14">
        <v>200</v>
      </c>
      <c r="L278" s="14">
        <v>1884</v>
      </c>
      <c r="M278" s="15">
        <v>21952</v>
      </c>
      <c r="N278" s="8">
        <v>1824.1935483870966</v>
      </c>
      <c r="O278" s="14">
        <v>1000</v>
      </c>
      <c r="P278" s="6"/>
    </row>
    <row r="279" spans="1:16" x14ac:dyDescent="0.25">
      <c r="A279" s="2" t="s">
        <v>350</v>
      </c>
      <c r="B279" s="6">
        <f t="shared" si="35"/>
        <v>278</v>
      </c>
      <c r="C279" s="16">
        <v>11514</v>
      </c>
      <c r="D279" s="2" t="s">
        <v>363</v>
      </c>
      <c r="E279" s="6" t="s">
        <v>362</v>
      </c>
      <c r="F279" s="14">
        <v>31</v>
      </c>
      <c r="G279" s="14">
        <f>VLOOKUP(C279,[14]ATTANDANCE!$C$4:$AR$61,42,0)</f>
        <v>31</v>
      </c>
      <c r="H279" s="14">
        <v>23000</v>
      </c>
      <c r="I279" s="8">
        <v>1800</v>
      </c>
      <c r="J279" s="14">
        <v>0</v>
      </c>
      <c r="K279" s="14">
        <v>200</v>
      </c>
      <c r="L279" s="14">
        <v>2000</v>
      </c>
      <c r="M279" s="15">
        <v>21000</v>
      </c>
      <c r="N279" s="8">
        <v>1950</v>
      </c>
      <c r="O279" s="14">
        <v>1000</v>
      </c>
      <c r="P279" s="6"/>
    </row>
    <row r="280" spans="1:16" x14ac:dyDescent="0.25">
      <c r="A280" s="2" t="s">
        <v>350</v>
      </c>
      <c r="B280" s="6">
        <f t="shared" si="35"/>
        <v>279</v>
      </c>
      <c r="C280" s="16">
        <v>12081</v>
      </c>
      <c r="D280" s="2" t="s">
        <v>364</v>
      </c>
      <c r="E280" s="6" t="s">
        <v>362</v>
      </c>
      <c r="F280" s="14">
        <v>31</v>
      </c>
      <c r="G280" s="14">
        <f>VLOOKUP(C280,[14]ATTANDANCE!$C$4:$AR$61,42,0)</f>
        <v>31</v>
      </c>
      <c r="H280" s="14">
        <v>22000</v>
      </c>
      <c r="I280" s="8">
        <v>1800</v>
      </c>
      <c r="J280" s="14">
        <v>0</v>
      </c>
      <c r="K280" s="14">
        <v>200</v>
      </c>
      <c r="L280" s="14">
        <v>2000</v>
      </c>
      <c r="M280" s="15">
        <v>20000</v>
      </c>
      <c r="N280" s="8">
        <v>1950</v>
      </c>
      <c r="O280" s="14">
        <v>1000</v>
      </c>
      <c r="P280" s="6"/>
    </row>
    <row r="281" spans="1:16" x14ac:dyDescent="0.25">
      <c r="A281" s="2" t="s">
        <v>350</v>
      </c>
      <c r="B281" s="6">
        <f t="shared" si="35"/>
        <v>280</v>
      </c>
      <c r="C281" s="16">
        <v>11573</v>
      </c>
      <c r="D281" s="2" t="s">
        <v>365</v>
      </c>
      <c r="E281" s="6" t="s">
        <v>362</v>
      </c>
      <c r="F281" s="14">
        <v>31</v>
      </c>
      <c r="G281" s="14">
        <f>VLOOKUP(C281,[14]ATTANDANCE!$C$4:$AR$61,42,0)</f>
        <v>26</v>
      </c>
      <c r="H281" s="14">
        <v>18871</v>
      </c>
      <c r="I281" s="8">
        <v>1509.6774193548388</v>
      </c>
      <c r="J281" s="14">
        <v>0</v>
      </c>
      <c r="K281" s="14">
        <v>150</v>
      </c>
      <c r="L281" s="14">
        <v>1660</v>
      </c>
      <c r="M281" s="15">
        <v>17211</v>
      </c>
      <c r="N281" s="8">
        <v>1635.4838709677422</v>
      </c>
      <c r="O281" s="14">
        <v>1000</v>
      </c>
      <c r="P281" s="6"/>
    </row>
    <row r="282" spans="1:16" x14ac:dyDescent="0.25">
      <c r="A282" s="2" t="s">
        <v>350</v>
      </c>
      <c r="B282" s="6">
        <f t="shared" si="35"/>
        <v>281</v>
      </c>
      <c r="C282" s="16">
        <v>10272</v>
      </c>
      <c r="D282" s="61" t="s">
        <v>366</v>
      </c>
      <c r="E282" s="62" t="s">
        <v>336</v>
      </c>
      <c r="F282" s="14">
        <v>31</v>
      </c>
      <c r="G282" s="14">
        <f>VLOOKUP(C282,[14]ATTANDANCE!$C$4:$AR$61,42,0)</f>
        <v>28</v>
      </c>
      <c r="H282" s="14">
        <v>23485</v>
      </c>
      <c r="I282" s="8">
        <v>1625.8064516129032</v>
      </c>
      <c r="J282" s="14">
        <v>0</v>
      </c>
      <c r="K282" s="14">
        <v>200</v>
      </c>
      <c r="L282" s="14">
        <v>1826</v>
      </c>
      <c r="M282" s="15">
        <v>21659</v>
      </c>
      <c r="N282" s="8">
        <v>1761.2903225806451</v>
      </c>
      <c r="O282" s="14">
        <v>1000</v>
      </c>
      <c r="P282" s="6"/>
    </row>
    <row r="283" spans="1:16" x14ac:dyDescent="0.25">
      <c r="A283" s="2" t="s">
        <v>350</v>
      </c>
      <c r="B283" s="6">
        <f t="shared" si="35"/>
        <v>282</v>
      </c>
      <c r="C283" s="60">
        <v>10202</v>
      </c>
      <c r="D283" s="61" t="s">
        <v>367</v>
      </c>
      <c r="E283" s="62" t="s">
        <v>336</v>
      </c>
      <c r="F283" s="14">
        <v>31</v>
      </c>
      <c r="G283" s="14">
        <f>VLOOKUP(C283,[14]ATTANDANCE!$C$4:$AR$61,42,0)</f>
        <v>15</v>
      </c>
      <c r="H283" s="14">
        <v>12582</v>
      </c>
      <c r="I283" s="8">
        <v>870.9677419354839</v>
      </c>
      <c r="J283" s="14">
        <v>0</v>
      </c>
      <c r="K283" s="14">
        <v>0</v>
      </c>
      <c r="L283" s="14">
        <v>871</v>
      </c>
      <c r="M283" s="15">
        <v>11711</v>
      </c>
      <c r="N283" s="8">
        <v>943.54838709677426</v>
      </c>
      <c r="O283" s="14">
        <v>1000</v>
      </c>
      <c r="P283" s="6"/>
    </row>
    <row r="284" spans="1:16" x14ac:dyDescent="0.25">
      <c r="A284" s="2" t="s">
        <v>350</v>
      </c>
      <c r="B284" s="6">
        <f t="shared" si="35"/>
        <v>283</v>
      </c>
      <c r="C284" s="60">
        <v>12084</v>
      </c>
      <c r="D284" s="61" t="s">
        <v>368</v>
      </c>
      <c r="E284" s="62" t="s">
        <v>336</v>
      </c>
      <c r="F284" s="14">
        <v>31</v>
      </c>
      <c r="G284" s="14">
        <f>VLOOKUP(C284,[14]ATTANDANCE!$C$4:$AR$61,42,0)</f>
        <v>28</v>
      </c>
      <c r="H284" s="14">
        <v>20774</v>
      </c>
      <c r="I284" s="8">
        <v>1625.8064516129032</v>
      </c>
      <c r="J284" s="14">
        <v>0</v>
      </c>
      <c r="K284" s="14">
        <v>200</v>
      </c>
      <c r="L284" s="14">
        <v>1826</v>
      </c>
      <c r="M284" s="15">
        <v>18948</v>
      </c>
      <c r="N284" s="8">
        <v>1761.2903225806451</v>
      </c>
      <c r="O284" s="14">
        <v>1000</v>
      </c>
      <c r="P284" s="6"/>
    </row>
    <row r="285" spans="1:16" x14ac:dyDescent="0.25">
      <c r="A285" s="2" t="s">
        <v>350</v>
      </c>
      <c r="B285" s="6">
        <f t="shared" si="35"/>
        <v>284</v>
      </c>
      <c r="C285" s="16">
        <v>11138</v>
      </c>
      <c r="D285" s="2" t="s">
        <v>369</v>
      </c>
      <c r="E285" s="6" t="s">
        <v>336</v>
      </c>
      <c r="F285" s="14">
        <v>31</v>
      </c>
      <c r="G285" s="14">
        <f>VLOOKUP(C285,[14]ATTANDANCE!$C$4:$AR$61,42,0)</f>
        <v>31</v>
      </c>
      <c r="H285" s="14">
        <v>23000</v>
      </c>
      <c r="I285" s="8">
        <v>1800</v>
      </c>
      <c r="J285" s="14">
        <v>0</v>
      </c>
      <c r="K285" s="14">
        <v>200</v>
      </c>
      <c r="L285" s="14">
        <v>2000</v>
      </c>
      <c r="M285" s="15">
        <v>21000</v>
      </c>
      <c r="N285" s="8">
        <v>1950</v>
      </c>
      <c r="O285" s="14">
        <v>1000</v>
      </c>
      <c r="P285" s="6"/>
    </row>
    <row r="286" spans="1:16" x14ac:dyDescent="0.25">
      <c r="A286" s="2" t="s">
        <v>350</v>
      </c>
      <c r="B286" s="6">
        <f t="shared" si="35"/>
        <v>285</v>
      </c>
      <c r="C286" s="7">
        <v>11745</v>
      </c>
      <c r="D286" s="2" t="s">
        <v>370</v>
      </c>
      <c r="E286" s="6" t="s">
        <v>336</v>
      </c>
      <c r="F286" s="14">
        <v>31</v>
      </c>
      <c r="G286" s="14">
        <f>VLOOKUP(C286,[14]ATTANDANCE!$C$4:$AR$61,42,0)</f>
        <v>29</v>
      </c>
      <c r="H286" s="14">
        <v>21515</v>
      </c>
      <c r="I286" s="8">
        <v>1683.8709677419354</v>
      </c>
      <c r="J286" s="14">
        <v>0</v>
      </c>
      <c r="K286" s="14">
        <v>200</v>
      </c>
      <c r="L286" s="14">
        <v>1884</v>
      </c>
      <c r="M286" s="15">
        <v>19631</v>
      </c>
      <c r="N286" s="8">
        <v>1824.1935483870966</v>
      </c>
      <c r="O286" s="14">
        <v>1000</v>
      </c>
      <c r="P286" s="6"/>
    </row>
    <row r="287" spans="1:16" x14ac:dyDescent="0.25">
      <c r="A287" s="2" t="s">
        <v>350</v>
      </c>
      <c r="B287" s="6">
        <f t="shared" si="35"/>
        <v>286</v>
      </c>
      <c r="C287" s="16">
        <v>12079</v>
      </c>
      <c r="D287" s="61" t="s">
        <v>371</v>
      </c>
      <c r="E287" s="6" t="s">
        <v>336</v>
      </c>
      <c r="F287" s="14">
        <v>31</v>
      </c>
      <c r="G287" s="14">
        <f>VLOOKUP(C287,[14]ATTANDANCE!$C$4:$AR$61,42,0)</f>
        <v>31</v>
      </c>
      <c r="H287" s="14">
        <v>21500</v>
      </c>
      <c r="I287" s="8">
        <v>1800</v>
      </c>
      <c r="J287" s="14">
        <v>0</v>
      </c>
      <c r="K287" s="14">
        <v>200</v>
      </c>
      <c r="L287" s="14">
        <v>2000</v>
      </c>
      <c r="M287" s="15">
        <v>19500</v>
      </c>
      <c r="N287" s="8">
        <v>1950</v>
      </c>
      <c r="O287" s="14">
        <v>1000</v>
      </c>
      <c r="P287" s="6"/>
    </row>
    <row r="288" spans="1:16" x14ac:dyDescent="0.25">
      <c r="A288" s="2" t="s">
        <v>350</v>
      </c>
      <c r="B288" s="6">
        <f t="shared" si="35"/>
        <v>287</v>
      </c>
      <c r="C288" s="63">
        <v>11833</v>
      </c>
      <c r="D288" s="64" t="s">
        <v>372</v>
      </c>
      <c r="E288" s="6" t="s">
        <v>373</v>
      </c>
      <c r="F288" s="14">
        <v>31</v>
      </c>
      <c r="G288" s="14">
        <f>VLOOKUP(C288,[14]ATTANDANCE!$C$4:$AR$61,42,0)</f>
        <v>31</v>
      </c>
      <c r="H288" s="14">
        <v>23000</v>
      </c>
      <c r="I288" s="8">
        <v>1800</v>
      </c>
      <c r="J288" s="14">
        <v>0</v>
      </c>
      <c r="K288" s="14">
        <v>200</v>
      </c>
      <c r="L288" s="14">
        <v>2000</v>
      </c>
      <c r="M288" s="15">
        <v>21000</v>
      </c>
      <c r="N288" s="8">
        <v>1950</v>
      </c>
      <c r="O288" s="14">
        <v>1000</v>
      </c>
      <c r="P288" s="6"/>
    </row>
    <row r="289" spans="1:16" x14ac:dyDescent="0.25">
      <c r="A289" s="2" t="s">
        <v>350</v>
      </c>
      <c r="B289" s="6">
        <f t="shared" si="35"/>
        <v>288</v>
      </c>
      <c r="C289" s="7">
        <v>12071</v>
      </c>
      <c r="D289" s="61" t="s">
        <v>374</v>
      </c>
      <c r="E289" s="6" t="s">
        <v>373</v>
      </c>
      <c r="F289" s="14">
        <v>31</v>
      </c>
      <c r="G289" s="14">
        <f>VLOOKUP(C289,[14]ATTANDANCE!$C$4:$AR$61,42,0)</f>
        <v>30</v>
      </c>
      <c r="H289" s="14">
        <v>21290</v>
      </c>
      <c r="I289" s="8">
        <v>1741.9354838709678</v>
      </c>
      <c r="J289" s="14">
        <v>0</v>
      </c>
      <c r="K289" s="14">
        <v>200</v>
      </c>
      <c r="L289" s="14">
        <v>1942</v>
      </c>
      <c r="M289" s="15">
        <v>19348</v>
      </c>
      <c r="N289" s="8">
        <v>1887.0967741935485</v>
      </c>
      <c r="O289" s="14">
        <v>1000</v>
      </c>
      <c r="P289" s="6"/>
    </row>
    <row r="290" spans="1:16" x14ac:dyDescent="0.25">
      <c r="A290" s="2" t="s">
        <v>350</v>
      </c>
      <c r="B290" s="6">
        <f t="shared" si="35"/>
        <v>289</v>
      </c>
      <c r="C290" s="7">
        <v>12055</v>
      </c>
      <c r="D290" s="61" t="s">
        <v>375</v>
      </c>
      <c r="E290" s="6" t="s">
        <v>373</v>
      </c>
      <c r="F290" s="14">
        <v>31</v>
      </c>
      <c r="G290" s="14">
        <f>VLOOKUP(C290,[14]ATTANDANCE!$C$4:$AR$61,42,0)+3</f>
        <v>34</v>
      </c>
      <c r="H290" s="14">
        <v>24130</v>
      </c>
      <c r="I290" s="8">
        <v>1974.1935483870968</v>
      </c>
      <c r="J290" s="14">
        <v>0</v>
      </c>
      <c r="K290" s="14">
        <v>200</v>
      </c>
      <c r="L290" s="14">
        <v>2174</v>
      </c>
      <c r="M290" s="15">
        <v>21956</v>
      </c>
      <c r="N290" s="8">
        <v>2138.7096774193546</v>
      </c>
      <c r="O290" s="14">
        <v>1000</v>
      </c>
      <c r="P290" s="6"/>
    </row>
    <row r="291" spans="1:16" x14ac:dyDescent="0.25">
      <c r="A291" s="2" t="s">
        <v>350</v>
      </c>
      <c r="B291" s="6">
        <f t="shared" si="35"/>
        <v>290</v>
      </c>
      <c r="C291" s="7">
        <v>1</v>
      </c>
      <c r="D291" s="61" t="s">
        <v>376</v>
      </c>
      <c r="E291" s="6" t="s">
        <v>373</v>
      </c>
      <c r="F291" s="14">
        <v>31</v>
      </c>
      <c r="G291" s="14">
        <f>VLOOKUP(C291,[14]ATTANDANCE!$C$4:$AR$61,42,0)</f>
        <v>31</v>
      </c>
      <c r="H291" s="14">
        <v>22000</v>
      </c>
      <c r="I291" s="8">
        <v>1800</v>
      </c>
      <c r="J291" s="14">
        <v>0</v>
      </c>
      <c r="K291" s="14">
        <v>200</v>
      </c>
      <c r="L291" s="14">
        <v>2000</v>
      </c>
      <c r="M291" s="15">
        <v>20000</v>
      </c>
      <c r="N291" s="8">
        <v>1950</v>
      </c>
      <c r="O291" s="14">
        <v>1000</v>
      </c>
      <c r="P291" s="6"/>
    </row>
    <row r="292" spans="1:16" x14ac:dyDescent="0.25">
      <c r="A292" s="2" t="s">
        <v>350</v>
      </c>
      <c r="B292" s="6">
        <f t="shared" si="35"/>
        <v>291</v>
      </c>
      <c r="C292" s="16">
        <v>11194</v>
      </c>
      <c r="D292" s="2" t="s">
        <v>377</v>
      </c>
      <c r="E292" s="6" t="s">
        <v>133</v>
      </c>
      <c r="F292" s="14">
        <v>31</v>
      </c>
      <c r="G292" s="14">
        <f>VLOOKUP(C292,[14]ATTANDANCE!$C$4:$AR$61,42,0)</f>
        <v>31</v>
      </c>
      <c r="H292" s="14">
        <v>23500</v>
      </c>
      <c r="I292" s="8">
        <v>1800</v>
      </c>
      <c r="J292" s="14">
        <v>0</v>
      </c>
      <c r="K292" s="14">
        <v>200</v>
      </c>
      <c r="L292" s="14">
        <v>2000</v>
      </c>
      <c r="M292" s="15">
        <v>21500</v>
      </c>
      <c r="N292" s="8">
        <v>1950</v>
      </c>
      <c r="O292" s="14">
        <v>1000</v>
      </c>
      <c r="P292" s="6"/>
    </row>
    <row r="293" spans="1:16" x14ac:dyDescent="0.25">
      <c r="A293" s="2" t="s">
        <v>350</v>
      </c>
      <c r="B293" s="6">
        <f t="shared" si="35"/>
        <v>292</v>
      </c>
      <c r="C293" s="16">
        <v>11163</v>
      </c>
      <c r="D293" s="2" t="s">
        <v>378</v>
      </c>
      <c r="E293" s="6" t="s">
        <v>133</v>
      </c>
      <c r="F293" s="14">
        <v>31</v>
      </c>
      <c r="G293" s="14">
        <f>VLOOKUP(C293,[14]ATTANDANCE!$C$4:$AR$61,42,0)</f>
        <v>31</v>
      </c>
      <c r="H293" s="14">
        <v>24000</v>
      </c>
      <c r="I293" s="8">
        <v>1800</v>
      </c>
      <c r="J293" s="14">
        <v>0</v>
      </c>
      <c r="K293" s="14">
        <v>200</v>
      </c>
      <c r="L293" s="14">
        <v>2000</v>
      </c>
      <c r="M293" s="15">
        <v>22000</v>
      </c>
      <c r="N293" s="8">
        <v>1950</v>
      </c>
      <c r="O293" s="14">
        <v>1000</v>
      </c>
      <c r="P293" s="6"/>
    </row>
    <row r="294" spans="1:16" x14ac:dyDescent="0.25">
      <c r="A294" s="2" t="s">
        <v>350</v>
      </c>
      <c r="B294" s="6">
        <f t="shared" si="35"/>
        <v>293</v>
      </c>
      <c r="C294" s="65">
        <v>12104</v>
      </c>
      <c r="D294" s="66" t="s">
        <v>379</v>
      </c>
      <c r="E294" s="6" t="s">
        <v>133</v>
      </c>
      <c r="F294" s="14">
        <v>31</v>
      </c>
      <c r="G294" s="14">
        <f>VLOOKUP(C294,[14]ATTANDANCE!$C$4:$AR$61,42,0)</f>
        <v>18</v>
      </c>
      <c r="H294" s="14">
        <v>12286</v>
      </c>
      <c r="I294" s="8">
        <v>1045.1612903225807</v>
      </c>
      <c r="J294" s="14">
        <v>92.144999999999996</v>
      </c>
      <c r="K294" s="14">
        <v>0</v>
      </c>
      <c r="L294" s="14">
        <v>1137</v>
      </c>
      <c r="M294" s="15">
        <v>11149</v>
      </c>
      <c r="N294" s="8">
        <v>1132.258064516129</v>
      </c>
      <c r="O294" s="14">
        <f>I294*3.25/0.75</f>
        <v>4529.0322580645161</v>
      </c>
      <c r="P294" s="6"/>
    </row>
    <row r="295" spans="1:16" x14ac:dyDescent="0.25">
      <c r="A295" s="2" t="s">
        <v>350</v>
      </c>
      <c r="B295" s="6">
        <f t="shared" si="35"/>
        <v>294</v>
      </c>
      <c r="C295" s="65">
        <v>11654</v>
      </c>
      <c r="D295" s="66" t="s">
        <v>380</v>
      </c>
      <c r="E295" s="6" t="s">
        <v>133</v>
      </c>
      <c r="F295" s="14">
        <v>31</v>
      </c>
      <c r="G295" s="14">
        <f>VLOOKUP(C295,[14]ATTANDANCE!$C$4:$AR$61,42,0)</f>
        <v>31</v>
      </c>
      <c r="H295" s="14">
        <v>22500</v>
      </c>
      <c r="I295" s="14">
        <v>1800</v>
      </c>
      <c r="J295" s="14">
        <v>0</v>
      </c>
      <c r="K295" s="14">
        <v>200</v>
      </c>
      <c r="L295" s="14">
        <v>2000</v>
      </c>
      <c r="M295" s="15">
        <v>20500</v>
      </c>
      <c r="N295" s="8">
        <v>1950</v>
      </c>
      <c r="O295" s="14">
        <v>1000</v>
      </c>
      <c r="P295" s="6"/>
    </row>
    <row r="296" spans="1:16" x14ac:dyDescent="0.25">
      <c r="A296" s="2" t="s">
        <v>350</v>
      </c>
      <c r="B296" s="6">
        <f t="shared" si="35"/>
        <v>295</v>
      </c>
      <c r="C296" s="67">
        <v>11216</v>
      </c>
      <c r="D296" s="64" t="s">
        <v>381</v>
      </c>
      <c r="E296" s="6" t="s">
        <v>133</v>
      </c>
      <c r="F296" s="14">
        <v>31</v>
      </c>
      <c r="G296" s="14">
        <f>VLOOKUP(C296,[14]ATTANDANCE!$C$4:$AR$61,42,0)</f>
        <v>31</v>
      </c>
      <c r="H296" s="14">
        <v>23000</v>
      </c>
      <c r="I296" s="8">
        <v>1800</v>
      </c>
      <c r="J296" s="14">
        <v>0</v>
      </c>
      <c r="K296" s="14">
        <v>200</v>
      </c>
      <c r="L296" s="14">
        <v>2000</v>
      </c>
      <c r="M296" s="15">
        <v>21000</v>
      </c>
      <c r="N296" s="8">
        <v>1950</v>
      </c>
      <c r="O296" s="14">
        <v>1000</v>
      </c>
      <c r="P296" s="6"/>
    </row>
    <row r="297" spans="1:16" x14ac:dyDescent="0.25">
      <c r="A297" s="2" t="s">
        <v>350</v>
      </c>
      <c r="B297" s="6">
        <f t="shared" si="35"/>
        <v>296</v>
      </c>
      <c r="C297" s="16">
        <v>10459</v>
      </c>
      <c r="D297" s="61" t="s">
        <v>382</v>
      </c>
      <c r="E297" s="62" t="s">
        <v>383</v>
      </c>
      <c r="F297" s="14">
        <v>31</v>
      </c>
      <c r="G297" s="14">
        <f>VLOOKUP(C297,[14]ATTANDANCE!$C$4:$AR$61,42,0)</f>
        <v>29</v>
      </c>
      <c r="H297" s="14">
        <v>22451</v>
      </c>
      <c r="I297" s="8">
        <v>1683.8709677419354</v>
      </c>
      <c r="J297" s="14">
        <v>0</v>
      </c>
      <c r="K297" s="14">
        <v>200</v>
      </c>
      <c r="L297" s="14">
        <v>1884</v>
      </c>
      <c r="M297" s="15">
        <v>20567</v>
      </c>
      <c r="N297" s="8">
        <v>1824.1935483870966</v>
      </c>
      <c r="O297" s="14">
        <v>1000</v>
      </c>
      <c r="P297" s="6"/>
    </row>
    <row r="298" spans="1:16" x14ac:dyDescent="0.25">
      <c r="A298" s="2" t="s">
        <v>350</v>
      </c>
      <c r="B298" s="6">
        <f t="shared" si="35"/>
        <v>297</v>
      </c>
      <c r="C298" s="16">
        <v>11786</v>
      </c>
      <c r="D298" s="61" t="s">
        <v>384</v>
      </c>
      <c r="E298" s="6" t="s">
        <v>383</v>
      </c>
      <c r="F298" s="14">
        <v>31</v>
      </c>
      <c r="G298" s="14">
        <f>VLOOKUP(C298,[14]ATTANDANCE!$C$4:$AR$61,42,0)</f>
        <v>31</v>
      </c>
      <c r="H298" s="14">
        <v>22000</v>
      </c>
      <c r="I298" s="8">
        <v>1800</v>
      </c>
      <c r="J298" s="14">
        <v>0</v>
      </c>
      <c r="K298" s="14">
        <v>200</v>
      </c>
      <c r="L298" s="14">
        <v>2000</v>
      </c>
      <c r="M298" s="15">
        <v>20000</v>
      </c>
      <c r="N298" s="8">
        <v>1950</v>
      </c>
      <c r="O298" s="14">
        <v>1000</v>
      </c>
      <c r="P298" s="6"/>
    </row>
    <row r="299" spans="1:16" x14ac:dyDescent="0.25">
      <c r="A299" s="2" t="s">
        <v>350</v>
      </c>
      <c r="B299" s="6">
        <f t="shared" si="35"/>
        <v>298</v>
      </c>
      <c r="C299" s="16">
        <v>10552</v>
      </c>
      <c r="D299" s="61" t="s">
        <v>385</v>
      </c>
      <c r="E299" s="6" t="s">
        <v>383</v>
      </c>
      <c r="F299" s="14">
        <v>31</v>
      </c>
      <c r="G299" s="14">
        <f>VLOOKUP(C299,[14]ATTANDANCE!$C$4:$AR$61,42,0)</f>
        <v>30</v>
      </c>
      <c r="H299" s="14">
        <v>23226</v>
      </c>
      <c r="I299" s="8">
        <v>1741.9354838709678</v>
      </c>
      <c r="J299" s="14">
        <v>0</v>
      </c>
      <c r="K299" s="14">
        <v>200</v>
      </c>
      <c r="L299" s="14">
        <v>1942</v>
      </c>
      <c r="M299" s="15">
        <v>21284</v>
      </c>
      <c r="N299" s="8">
        <v>1887.0967741935485</v>
      </c>
      <c r="O299" s="14">
        <v>1000</v>
      </c>
      <c r="P299" s="6"/>
    </row>
    <row r="300" spans="1:16" x14ac:dyDescent="0.25">
      <c r="A300" s="2" t="s">
        <v>350</v>
      </c>
      <c r="B300" s="6">
        <f t="shared" si="35"/>
        <v>299</v>
      </c>
      <c r="C300" s="16">
        <v>10525</v>
      </c>
      <c r="D300" s="61" t="s">
        <v>386</v>
      </c>
      <c r="E300" s="62" t="s">
        <v>338</v>
      </c>
      <c r="F300" s="14">
        <v>31</v>
      </c>
      <c r="G300" s="14">
        <f>VLOOKUP(C300,[14]ATTANDANCE!$C$4:$AR$61,42,0)</f>
        <v>30</v>
      </c>
      <c r="H300" s="14">
        <v>23410</v>
      </c>
      <c r="I300" s="8">
        <v>1741.9354838709678</v>
      </c>
      <c r="J300" s="14">
        <v>0</v>
      </c>
      <c r="K300" s="14">
        <v>200</v>
      </c>
      <c r="L300" s="14">
        <v>1942</v>
      </c>
      <c r="M300" s="15">
        <v>21468</v>
      </c>
      <c r="N300" s="8">
        <v>1887.0967741935485</v>
      </c>
      <c r="O300" s="14">
        <v>1000</v>
      </c>
      <c r="P300" s="6"/>
    </row>
    <row r="301" spans="1:16" x14ac:dyDescent="0.25">
      <c r="A301" s="2" t="s">
        <v>350</v>
      </c>
      <c r="B301" s="6">
        <f t="shared" si="35"/>
        <v>300</v>
      </c>
      <c r="C301" s="4">
        <v>10751</v>
      </c>
      <c r="D301" s="7" t="s">
        <v>387</v>
      </c>
      <c r="E301" s="6" t="s">
        <v>341</v>
      </c>
      <c r="F301" s="14">
        <v>31</v>
      </c>
      <c r="G301" s="14">
        <f>VLOOKUP(C301,[14]ATTANDANCE!$C$4:$AR$61,42,0)</f>
        <v>30</v>
      </c>
      <c r="H301" s="14">
        <v>23410</v>
      </c>
      <c r="I301" s="8">
        <v>1741.9354838709678</v>
      </c>
      <c r="J301" s="14">
        <v>0</v>
      </c>
      <c r="K301" s="14">
        <v>200</v>
      </c>
      <c r="L301" s="14">
        <v>1942</v>
      </c>
      <c r="M301" s="15">
        <v>21468</v>
      </c>
      <c r="N301" s="8">
        <v>1887.0967741935485</v>
      </c>
      <c r="O301" s="14">
        <v>1000</v>
      </c>
      <c r="P301" s="6"/>
    </row>
    <row r="302" spans="1:16" x14ac:dyDescent="0.25">
      <c r="A302" s="2" t="s">
        <v>351</v>
      </c>
      <c r="B302" s="6">
        <f t="shared" si="35"/>
        <v>301</v>
      </c>
      <c r="C302" s="68">
        <v>11351</v>
      </c>
      <c r="D302" s="69" t="s">
        <v>388</v>
      </c>
      <c r="E302" s="69" t="s">
        <v>389</v>
      </c>
      <c r="F302" s="14">
        <v>31</v>
      </c>
      <c r="G302" s="14">
        <f>VLOOKUP(C302,[15]ATTANDANCE!$C$4:$AS$55,42,0)</f>
        <v>31</v>
      </c>
      <c r="H302" s="27">
        <v>29000</v>
      </c>
      <c r="I302" s="27">
        <v>1800</v>
      </c>
      <c r="J302" s="27">
        <v>0</v>
      </c>
      <c r="K302" s="27">
        <v>200</v>
      </c>
      <c r="L302" s="27">
        <v>2000</v>
      </c>
      <c r="M302" s="27">
        <v>27000</v>
      </c>
      <c r="N302" s="8">
        <v>1950</v>
      </c>
      <c r="O302" s="27">
        <v>1000</v>
      </c>
      <c r="P302" s="6"/>
    </row>
    <row r="303" spans="1:16" x14ac:dyDescent="0.25">
      <c r="A303" s="2" t="s">
        <v>351</v>
      </c>
      <c r="B303" s="6">
        <f t="shared" si="35"/>
        <v>302</v>
      </c>
      <c r="C303" s="68">
        <v>10311</v>
      </c>
      <c r="D303" s="69" t="s">
        <v>390</v>
      </c>
      <c r="E303" s="69" t="s">
        <v>389</v>
      </c>
      <c r="F303" s="14">
        <v>31</v>
      </c>
      <c r="G303" s="14">
        <f>VLOOKUP(C303,[15]ATTANDANCE!$C$4:$AS$55,42,0)</f>
        <v>31</v>
      </c>
      <c r="H303" s="27">
        <v>28000</v>
      </c>
      <c r="I303" s="27">
        <v>1800</v>
      </c>
      <c r="J303" s="27">
        <v>0</v>
      </c>
      <c r="K303" s="27">
        <v>200</v>
      </c>
      <c r="L303" s="27">
        <v>2000</v>
      </c>
      <c r="M303" s="27">
        <v>26000</v>
      </c>
      <c r="N303" s="8">
        <v>1950</v>
      </c>
      <c r="O303" s="27">
        <v>1000</v>
      </c>
      <c r="P303" s="6"/>
    </row>
    <row r="304" spans="1:16" x14ac:dyDescent="0.25">
      <c r="A304" s="2" t="s">
        <v>351</v>
      </c>
      <c r="B304" s="6">
        <f t="shared" si="35"/>
        <v>303</v>
      </c>
      <c r="C304" s="68">
        <v>10422</v>
      </c>
      <c r="D304" s="69" t="s">
        <v>391</v>
      </c>
      <c r="E304" s="69" t="s">
        <v>389</v>
      </c>
      <c r="F304" s="14">
        <v>31</v>
      </c>
      <c r="G304" s="14">
        <f>VLOOKUP(C304,[15]ATTANDANCE!$C$4:$AS$55,42,0)</f>
        <v>23</v>
      </c>
      <c r="H304" s="27">
        <v>20773</v>
      </c>
      <c r="I304" s="27">
        <v>1335.483870967742</v>
      </c>
      <c r="J304" s="27">
        <v>0</v>
      </c>
      <c r="K304" s="27">
        <v>200</v>
      </c>
      <c r="L304" s="27">
        <v>1535</v>
      </c>
      <c r="M304" s="27">
        <v>19238</v>
      </c>
      <c r="N304" s="8">
        <v>1446.7741935483871</v>
      </c>
      <c r="O304" s="27">
        <v>1000</v>
      </c>
      <c r="P304" s="6"/>
    </row>
    <row r="305" spans="1:16" x14ac:dyDescent="0.25">
      <c r="A305" s="2" t="s">
        <v>351</v>
      </c>
      <c r="B305" s="6">
        <f t="shared" si="35"/>
        <v>304</v>
      </c>
      <c r="C305" s="68">
        <v>11192</v>
      </c>
      <c r="D305" s="69" t="s">
        <v>392</v>
      </c>
      <c r="E305" s="69" t="s">
        <v>292</v>
      </c>
      <c r="F305" s="14">
        <v>31</v>
      </c>
      <c r="G305" s="14">
        <f>VLOOKUP(C305,[15]ATTANDANCE!$C$4:$AS$55,42,0)</f>
        <v>31</v>
      </c>
      <c r="H305" s="27">
        <v>27000</v>
      </c>
      <c r="I305" s="27">
        <v>1800</v>
      </c>
      <c r="J305" s="27">
        <v>0</v>
      </c>
      <c r="K305" s="27">
        <v>200</v>
      </c>
      <c r="L305" s="27">
        <v>2000</v>
      </c>
      <c r="M305" s="27">
        <v>25000</v>
      </c>
      <c r="N305" s="8">
        <v>1950</v>
      </c>
      <c r="O305" s="27">
        <v>1000</v>
      </c>
      <c r="P305" s="6"/>
    </row>
    <row r="306" spans="1:16" x14ac:dyDescent="0.25">
      <c r="A306" s="2" t="s">
        <v>351</v>
      </c>
      <c r="B306" s="6">
        <f t="shared" si="35"/>
        <v>305</v>
      </c>
      <c r="C306" s="68">
        <v>10476</v>
      </c>
      <c r="D306" s="69" t="s">
        <v>393</v>
      </c>
      <c r="E306" s="69" t="s">
        <v>292</v>
      </c>
      <c r="F306" s="14">
        <v>31</v>
      </c>
      <c r="G306" s="14">
        <f>VLOOKUP(C306,[15]ATTANDANCE!$C$4:$AS$55,42,0)</f>
        <v>31</v>
      </c>
      <c r="H306" s="27">
        <v>23500</v>
      </c>
      <c r="I306" s="27">
        <v>1800</v>
      </c>
      <c r="J306" s="27">
        <v>0</v>
      </c>
      <c r="K306" s="27">
        <v>200</v>
      </c>
      <c r="L306" s="27">
        <v>2000</v>
      </c>
      <c r="M306" s="27">
        <v>21500</v>
      </c>
      <c r="N306" s="8">
        <v>1950</v>
      </c>
      <c r="O306" s="27">
        <v>1000</v>
      </c>
      <c r="P306" s="6"/>
    </row>
    <row r="307" spans="1:16" x14ac:dyDescent="0.25">
      <c r="A307" s="2" t="s">
        <v>351</v>
      </c>
      <c r="B307" s="6">
        <f t="shared" si="35"/>
        <v>306</v>
      </c>
      <c r="C307" s="68">
        <v>12074</v>
      </c>
      <c r="D307" s="69" t="s">
        <v>394</v>
      </c>
      <c r="E307" s="69" t="s">
        <v>292</v>
      </c>
      <c r="F307" s="14">
        <v>31</v>
      </c>
      <c r="G307" s="14">
        <f>VLOOKUP(C307,[15]ATTANDANCE!$C$4:$AS$55,42,0)</f>
        <v>31</v>
      </c>
      <c r="H307" s="27">
        <v>22500</v>
      </c>
      <c r="I307" s="27">
        <v>1800</v>
      </c>
      <c r="J307" s="27">
        <v>0</v>
      </c>
      <c r="K307" s="27">
        <v>200</v>
      </c>
      <c r="L307" s="27">
        <v>2000</v>
      </c>
      <c r="M307" s="27">
        <v>20500</v>
      </c>
      <c r="N307" s="8">
        <v>1950</v>
      </c>
      <c r="O307" s="27">
        <v>1000</v>
      </c>
      <c r="P307" s="6"/>
    </row>
    <row r="308" spans="1:16" x14ac:dyDescent="0.25">
      <c r="A308" s="2" t="s">
        <v>351</v>
      </c>
      <c r="B308" s="6">
        <f t="shared" si="35"/>
        <v>307</v>
      </c>
      <c r="C308" s="68">
        <v>12083</v>
      </c>
      <c r="D308" s="69" t="s">
        <v>395</v>
      </c>
      <c r="E308" s="69" t="s">
        <v>292</v>
      </c>
      <c r="F308" s="14">
        <v>31</v>
      </c>
      <c r="G308" s="14">
        <f>VLOOKUP(C308,[15]ATTANDANCE!$C$4:$AS$55,42,0)+3</f>
        <v>33</v>
      </c>
      <c r="H308" s="27">
        <v>26613</v>
      </c>
      <c r="I308" s="27">
        <v>1916.1290322580646</v>
      </c>
      <c r="J308" s="27">
        <v>0</v>
      </c>
      <c r="K308" s="27">
        <v>200</v>
      </c>
      <c r="L308" s="27">
        <v>2116</v>
      </c>
      <c r="M308" s="27">
        <v>24497</v>
      </c>
      <c r="N308" s="8">
        <v>2075.8064516129034</v>
      </c>
      <c r="O308" s="27">
        <v>1000</v>
      </c>
      <c r="P308" s="6"/>
    </row>
    <row r="309" spans="1:16" x14ac:dyDescent="0.25">
      <c r="A309" s="2" t="s">
        <v>351</v>
      </c>
      <c r="B309" s="6">
        <f t="shared" si="35"/>
        <v>308</v>
      </c>
      <c r="C309" s="68">
        <v>12107</v>
      </c>
      <c r="D309" s="69" t="s">
        <v>396</v>
      </c>
      <c r="E309" s="69" t="s">
        <v>292</v>
      </c>
      <c r="F309" s="14">
        <v>31</v>
      </c>
      <c r="G309" s="14">
        <f>VLOOKUP(C309,[15]ATTANDANCE!$C$4:$AS$55,42,0)</f>
        <v>2</v>
      </c>
      <c r="H309" s="27">
        <v>1452</v>
      </c>
      <c r="I309" s="27">
        <v>116.12903225806451</v>
      </c>
      <c r="J309" s="27">
        <v>0</v>
      </c>
      <c r="K309" s="27">
        <v>0</v>
      </c>
      <c r="L309" s="27">
        <v>116</v>
      </c>
      <c r="M309" s="27">
        <v>1336</v>
      </c>
      <c r="N309" s="8">
        <v>125.80645161290322</v>
      </c>
      <c r="O309" s="27">
        <v>1000</v>
      </c>
      <c r="P309" s="6"/>
    </row>
    <row r="310" spans="1:16" x14ac:dyDescent="0.25">
      <c r="A310" s="2" t="s">
        <v>351</v>
      </c>
      <c r="B310" s="6">
        <f t="shared" si="35"/>
        <v>309</v>
      </c>
      <c r="C310" s="68">
        <v>12120</v>
      </c>
      <c r="D310" s="69" t="s">
        <v>397</v>
      </c>
      <c r="E310" s="69" t="s">
        <v>292</v>
      </c>
      <c r="F310" s="14">
        <v>31</v>
      </c>
      <c r="G310" s="14">
        <f>VLOOKUP(C310,[15]ATTANDANCE!$C$4:$AS$55,42,0)</f>
        <v>5</v>
      </c>
      <c r="H310" s="27">
        <v>3413</v>
      </c>
      <c r="I310" s="27">
        <v>290.32258064516128</v>
      </c>
      <c r="J310" s="27">
        <v>25.5975</v>
      </c>
      <c r="K310" s="27">
        <v>0</v>
      </c>
      <c r="L310" s="27">
        <v>316</v>
      </c>
      <c r="M310" s="27">
        <v>3097</v>
      </c>
      <c r="N310" s="8">
        <v>314.51612903225805</v>
      </c>
      <c r="O310" s="27">
        <v>0.83191875000000004</v>
      </c>
      <c r="P310" s="6"/>
    </row>
    <row r="311" spans="1:16" x14ac:dyDescent="0.25">
      <c r="A311" s="2" t="s">
        <v>351</v>
      </c>
      <c r="B311" s="6">
        <f t="shared" si="35"/>
        <v>310</v>
      </c>
      <c r="C311" s="68" t="s">
        <v>398</v>
      </c>
      <c r="D311" s="69" t="s">
        <v>399</v>
      </c>
      <c r="E311" s="69" t="s">
        <v>292</v>
      </c>
      <c r="F311" s="14">
        <v>31</v>
      </c>
      <c r="G311" s="14">
        <f>VLOOKUP(C311,[15]ATTANDANCE!$C$4:$AS$55,42,0)</f>
        <v>4</v>
      </c>
      <c r="H311" s="27">
        <v>2903</v>
      </c>
      <c r="I311" s="27">
        <v>232.25806451612902</v>
      </c>
      <c r="J311" s="27">
        <v>0</v>
      </c>
      <c r="K311" s="27">
        <v>0</v>
      </c>
      <c r="L311" s="27">
        <v>232</v>
      </c>
      <c r="M311" s="27">
        <v>2671</v>
      </c>
      <c r="N311" s="8">
        <v>251.61290322580643</v>
      </c>
      <c r="O311" s="27">
        <v>1000</v>
      </c>
      <c r="P311" s="6"/>
    </row>
    <row r="312" spans="1:16" x14ac:dyDescent="0.25">
      <c r="A312" s="2" t="s">
        <v>351</v>
      </c>
      <c r="B312" s="6">
        <f t="shared" si="35"/>
        <v>311</v>
      </c>
      <c r="C312" s="68">
        <v>12077</v>
      </c>
      <c r="D312" s="69" t="s">
        <v>400</v>
      </c>
      <c r="E312" s="69" t="s">
        <v>362</v>
      </c>
      <c r="F312" s="14">
        <v>31</v>
      </c>
      <c r="G312" s="14">
        <f>VLOOKUP(C312,[15]ATTANDANCE!$C$4:$AS$55,42,0)</f>
        <v>31</v>
      </c>
      <c r="H312" s="27">
        <v>21000</v>
      </c>
      <c r="I312" s="27">
        <v>1800</v>
      </c>
      <c r="J312" s="27">
        <v>0</v>
      </c>
      <c r="K312" s="27">
        <v>200</v>
      </c>
      <c r="L312" s="27">
        <v>2000</v>
      </c>
      <c r="M312" s="27">
        <v>19000</v>
      </c>
      <c r="N312" s="8">
        <v>1950</v>
      </c>
      <c r="O312" s="27">
        <v>1000</v>
      </c>
      <c r="P312" s="6"/>
    </row>
    <row r="313" spans="1:16" x14ac:dyDescent="0.25">
      <c r="A313" s="2" t="s">
        <v>351</v>
      </c>
      <c r="B313" s="6">
        <f t="shared" si="35"/>
        <v>312</v>
      </c>
      <c r="C313" s="68">
        <v>12082</v>
      </c>
      <c r="D313" s="69" t="s">
        <v>401</v>
      </c>
      <c r="E313" s="69" t="s">
        <v>362</v>
      </c>
      <c r="F313" s="14">
        <v>31</v>
      </c>
      <c r="G313" s="14">
        <f>VLOOKUP(C313,[15]ATTANDANCE!$C$4:$AS$55,42,0)</f>
        <v>30</v>
      </c>
      <c r="H313" s="27">
        <v>22258</v>
      </c>
      <c r="I313" s="27">
        <v>1741.9354838709678</v>
      </c>
      <c r="J313" s="27">
        <v>0</v>
      </c>
      <c r="K313" s="27">
        <v>200</v>
      </c>
      <c r="L313" s="27">
        <v>1942</v>
      </c>
      <c r="M313" s="27">
        <v>20316</v>
      </c>
      <c r="N313" s="8">
        <v>1887.0967741935485</v>
      </c>
      <c r="O313" s="27">
        <v>0</v>
      </c>
      <c r="P313" s="6"/>
    </row>
    <row r="314" spans="1:16" x14ac:dyDescent="0.25">
      <c r="A314" s="2" t="s">
        <v>351</v>
      </c>
      <c r="B314" s="6">
        <f t="shared" si="35"/>
        <v>313</v>
      </c>
      <c r="C314" s="68">
        <v>11268</v>
      </c>
      <c r="D314" s="69" t="s">
        <v>402</v>
      </c>
      <c r="E314" s="69" t="s">
        <v>362</v>
      </c>
      <c r="F314" s="14">
        <v>31</v>
      </c>
      <c r="G314" s="14">
        <f>VLOOKUP(C314,[15]ATTANDANCE!$C$4:$AS$55,42,0)</f>
        <v>17</v>
      </c>
      <c r="H314" s="27">
        <v>12063</v>
      </c>
      <c r="I314" s="1">
        <v>987.09677419354841</v>
      </c>
      <c r="J314" s="27">
        <v>0</v>
      </c>
      <c r="K314" s="27">
        <v>0</v>
      </c>
      <c r="L314" s="27">
        <v>987</v>
      </c>
      <c r="M314" s="27">
        <v>11076</v>
      </c>
      <c r="N314" s="8">
        <v>1069.3548387096773</v>
      </c>
      <c r="O314" s="27">
        <v>1000</v>
      </c>
      <c r="P314" s="6"/>
    </row>
    <row r="315" spans="1:16" x14ac:dyDescent="0.25">
      <c r="A315" s="2" t="s">
        <v>351</v>
      </c>
      <c r="B315" s="6">
        <f t="shared" si="35"/>
        <v>314</v>
      </c>
      <c r="C315" s="68">
        <v>11678</v>
      </c>
      <c r="D315" s="69" t="s">
        <v>403</v>
      </c>
      <c r="E315" s="69" t="s">
        <v>362</v>
      </c>
      <c r="F315" s="14">
        <v>31</v>
      </c>
      <c r="G315" s="14">
        <f>VLOOKUP(C315,[15]ATTANDANCE!$C$4:$AS$55,42,0)</f>
        <v>30</v>
      </c>
      <c r="H315" s="27">
        <v>22258</v>
      </c>
      <c r="I315" s="27">
        <v>1741.9354838709678</v>
      </c>
      <c r="J315" s="27">
        <v>0</v>
      </c>
      <c r="K315" s="27">
        <v>200</v>
      </c>
      <c r="L315" s="27">
        <v>1942</v>
      </c>
      <c r="M315" s="27">
        <v>20316</v>
      </c>
      <c r="N315" s="8">
        <v>1887.0967741935485</v>
      </c>
      <c r="O315" s="27">
        <v>1000</v>
      </c>
      <c r="P315" s="6"/>
    </row>
    <row r="316" spans="1:16" x14ac:dyDescent="0.25">
      <c r="A316" s="2" t="s">
        <v>351</v>
      </c>
      <c r="B316" s="6">
        <f t="shared" si="35"/>
        <v>315</v>
      </c>
      <c r="C316" s="68">
        <v>10209</v>
      </c>
      <c r="D316" s="69" t="s">
        <v>404</v>
      </c>
      <c r="E316" s="69" t="s">
        <v>373</v>
      </c>
      <c r="F316" s="14">
        <v>31</v>
      </c>
      <c r="G316" s="14">
        <f>VLOOKUP(C316,[15]ATTANDANCE!$C$4:$AS$55,42,0)</f>
        <v>31</v>
      </c>
      <c r="H316" s="27">
        <v>25000</v>
      </c>
      <c r="I316" s="27">
        <v>1800</v>
      </c>
      <c r="J316" s="27">
        <v>0</v>
      </c>
      <c r="K316" s="27">
        <v>200</v>
      </c>
      <c r="L316" s="27">
        <v>2000</v>
      </c>
      <c r="M316" s="27">
        <v>23000</v>
      </c>
      <c r="N316" s="8">
        <v>1950</v>
      </c>
      <c r="O316" s="27">
        <v>1000</v>
      </c>
      <c r="P316" s="6"/>
    </row>
    <row r="317" spans="1:16" x14ac:dyDescent="0.25">
      <c r="A317" s="2" t="s">
        <v>351</v>
      </c>
      <c r="B317" s="6">
        <f t="shared" si="35"/>
        <v>316</v>
      </c>
      <c r="C317" s="68">
        <v>11853</v>
      </c>
      <c r="D317" s="69" t="s">
        <v>405</v>
      </c>
      <c r="E317" s="69" t="s">
        <v>373</v>
      </c>
      <c r="F317" s="14">
        <v>31</v>
      </c>
      <c r="G317" s="14">
        <f>VLOOKUP(C317,[15]ATTANDANCE!$C$4:$AS$55,42,0)</f>
        <v>31</v>
      </c>
      <c r="H317" s="27">
        <v>23000</v>
      </c>
      <c r="I317" s="27">
        <v>1800</v>
      </c>
      <c r="J317" s="27">
        <v>0</v>
      </c>
      <c r="K317" s="27">
        <v>200</v>
      </c>
      <c r="L317" s="27">
        <v>2000</v>
      </c>
      <c r="M317" s="27">
        <v>21000</v>
      </c>
      <c r="N317" s="8">
        <v>1950</v>
      </c>
      <c r="O317" s="27">
        <v>1000</v>
      </c>
      <c r="P317" s="6"/>
    </row>
    <row r="318" spans="1:16" x14ac:dyDescent="0.25">
      <c r="A318" s="2" t="s">
        <v>351</v>
      </c>
      <c r="B318" s="6">
        <f t="shared" si="35"/>
        <v>317</v>
      </c>
      <c r="C318" s="68">
        <v>12031</v>
      </c>
      <c r="D318" s="69" t="s">
        <v>406</v>
      </c>
      <c r="E318" s="69" t="s">
        <v>373</v>
      </c>
      <c r="F318" s="14">
        <v>31</v>
      </c>
      <c r="G318" s="14">
        <f>VLOOKUP(C318,[15]ATTANDANCE!$C$4:$AS$55,42,0)</f>
        <v>8</v>
      </c>
      <c r="H318" s="27">
        <v>5937</v>
      </c>
      <c r="I318" s="27">
        <v>464.51612903225805</v>
      </c>
      <c r="J318" s="27">
        <v>0</v>
      </c>
      <c r="K318" s="27">
        <v>0</v>
      </c>
      <c r="L318" s="27">
        <v>465</v>
      </c>
      <c r="M318" s="27">
        <v>5472</v>
      </c>
      <c r="N318" s="8">
        <v>503.22580645161287</v>
      </c>
      <c r="O318" s="27">
        <v>1000</v>
      </c>
      <c r="P318" s="6"/>
    </row>
    <row r="319" spans="1:16" x14ac:dyDescent="0.25">
      <c r="A319" s="2" t="s">
        <v>351</v>
      </c>
      <c r="B319" s="6">
        <f t="shared" si="35"/>
        <v>318</v>
      </c>
      <c r="C319" s="68">
        <v>708</v>
      </c>
      <c r="D319" s="69" t="s">
        <v>407</v>
      </c>
      <c r="E319" s="69" t="s">
        <v>373</v>
      </c>
      <c r="F319" s="14">
        <v>31</v>
      </c>
      <c r="G319" s="14">
        <f>VLOOKUP(C319,[15]ATTANDANCE!$C$4:$AS$55,42,0)</f>
        <v>12</v>
      </c>
      <c r="H319" s="27">
        <v>8516</v>
      </c>
      <c r="I319" s="27">
        <v>696.77419354838707</v>
      </c>
      <c r="J319" s="27">
        <v>0</v>
      </c>
      <c r="K319" s="27">
        <v>0</v>
      </c>
      <c r="L319" s="27">
        <v>697</v>
      </c>
      <c r="M319" s="27">
        <v>7819</v>
      </c>
      <c r="N319" s="8">
        <v>754.83870967741939</v>
      </c>
      <c r="O319" s="27">
        <v>1000</v>
      </c>
      <c r="P319" s="6"/>
    </row>
    <row r="320" spans="1:16" x14ac:dyDescent="0.25">
      <c r="A320" s="2" t="s">
        <v>351</v>
      </c>
      <c r="B320" s="6">
        <f t="shared" si="35"/>
        <v>319</v>
      </c>
      <c r="C320" s="68">
        <v>11142</v>
      </c>
      <c r="D320" s="69" t="s">
        <v>408</v>
      </c>
      <c r="E320" s="69" t="s">
        <v>373</v>
      </c>
      <c r="F320" s="14">
        <v>31</v>
      </c>
      <c r="G320" s="14">
        <f>VLOOKUP(C320,[15]ATTANDANCE!$C$4:$AS$55,42,0)</f>
        <v>1</v>
      </c>
      <c r="H320" s="27">
        <v>741</v>
      </c>
      <c r="I320" s="1">
        <v>58.064516129032256</v>
      </c>
      <c r="J320" s="27">
        <v>0</v>
      </c>
      <c r="K320" s="27">
        <v>0</v>
      </c>
      <c r="L320" s="27">
        <v>58</v>
      </c>
      <c r="M320" s="27">
        <v>683</v>
      </c>
      <c r="N320" s="8">
        <v>62.903225806451609</v>
      </c>
      <c r="O320" s="27">
        <v>1000</v>
      </c>
      <c r="P320" s="6"/>
    </row>
    <row r="321" spans="1:16" x14ac:dyDescent="0.25">
      <c r="A321" s="2" t="s">
        <v>351</v>
      </c>
      <c r="B321" s="6">
        <f t="shared" si="35"/>
        <v>320</v>
      </c>
      <c r="C321" s="68">
        <v>10936</v>
      </c>
      <c r="D321" s="69" t="s">
        <v>409</v>
      </c>
      <c r="E321" s="69" t="s">
        <v>373</v>
      </c>
      <c r="F321" s="14">
        <v>31</v>
      </c>
      <c r="G321" s="14">
        <f>VLOOKUP(C321,[15]ATTANDANCE!$C$4:$AS$55,42,0)</f>
        <v>27</v>
      </c>
      <c r="H321" s="27">
        <v>21775</v>
      </c>
      <c r="I321" s="27">
        <v>1567.741935483871</v>
      </c>
      <c r="J321" s="27">
        <v>0</v>
      </c>
      <c r="K321" s="27">
        <v>200</v>
      </c>
      <c r="L321" s="27">
        <v>1768</v>
      </c>
      <c r="M321" s="27">
        <v>20007</v>
      </c>
      <c r="N321" s="8">
        <v>1698.3870967741934</v>
      </c>
      <c r="O321" s="27">
        <v>1000</v>
      </c>
      <c r="P321" s="6"/>
    </row>
    <row r="322" spans="1:16" x14ac:dyDescent="0.25">
      <c r="A322" s="2" t="s">
        <v>351</v>
      </c>
      <c r="B322" s="6">
        <f t="shared" si="35"/>
        <v>321</v>
      </c>
      <c r="C322" s="70">
        <v>11719</v>
      </c>
      <c r="D322" s="3" t="s">
        <v>410</v>
      </c>
      <c r="E322" s="69" t="s">
        <v>219</v>
      </c>
      <c r="F322" s="14">
        <v>31</v>
      </c>
      <c r="G322" s="14">
        <f>VLOOKUP(C322,[15]ATTANDANCE!$C$4:$AS$55,42,0)</f>
        <v>30</v>
      </c>
      <c r="H322" s="27">
        <v>23226</v>
      </c>
      <c r="I322" s="27">
        <v>1741.9354838709678</v>
      </c>
      <c r="J322" s="27">
        <v>0</v>
      </c>
      <c r="K322" s="27">
        <v>200</v>
      </c>
      <c r="L322" s="27">
        <v>1942</v>
      </c>
      <c r="M322" s="27">
        <v>21284</v>
      </c>
      <c r="N322" s="8">
        <v>1887.0967741935485</v>
      </c>
      <c r="O322" s="27">
        <v>1000</v>
      </c>
      <c r="P322" s="6"/>
    </row>
    <row r="323" spans="1:16" x14ac:dyDescent="0.25">
      <c r="A323" s="2" t="s">
        <v>351</v>
      </c>
      <c r="B323" s="6">
        <f t="shared" ref="B323:B386" si="36">B322+1</f>
        <v>322</v>
      </c>
      <c r="C323" s="70">
        <v>11721</v>
      </c>
      <c r="D323" s="3" t="s">
        <v>411</v>
      </c>
      <c r="E323" s="69" t="s">
        <v>219</v>
      </c>
      <c r="F323" s="14">
        <v>31</v>
      </c>
      <c r="G323" s="14">
        <f>VLOOKUP(C323,[15]ATTANDANCE!$C$4:$AS$55,42,0)</f>
        <v>30</v>
      </c>
      <c r="H323" s="27">
        <v>22742</v>
      </c>
      <c r="I323" s="27">
        <v>1741.9354838709678</v>
      </c>
      <c r="J323" s="27">
        <v>0</v>
      </c>
      <c r="K323" s="27">
        <v>200</v>
      </c>
      <c r="L323" s="27">
        <v>1942</v>
      </c>
      <c r="M323" s="27">
        <v>20800</v>
      </c>
      <c r="N323" s="8">
        <v>1887.0967741935485</v>
      </c>
      <c r="O323" s="27">
        <v>1000</v>
      </c>
      <c r="P323" s="6"/>
    </row>
    <row r="324" spans="1:16" x14ac:dyDescent="0.25">
      <c r="A324" s="2" t="s">
        <v>351</v>
      </c>
      <c r="B324" s="6">
        <f t="shared" si="36"/>
        <v>323</v>
      </c>
      <c r="C324" s="70">
        <v>11729</v>
      </c>
      <c r="D324" s="3" t="s">
        <v>412</v>
      </c>
      <c r="E324" s="69" t="s">
        <v>219</v>
      </c>
      <c r="F324" s="14">
        <v>31</v>
      </c>
      <c r="G324" s="14">
        <f>VLOOKUP(C324,[15]ATTANDANCE!$C$4:$AS$55,42,0)</f>
        <v>31</v>
      </c>
      <c r="H324" s="27">
        <v>23500</v>
      </c>
      <c r="I324" s="27">
        <v>1800</v>
      </c>
      <c r="J324" s="27">
        <v>0</v>
      </c>
      <c r="K324" s="27">
        <v>200</v>
      </c>
      <c r="L324" s="27">
        <v>2000</v>
      </c>
      <c r="M324" s="27">
        <v>21500</v>
      </c>
      <c r="N324" s="8">
        <v>1950</v>
      </c>
      <c r="O324" s="27">
        <v>1000</v>
      </c>
      <c r="P324" s="6"/>
    </row>
    <row r="325" spans="1:16" x14ac:dyDescent="0.25">
      <c r="A325" s="2" t="s">
        <v>351</v>
      </c>
      <c r="B325" s="6">
        <f t="shared" si="36"/>
        <v>324</v>
      </c>
      <c r="C325" s="68">
        <v>10900</v>
      </c>
      <c r="D325" s="69" t="s">
        <v>413</v>
      </c>
      <c r="E325" s="69" t="s">
        <v>219</v>
      </c>
      <c r="F325" s="14">
        <v>31</v>
      </c>
      <c r="G325" s="14">
        <f>VLOOKUP(C325,[15]ATTANDANCE!$C$4:$AS$55,42,0)</f>
        <v>31</v>
      </c>
      <c r="H325" s="27">
        <v>24000</v>
      </c>
      <c r="I325" s="27">
        <v>1800</v>
      </c>
      <c r="J325" s="27">
        <v>0</v>
      </c>
      <c r="K325" s="27">
        <v>200</v>
      </c>
      <c r="L325" s="27">
        <v>2000</v>
      </c>
      <c r="M325" s="27">
        <v>22000</v>
      </c>
      <c r="N325" s="8">
        <v>1950</v>
      </c>
      <c r="O325" s="27">
        <v>1000</v>
      </c>
      <c r="P325" s="6"/>
    </row>
    <row r="326" spans="1:16" x14ac:dyDescent="0.25">
      <c r="A326" s="2" t="s">
        <v>351</v>
      </c>
      <c r="B326" s="6">
        <f t="shared" si="36"/>
        <v>325</v>
      </c>
      <c r="C326" s="7">
        <v>11227</v>
      </c>
      <c r="D326" s="69" t="s">
        <v>414</v>
      </c>
      <c r="E326" s="69" t="s">
        <v>343</v>
      </c>
      <c r="F326" s="14">
        <v>31</v>
      </c>
      <c r="G326" s="14">
        <f>VLOOKUP(C326,[15]ATTANDANCE!$C$4:$AS$55,42,0)</f>
        <v>28</v>
      </c>
      <c r="H326" s="27">
        <v>21849</v>
      </c>
      <c r="I326" s="27">
        <v>1625.8064516129032</v>
      </c>
      <c r="J326" s="27">
        <v>0</v>
      </c>
      <c r="K326" s="27">
        <v>200</v>
      </c>
      <c r="L326" s="27">
        <v>1826</v>
      </c>
      <c r="M326" s="27">
        <v>20023</v>
      </c>
      <c r="N326" s="8">
        <v>1761.2903225806451</v>
      </c>
      <c r="O326" s="27">
        <v>1000</v>
      </c>
      <c r="P326" s="6"/>
    </row>
    <row r="327" spans="1:16" x14ac:dyDescent="0.25">
      <c r="A327" s="2" t="s">
        <v>351</v>
      </c>
      <c r="B327" s="6">
        <f t="shared" si="36"/>
        <v>326</v>
      </c>
      <c r="C327" s="68">
        <v>11278</v>
      </c>
      <c r="D327" s="69" t="s">
        <v>416</v>
      </c>
      <c r="E327" s="69" t="s">
        <v>417</v>
      </c>
      <c r="F327" s="14">
        <v>31</v>
      </c>
      <c r="G327" s="14">
        <f>VLOOKUP(C327,[15]ATTANDANCE!$C$4:$AS$55,42,0)</f>
        <v>29</v>
      </c>
      <c r="H327" s="27">
        <v>22629</v>
      </c>
      <c r="I327" s="27">
        <v>1683.8709677419354</v>
      </c>
      <c r="J327" s="27">
        <v>0</v>
      </c>
      <c r="K327" s="27">
        <v>200</v>
      </c>
      <c r="L327" s="27">
        <v>1884</v>
      </c>
      <c r="M327" s="27">
        <v>20745</v>
      </c>
      <c r="N327" s="8">
        <v>1824.1935483870966</v>
      </c>
      <c r="O327" s="27">
        <v>1000</v>
      </c>
      <c r="P327" s="6"/>
    </row>
    <row r="328" spans="1:16" x14ac:dyDescent="0.25">
      <c r="A328" s="2" t="s">
        <v>352</v>
      </c>
      <c r="B328" s="6">
        <f t="shared" si="36"/>
        <v>327</v>
      </c>
      <c r="C328" s="71">
        <v>10153</v>
      </c>
      <c r="D328" s="12" t="s">
        <v>418</v>
      </c>
      <c r="E328" s="72" t="s">
        <v>355</v>
      </c>
      <c r="F328" s="2">
        <v>31</v>
      </c>
      <c r="G328" s="2">
        <f>VLOOKUP(C328,[16]ATTANDANCE!$C$4:$AR$89,42,0)</f>
        <v>31</v>
      </c>
      <c r="H328" s="14">
        <v>28000</v>
      </c>
      <c r="I328" s="14">
        <v>1800</v>
      </c>
      <c r="J328" s="14">
        <v>0</v>
      </c>
      <c r="K328" s="14">
        <v>200</v>
      </c>
      <c r="L328" s="14">
        <v>2000</v>
      </c>
      <c r="M328" s="15">
        <v>26000</v>
      </c>
      <c r="N328" s="8">
        <v>1950</v>
      </c>
      <c r="O328" s="14">
        <v>1000</v>
      </c>
      <c r="P328" s="6"/>
    </row>
    <row r="329" spans="1:16" x14ac:dyDescent="0.25">
      <c r="A329" s="2" t="s">
        <v>352</v>
      </c>
      <c r="B329" s="6">
        <f t="shared" si="36"/>
        <v>328</v>
      </c>
      <c r="C329" s="71">
        <v>11834</v>
      </c>
      <c r="D329" s="12" t="s">
        <v>419</v>
      </c>
      <c r="E329" s="72" t="s">
        <v>355</v>
      </c>
      <c r="F329" s="2">
        <v>31</v>
      </c>
      <c r="G329" s="2">
        <f>VLOOKUP(C329,[16]ATTANDANCE!$C$4:$AR$89,42,0)</f>
        <v>14</v>
      </c>
      <c r="H329" s="14">
        <v>12194</v>
      </c>
      <c r="I329" s="14">
        <v>812.90322580645159</v>
      </c>
      <c r="J329" s="14">
        <v>0</v>
      </c>
      <c r="K329" s="14">
        <v>0</v>
      </c>
      <c r="L329" s="14">
        <v>813</v>
      </c>
      <c r="M329" s="15">
        <v>11381</v>
      </c>
      <c r="N329" s="8">
        <v>880.64516129032256</v>
      </c>
      <c r="O329" s="14">
        <v>1000</v>
      </c>
      <c r="P329" s="6"/>
    </row>
    <row r="330" spans="1:16" x14ac:dyDescent="0.25">
      <c r="A330" s="2" t="s">
        <v>352</v>
      </c>
      <c r="B330" s="6">
        <f t="shared" si="36"/>
        <v>329</v>
      </c>
      <c r="C330" s="71">
        <v>11886</v>
      </c>
      <c r="D330" s="12" t="s">
        <v>420</v>
      </c>
      <c r="E330" s="72" t="s">
        <v>355</v>
      </c>
      <c r="F330" s="2">
        <v>31</v>
      </c>
      <c r="G330" s="2">
        <f>VLOOKUP(C330,[16]ATTANDANCE!$C$4:$AR$89,42,0)</f>
        <v>19</v>
      </c>
      <c r="H330" s="14">
        <v>17774</v>
      </c>
      <c r="I330" s="14">
        <v>1103.2258064516129</v>
      </c>
      <c r="J330" s="14">
        <v>0</v>
      </c>
      <c r="K330" s="14">
        <v>150</v>
      </c>
      <c r="L330" s="14">
        <v>1253</v>
      </c>
      <c r="M330" s="15">
        <v>16521</v>
      </c>
      <c r="N330" s="8">
        <v>1195.1612903225807</v>
      </c>
      <c r="O330" s="14">
        <v>1000</v>
      </c>
      <c r="P330" s="6"/>
    </row>
    <row r="331" spans="1:16" x14ac:dyDescent="0.25">
      <c r="A331" s="2" t="s">
        <v>352</v>
      </c>
      <c r="B331" s="6">
        <f t="shared" si="36"/>
        <v>330</v>
      </c>
      <c r="C331" s="71">
        <v>12132</v>
      </c>
      <c r="D331" s="12" t="s">
        <v>421</v>
      </c>
      <c r="E331" s="72" t="s">
        <v>355</v>
      </c>
      <c r="F331" s="2">
        <v>31</v>
      </c>
      <c r="G331" s="2">
        <f>VLOOKUP(C331,[16]ATTANDANCE!$C$4:$AR$89,42,0)</f>
        <v>9</v>
      </c>
      <c r="H331" s="14">
        <v>8419</v>
      </c>
      <c r="I331" s="14">
        <v>522.58064516129036</v>
      </c>
      <c r="J331" s="14">
        <v>0</v>
      </c>
      <c r="K331" s="14">
        <v>0</v>
      </c>
      <c r="L331" s="14">
        <v>523</v>
      </c>
      <c r="M331" s="15">
        <v>7896</v>
      </c>
      <c r="N331" s="8">
        <v>566.12903225806451</v>
      </c>
      <c r="O331" s="14">
        <v>1000</v>
      </c>
      <c r="P331" s="6"/>
    </row>
    <row r="332" spans="1:16" x14ac:dyDescent="0.25">
      <c r="A332" s="2" t="s">
        <v>352</v>
      </c>
      <c r="B332" s="6">
        <f t="shared" si="36"/>
        <v>331</v>
      </c>
      <c r="C332" s="73">
        <v>10517</v>
      </c>
      <c r="D332" s="45" t="s">
        <v>422</v>
      </c>
      <c r="E332" s="72" t="s">
        <v>355</v>
      </c>
      <c r="F332" s="2">
        <v>31</v>
      </c>
      <c r="G332" s="2">
        <f>VLOOKUP(C332,[16]ATTANDANCE!$C$4:$AR$89,42,0)</f>
        <v>26</v>
      </c>
      <c r="H332" s="14">
        <v>23483</v>
      </c>
      <c r="I332" s="14">
        <v>1509.6774193548388</v>
      </c>
      <c r="J332" s="14">
        <v>0</v>
      </c>
      <c r="K332" s="14">
        <v>200</v>
      </c>
      <c r="L332" s="14">
        <v>1710</v>
      </c>
      <c r="M332" s="15">
        <v>21773</v>
      </c>
      <c r="N332" s="8">
        <v>1635.4838709677422</v>
      </c>
      <c r="O332" s="14">
        <v>1000</v>
      </c>
      <c r="P332" s="6"/>
    </row>
    <row r="333" spans="1:16" x14ac:dyDescent="0.25">
      <c r="A333" s="2" t="s">
        <v>352</v>
      </c>
      <c r="B333" s="6">
        <f t="shared" si="36"/>
        <v>332</v>
      </c>
      <c r="C333" s="70">
        <v>10848</v>
      </c>
      <c r="D333" s="72" t="s">
        <v>423</v>
      </c>
      <c r="E333" s="72" t="s">
        <v>383</v>
      </c>
      <c r="F333" s="2">
        <v>31</v>
      </c>
      <c r="G333" s="2">
        <f>VLOOKUP(C333,[16]ATTANDANCE!$C$4:$AR$89,42,0)</f>
        <v>28</v>
      </c>
      <c r="H333" s="14">
        <v>21226</v>
      </c>
      <c r="I333" s="14">
        <v>1625.8064516129032</v>
      </c>
      <c r="J333" s="14">
        <v>0</v>
      </c>
      <c r="K333" s="14">
        <v>200</v>
      </c>
      <c r="L333" s="14">
        <v>1826</v>
      </c>
      <c r="M333" s="15">
        <v>19400</v>
      </c>
      <c r="N333" s="8">
        <v>1761.2903225806451</v>
      </c>
      <c r="O333" s="14">
        <v>1000</v>
      </c>
      <c r="P333" s="6"/>
    </row>
    <row r="334" spans="1:16" x14ac:dyDescent="0.25">
      <c r="A334" s="2" t="s">
        <v>352</v>
      </c>
      <c r="B334" s="6">
        <f t="shared" si="36"/>
        <v>333</v>
      </c>
      <c r="C334" s="70">
        <v>11319</v>
      </c>
      <c r="D334" s="72" t="s">
        <v>424</v>
      </c>
      <c r="E334" s="72" t="s">
        <v>383</v>
      </c>
      <c r="F334" s="2">
        <v>31</v>
      </c>
      <c r="G334" s="2">
        <f>VLOOKUP(C334,[16]ATTANDANCE!$C$4:$AR$89,42,0)</f>
        <v>29</v>
      </c>
      <c r="H334" s="14">
        <v>22265</v>
      </c>
      <c r="I334" s="14">
        <v>1683.8709677419354</v>
      </c>
      <c r="J334" s="14">
        <v>0</v>
      </c>
      <c r="K334" s="14">
        <v>200</v>
      </c>
      <c r="L334" s="14">
        <v>1884</v>
      </c>
      <c r="M334" s="15">
        <v>20381</v>
      </c>
      <c r="N334" s="8">
        <v>1824.1935483870966</v>
      </c>
      <c r="O334" s="14">
        <v>1000</v>
      </c>
      <c r="P334" s="6"/>
    </row>
    <row r="335" spans="1:16" x14ac:dyDescent="0.25">
      <c r="A335" s="2" t="s">
        <v>352</v>
      </c>
      <c r="B335" s="6">
        <f t="shared" si="36"/>
        <v>334</v>
      </c>
      <c r="C335" s="70">
        <v>11685</v>
      </c>
      <c r="D335" s="72" t="s">
        <v>425</v>
      </c>
      <c r="E335" s="72" t="s">
        <v>383</v>
      </c>
      <c r="F335" s="2">
        <v>31</v>
      </c>
      <c r="G335" s="2">
        <f>VLOOKUP(C335,[16]ATTANDANCE!$C$4:$AR$89,42,0)</f>
        <v>31</v>
      </c>
      <c r="H335" s="14">
        <v>22500</v>
      </c>
      <c r="I335" s="14">
        <v>1800</v>
      </c>
      <c r="J335" s="14">
        <v>0</v>
      </c>
      <c r="K335" s="14">
        <v>200</v>
      </c>
      <c r="L335" s="14">
        <v>2000</v>
      </c>
      <c r="M335" s="15">
        <v>20500</v>
      </c>
      <c r="N335" s="8">
        <v>1950</v>
      </c>
      <c r="O335" s="14">
        <v>1000</v>
      </c>
      <c r="P335" s="6"/>
    </row>
    <row r="336" spans="1:16" x14ac:dyDescent="0.25">
      <c r="A336" s="2" t="s">
        <v>352</v>
      </c>
      <c r="B336" s="6">
        <f t="shared" si="36"/>
        <v>335</v>
      </c>
      <c r="C336" s="70">
        <v>6</v>
      </c>
      <c r="D336" s="72" t="s">
        <v>426</v>
      </c>
      <c r="E336" s="72" t="s">
        <v>383</v>
      </c>
      <c r="F336" s="2">
        <v>31</v>
      </c>
      <c r="G336" s="2">
        <f>VLOOKUP(C336,[16]ATTANDANCE!$C$4:$AR$89,42,0)</f>
        <v>3</v>
      </c>
      <c r="H336" s="14">
        <v>2048</v>
      </c>
      <c r="I336" s="14">
        <v>174.19354838709677</v>
      </c>
      <c r="J336" s="14">
        <v>15.36</v>
      </c>
      <c r="K336" s="14">
        <v>0</v>
      </c>
      <c r="L336" s="14">
        <v>190</v>
      </c>
      <c r="M336" s="15">
        <v>1858</v>
      </c>
      <c r="N336" s="8">
        <v>188.70967741935485</v>
      </c>
      <c r="O336" s="14">
        <v>0</v>
      </c>
      <c r="P336" s="6"/>
    </row>
    <row r="337" spans="1:16" x14ac:dyDescent="0.25">
      <c r="A337" s="2" t="s">
        <v>352</v>
      </c>
      <c r="B337" s="6">
        <f t="shared" si="36"/>
        <v>336</v>
      </c>
      <c r="C337" s="70">
        <v>10024</v>
      </c>
      <c r="D337" s="72" t="s">
        <v>427</v>
      </c>
      <c r="E337" s="72" t="s">
        <v>336</v>
      </c>
      <c r="F337" s="2">
        <v>31</v>
      </c>
      <c r="G337" s="2">
        <f>VLOOKUP(C337,[16]ATTANDANCE!$C$4:$AR$89,42,0)</f>
        <v>31</v>
      </c>
      <c r="H337" s="14">
        <v>26000</v>
      </c>
      <c r="I337" s="14">
        <v>1800</v>
      </c>
      <c r="J337" s="14">
        <v>0</v>
      </c>
      <c r="K337" s="14">
        <v>200</v>
      </c>
      <c r="L337" s="14">
        <v>2000</v>
      </c>
      <c r="M337" s="15">
        <v>24000</v>
      </c>
      <c r="N337" s="8">
        <v>1950</v>
      </c>
      <c r="O337" s="14">
        <v>1000</v>
      </c>
      <c r="P337" s="6"/>
    </row>
    <row r="338" spans="1:16" x14ac:dyDescent="0.25">
      <c r="A338" s="2" t="s">
        <v>352</v>
      </c>
      <c r="B338" s="6">
        <f t="shared" si="36"/>
        <v>337</v>
      </c>
      <c r="C338" s="70">
        <v>10034</v>
      </c>
      <c r="D338" s="72" t="s">
        <v>428</v>
      </c>
      <c r="E338" s="72" t="s">
        <v>336</v>
      </c>
      <c r="F338" s="2">
        <v>31</v>
      </c>
      <c r="G338" s="2">
        <f>VLOOKUP(C338,[16]ATTANDANCE!$C$4:$AR$89,42,0)</f>
        <v>31</v>
      </c>
      <c r="H338" s="14">
        <v>26200</v>
      </c>
      <c r="I338" s="14">
        <v>1800</v>
      </c>
      <c r="J338" s="14">
        <v>0</v>
      </c>
      <c r="K338" s="14">
        <v>200</v>
      </c>
      <c r="L338" s="14">
        <v>2000</v>
      </c>
      <c r="M338" s="15">
        <v>24200</v>
      </c>
      <c r="N338" s="8">
        <v>1950</v>
      </c>
      <c r="O338" s="14">
        <v>1000</v>
      </c>
      <c r="P338" s="6"/>
    </row>
    <row r="339" spans="1:16" x14ac:dyDescent="0.25">
      <c r="A339" s="2" t="s">
        <v>352</v>
      </c>
      <c r="B339" s="6">
        <f t="shared" si="36"/>
        <v>338</v>
      </c>
      <c r="C339" s="70">
        <v>11567</v>
      </c>
      <c r="D339" s="72" t="s">
        <v>429</v>
      </c>
      <c r="E339" s="72" t="s">
        <v>336</v>
      </c>
      <c r="F339" s="2">
        <v>31</v>
      </c>
      <c r="G339" s="2">
        <f>VLOOKUP(C339,[16]ATTANDANCE!$C$4:$AR$89,42,0)</f>
        <v>17</v>
      </c>
      <c r="H339" s="14">
        <v>12338</v>
      </c>
      <c r="I339" s="14">
        <v>987.09677419354841</v>
      </c>
      <c r="J339" s="14">
        <v>0</v>
      </c>
      <c r="K339" s="14">
        <v>0</v>
      </c>
      <c r="L339" s="14">
        <v>987</v>
      </c>
      <c r="M339" s="15">
        <v>11351</v>
      </c>
      <c r="N339" s="8">
        <v>1069.3548387096773</v>
      </c>
      <c r="O339" s="14">
        <v>1000</v>
      </c>
      <c r="P339" s="6"/>
    </row>
    <row r="340" spans="1:16" x14ac:dyDescent="0.25">
      <c r="A340" s="2" t="s">
        <v>352</v>
      </c>
      <c r="B340" s="6">
        <f t="shared" si="36"/>
        <v>339</v>
      </c>
      <c r="C340" s="70">
        <v>11743</v>
      </c>
      <c r="D340" s="72" t="s">
        <v>430</v>
      </c>
      <c r="E340" s="72" t="s">
        <v>336</v>
      </c>
      <c r="F340" s="2">
        <v>31</v>
      </c>
      <c r="G340" s="2">
        <f>VLOOKUP(C340,[16]ATTANDANCE!$C$4:$AR$89,42,0)</f>
        <v>9</v>
      </c>
      <c r="H340" s="14">
        <v>6531.9677419354839</v>
      </c>
      <c r="I340" s="14">
        <v>522.58064516129036</v>
      </c>
      <c r="J340" s="14">
        <v>0</v>
      </c>
      <c r="K340" s="14">
        <v>0</v>
      </c>
      <c r="L340" s="14">
        <v>523</v>
      </c>
      <c r="M340" s="15">
        <v>6009</v>
      </c>
      <c r="N340" s="8">
        <v>566.12903225806451</v>
      </c>
      <c r="O340" s="14">
        <v>1000</v>
      </c>
      <c r="P340" s="6"/>
    </row>
    <row r="341" spans="1:16" x14ac:dyDescent="0.25">
      <c r="A341" s="2" t="s">
        <v>352</v>
      </c>
      <c r="B341" s="6">
        <f t="shared" si="36"/>
        <v>340</v>
      </c>
      <c r="C341" s="70">
        <v>11574</v>
      </c>
      <c r="D341" s="72" t="s">
        <v>431</v>
      </c>
      <c r="E341" s="72" t="s">
        <v>336</v>
      </c>
      <c r="F341" s="2">
        <v>31</v>
      </c>
      <c r="G341" s="2">
        <f>VLOOKUP(C341,[16]ATTANDANCE!$C$4:$AR$89,42,0)</f>
        <v>31</v>
      </c>
      <c r="H341" s="14">
        <v>23000</v>
      </c>
      <c r="I341" s="14">
        <v>1800</v>
      </c>
      <c r="J341" s="14">
        <v>0</v>
      </c>
      <c r="K341" s="14">
        <v>200</v>
      </c>
      <c r="L341" s="14">
        <v>2000</v>
      </c>
      <c r="M341" s="15">
        <v>21000</v>
      </c>
      <c r="N341" s="8">
        <v>1950</v>
      </c>
      <c r="O341" s="14">
        <v>1000</v>
      </c>
      <c r="P341" s="6"/>
    </row>
    <row r="342" spans="1:16" x14ac:dyDescent="0.25">
      <c r="A342" s="2" t="s">
        <v>352</v>
      </c>
      <c r="B342" s="6">
        <f t="shared" si="36"/>
        <v>341</v>
      </c>
      <c r="C342" s="70">
        <v>8</v>
      </c>
      <c r="D342" s="72" t="s">
        <v>432</v>
      </c>
      <c r="E342" s="72" t="s">
        <v>336</v>
      </c>
      <c r="F342" s="2">
        <v>31</v>
      </c>
      <c r="G342" s="2">
        <f>VLOOKUP(C342,[16]ATTANDANCE!$C$4:$AR$89,42,0)</f>
        <v>11</v>
      </c>
      <c r="H342" s="14">
        <v>7629</v>
      </c>
      <c r="I342" s="14">
        <v>638.70967741935488</v>
      </c>
      <c r="J342" s="14">
        <v>0</v>
      </c>
      <c r="K342" s="14">
        <v>0</v>
      </c>
      <c r="L342" s="14">
        <v>639</v>
      </c>
      <c r="M342" s="15">
        <v>6990</v>
      </c>
      <c r="N342" s="8">
        <v>691.9354838709678</v>
      </c>
      <c r="O342" s="14">
        <v>0</v>
      </c>
      <c r="P342" s="6"/>
    </row>
    <row r="343" spans="1:16" x14ac:dyDescent="0.25">
      <c r="A343" s="2" t="s">
        <v>352</v>
      </c>
      <c r="B343" s="6">
        <f t="shared" si="36"/>
        <v>342</v>
      </c>
      <c r="C343" s="70">
        <v>10575</v>
      </c>
      <c r="D343" s="72" t="s">
        <v>433</v>
      </c>
      <c r="E343" s="72" t="s">
        <v>336</v>
      </c>
      <c r="F343" s="2">
        <v>31</v>
      </c>
      <c r="G343" s="2">
        <f>VLOOKUP(C343,[16]ATTANDANCE!$C$4:$AR$89,42,0)</f>
        <v>30</v>
      </c>
      <c r="H343" s="14">
        <v>23226</v>
      </c>
      <c r="I343" s="14">
        <v>1741.9354838709678</v>
      </c>
      <c r="J343" s="14">
        <v>0</v>
      </c>
      <c r="K343" s="14">
        <v>200</v>
      </c>
      <c r="L343" s="14">
        <v>1942</v>
      </c>
      <c r="M343" s="15">
        <v>21284</v>
      </c>
      <c r="N343" s="8">
        <v>1887.0967741935485</v>
      </c>
      <c r="O343" s="14">
        <v>1000</v>
      </c>
      <c r="P343" s="6"/>
    </row>
    <row r="344" spans="1:16" x14ac:dyDescent="0.25">
      <c r="A344" s="2" t="s">
        <v>352</v>
      </c>
      <c r="B344" s="6">
        <f t="shared" si="36"/>
        <v>343</v>
      </c>
      <c r="C344" s="73">
        <v>10539</v>
      </c>
      <c r="D344" s="45" t="s">
        <v>434</v>
      </c>
      <c r="E344" s="72" t="s">
        <v>362</v>
      </c>
      <c r="F344" s="2">
        <v>31</v>
      </c>
      <c r="G344" s="2">
        <f>VLOOKUP(C344,[16]ATTANDANCE!$C$4:$AR$89,42,0)</f>
        <v>31</v>
      </c>
      <c r="H344" s="14">
        <v>25500</v>
      </c>
      <c r="I344" s="14">
        <v>1800</v>
      </c>
      <c r="J344" s="14">
        <v>0</v>
      </c>
      <c r="K344" s="14">
        <v>200</v>
      </c>
      <c r="L344" s="14">
        <v>2000</v>
      </c>
      <c r="M344" s="15">
        <v>23500</v>
      </c>
      <c r="N344" s="8">
        <v>1950</v>
      </c>
      <c r="O344" s="14">
        <v>1000</v>
      </c>
      <c r="P344" s="6"/>
    </row>
    <row r="345" spans="1:16" x14ac:dyDescent="0.25">
      <c r="A345" s="2" t="s">
        <v>352</v>
      </c>
      <c r="B345" s="6">
        <f t="shared" si="36"/>
        <v>344</v>
      </c>
      <c r="C345" s="73">
        <v>11316</v>
      </c>
      <c r="D345" s="45" t="s">
        <v>435</v>
      </c>
      <c r="E345" s="72" t="s">
        <v>362</v>
      </c>
      <c r="F345" s="2">
        <v>31</v>
      </c>
      <c r="G345" s="2">
        <f>VLOOKUP(C345,[16]ATTANDANCE!$C$4:$AR$89,42,0)</f>
        <v>17</v>
      </c>
      <c r="H345" s="14">
        <v>12338</v>
      </c>
      <c r="I345" s="14">
        <v>987.09677419354841</v>
      </c>
      <c r="J345" s="14">
        <v>0</v>
      </c>
      <c r="K345" s="14">
        <v>0</v>
      </c>
      <c r="L345" s="14">
        <v>987</v>
      </c>
      <c r="M345" s="15">
        <v>11351</v>
      </c>
      <c r="N345" s="8">
        <v>1069.3548387096773</v>
      </c>
      <c r="O345" s="14">
        <v>1000</v>
      </c>
      <c r="P345" s="6"/>
    </row>
    <row r="346" spans="1:16" x14ac:dyDescent="0.25">
      <c r="A346" s="2" t="s">
        <v>352</v>
      </c>
      <c r="B346" s="6">
        <f t="shared" si="36"/>
        <v>345</v>
      </c>
      <c r="C346" s="73">
        <v>10837</v>
      </c>
      <c r="D346" s="45" t="s">
        <v>436</v>
      </c>
      <c r="E346" s="72" t="s">
        <v>362</v>
      </c>
      <c r="F346" s="2">
        <v>31</v>
      </c>
      <c r="G346" s="2">
        <f>VLOOKUP(C346,[16]ATTANDANCE!$C$4:$AR$89,42,0)</f>
        <v>30</v>
      </c>
      <c r="H346" s="14">
        <v>22742</v>
      </c>
      <c r="I346" s="14">
        <v>1741.9354838709678</v>
      </c>
      <c r="J346" s="14">
        <v>0</v>
      </c>
      <c r="K346" s="14">
        <v>200</v>
      </c>
      <c r="L346" s="14">
        <v>1942</v>
      </c>
      <c r="M346" s="15">
        <v>20800</v>
      </c>
      <c r="N346" s="8">
        <v>1887.0967741935485</v>
      </c>
      <c r="O346" s="14">
        <v>1000</v>
      </c>
      <c r="P346" s="6"/>
    </row>
    <row r="347" spans="1:16" x14ac:dyDescent="0.25">
      <c r="A347" s="2" t="s">
        <v>352</v>
      </c>
      <c r="B347" s="6">
        <f t="shared" si="36"/>
        <v>346</v>
      </c>
      <c r="C347" s="73">
        <v>11428</v>
      </c>
      <c r="D347" s="45" t="s">
        <v>437</v>
      </c>
      <c r="E347" s="72" t="s">
        <v>362</v>
      </c>
      <c r="F347" s="2">
        <v>31</v>
      </c>
      <c r="G347" s="2">
        <f>VLOOKUP(C347,[16]ATTANDANCE!$C$4:$AR$89,42,0)</f>
        <v>20</v>
      </c>
      <c r="H347" s="14">
        <v>14838</v>
      </c>
      <c r="I347" s="14">
        <v>1161.2903225806451</v>
      </c>
      <c r="J347" s="14">
        <v>0</v>
      </c>
      <c r="K347" s="14">
        <v>0</v>
      </c>
      <c r="L347" s="14">
        <v>1161</v>
      </c>
      <c r="M347" s="15">
        <v>13677</v>
      </c>
      <c r="N347" s="8">
        <v>1258.0645161290322</v>
      </c>
      <c r="O347" s="14">
        <v>1000</v>
      </c>
      <c r="P347" s="6"/>
    </row>
    <row r="348" spans="1:16" x14ac:dyDescent="0.25">
      <c r="A348" s="2" t="s">
        <v>352</v>
      </c>
      <c r="B348" s="6">
        <f t="shared" si="36"/>
        <v>347</v>
      </c>
      <c r="C348" s="73">
        <v>12085</v>
      </c>
      <c r="D348" s="45" t="s">
        <v>438</v>
      </c>
      <c r="E348" s="72" t="s">
        <v>362</v>
      </c>
      <c r="F348" s="2">
        <v>31</v>
      </c>
      <c r="G348" s="2">
        <f>VLOOKUP(C348,[16]ATTANDANCE!$C$4:$AR$89,42,0)</f>
        <v>26</v>
      </c>
      <c r="H348" s="14">
        <v>17746</v>
      </c>
      <c r="I348" s="14">
        <v>1509.6774193548388</v>
      </c>
      <c r="J348" s="14">
        <v>133.095</v>
      </c>
      <c r="K348" s="14">
        <v>150</v>
      </c>
      <c r="L348" s="14">
        <v>1793</v>
      </c>
      <c r="M348" s="15">
        <v>15953</v>
      </c>
      <c r="N348" s="8">
        <v>1635.4838709677422</v>
      </c>
      <c r="O348" s="14">
        <v>0</v>
      </c>
      <c r="P348" s="6"/>
    </row>
    <row r="349" spans="1:16" x14ac:dyDescent="0.25">
      <c r="A349" s="2" t="s">
        <v>352</v>
      </c>
      <c r="B349" s="6">
        <f t="shared" si="36"/>
        <v>348</v>
      </c>
      <c r="C349" s="73">
        <v>4</v>
      </c>
      <c r="D349" s="45" t="s">
        <v>439</v>
      </c>
      <c r="E349" s="72" t="s">
        <v>362</v>
      </c>
      <c r="F349" s="2">
        <v>31</v>
      </c>
      <c r="G349" s="2">
        <f>VLOOKUP(C349,[16]ATTANDANCE!$C$4:$AR$89,42,0)</f>
        <v>4</v>
      </c>
      <c r="H349" s="14">
        <v>2730</v>
      </c>
      <c r="I349" s="14">
        <v>232.25806451612902</v>
      </c>
      <c r="J349" s="14">
        <v>20.474999999999998</v>
      </c>
      <c r="K349" s="14">
        <v>0</v>
      </c>
      <c r="L349" s="14">
        <v>253</v>
      </c>
      <c r="M349" s="15">
        <v>2477</v>
      </c>
      <c r="N349" s="8">
        <v>251.61290322580643</v>
      </c>
      <c r="O349" s="14">
        <v>0</v>
      </c>
      <c r="P349" s="6"/>
    </row>
    <row r="350" spans="1:16" x14ac:dyDescent="0.25">
      <c r="A350" s="2" t="s">
        <v>352</v>
      </c>
      <c r="B350" s="6">
        <f t="shared" si="36"/>
        <v>349</v>
      </c>
      <c r="C350" s="73">
        <v>12103</v>
      </c>
      <c r="D350" s="45" t="s">
        <v>440</v>
      </c>
      <c r="E350" s="72" t="s">
        <v>362</v>
      </c>
      <c r="F350" s="2">
        <v>31</v>
      </c>
      <c r="G350" s="2">
        <f>VLOOKUP(C350,[16]ATTANDANCE!$C$4:$AR$89,42,0)</f>
        <v>8</v>
      </c>
      <c r="H350" s="14">
        <v>5462</v>
      </c>
      <c r="I350" s="14">
        <v>464.51612903225805</v>
      </c>
      <c r="J350" s="14">
        <v>40.964999999999996</v>
      </c>
      <c r="K350" s="14">
        <v>0</v>
      </c>
      <c r="L350" s="14">
        <v>505</v>
      </c>
      <c r="M350" s="15">
        <v>4957</v>
      </c>
      <c r="N350" s="8">
        <v>503.22580645161287</v>
      </c>
      <c r="O350" s="14">
        <v>0</v>
      </c>
      <c r="P350" s="6"/>
    </row>
    <row r="351" spans="1:16" x14ac:dyDescent="0.25">
      <c r="A351" s="2" t="s">
        <v>352</v>
      </c>
      <c r="B351" s="6">
        <f t="shared" si="36"/>
        <v>350</v>
      </c>
      <c r="C351" s="73">
        <v>11600</v>
      </c>
      <c r="D351" s="45" t="s">
        <v>441</v>
      </c>
      <c r="E351" s="72" t="s">
        <v>362</v>
      </c>
      <c r="F351" s="2">
        <v>31</v>
      </c>
      <c r="G351" s="2">
        <f>VLOOKUP(C351,[16]ATTANDANCE!$C$4:$AR$89,42,0)</f>
        <v>7</v>
      </c>
      <c r="H351" s="14">
        <v>4967</v>
      </c>
      <c r="I351" s="14">
        <v>406.45161290322579</v>
      </c>
      <c r="J351" s="14">
        <v>0</v>
      </c>
      <c r="K351" s="14">
        <v>0</v>
      </c>
      <c r="L351" s="14">
        <v>406</v>
      </c>
      <c r="M351" s="15">
        <v>4561</v>
      </c>
      <c r="N351" s="8">
        <v>440.32258064516128</v>
      </c>
      <c r="O351" s="14">
        <v>0</v>
      </c>
      <c r="P351" s="6"/>
    </row>
    <row r="352" spans="1:16" x14ac:dyDescent="0.25">
      <c r="A352" s="2" t="s">
        <v>352</v>
      </c>
      <c r="B352" s="6">
        <f t="shared" si="36"/>
        <v>351</v>
      </c>
      <c r="C352" s="73">
        <v>5</v>
      </c>
      <c r="D352" s="45" t="s">
        <v>442</v>
      </c>
      <c r="E352" s="72" t="s">
        <v>362</v>
      </c>
      <c r="F352" s="2">
        <v>31</v>
      </c>
      <c r="G352" s="2">
        <f>VLOOKUP(C352,[16]ATTANDANCE!$C$4:$AR$89,42,0)</f>
        <v>4</v>
      </c>
      <c r="H352" s="14">
        <v>2730</v>
      </c>
      <c r="I352" s="14">
        <v>232.25806451612902</v>
      </c>
      <c r="J352" s="14">
        <v>20.474999999999998</v>
      </c>
      <c r="K352" s="14">
        <v>0</v>
      </c>
      <c r="L352" s="14">
        <v>253</v>
      </c>
      <c r="M352" s="15">
        <v>2477</v>
      </c>
      <c r="N352" s="8">
        <v>251.61290322580643</v>
      </c>
      <c r="O352" s="14">
        <v>0</v>
      </c>
      <c r="P352" s="6"/>
    </row>
    <row r="353" spans="1:16" x14ac:dyDescent="0.25">
      <c r="A353" s="2" t="s">
        <v>352</v>
      </c>
      <c r="B353" s="6">
        <f t="shared" si="36"/>
        <v>352</v>
      </c>
      <c r="C353" s="73">
        <v>11688</v>
      </c>
      <c r="D353" s="45" t="s">
        <v>443</v>
      </c>
      <c r="E353" s="72" t="s">
        <v>362</v>
      </c>
      <c r="F353" s="2">
        <v>31</v>
      </c>
      <c r="G353" s="2">
        <f>VLOOKUP(C353,[16]ATTANDANCE!$C$4:$AR$89,42,0)</f>
        <v>31</v>
      </c>
      <c r="H353" s="14">
        <v>24000</v>
      </c>
      <c r="I353" s="14">
        <v>1800</v>
      </c>
      <c r="J353" s="14">
        <v>0</v>
      </c>
      <c r="K353" s="14">
        <v>200</v>
      </c>
      <c r="L353" s="14">
        <v>2000</v>
      </c>
      <c r="M353" s="15">
        <v>22000</v>
      </c>
      <c r="N353" s="8">
        <v>1950</v>
      </c>
      <c r="O353" s="14">
        <v>1000</v>
      </c>
      <c r="P353" s="6"/>
    </row>
    <row r="354" spans="1:16" x14ac:dyDescent="0.25">
      <c r="A354" s="2" t="s">
        <v>352</v>
      </c>
      <c r="B354" s="6">
        <f t="shared" si="36"/>
        <v>353</v>
      </c>
      <c r="C354" s="73">
        <v>11519</v>
      </c>
      <c r="D354" s="45" t="s">
        <v>444</v>
      </c>
      <c r="E354" s="72" t="s">
        <v>445</v>
      </c>
      <c r="F354" s="2">
        <v>31</v>
      </c>
      <c r="G354" s="2">
        <f>VLOOKUP(C354,[16]ATTANDANCE!$C$4:$AR$89,42,0)</f>
        <v>25</v>
      </c>
      <c r="H354" s="14">
        <v>19355</v>
      </c>
      <c r="I354" s="14">
        <v>1451.6129032258063</v>
      </c>
      <c r="J354" s="14">
        <v>0</v>
      </c>
      <c r="K354" s="14">
        <v>150</v>
      </c>
      <c r="L354" s="14">
        <v>1602</v>
      </c>
      <c r="M354" s="15">
        <v>17753</v>
      </c>
      <c r="N354" s="8">
        <v>1572.58064516129</v>
      </c>
      <c r="O354" s="14">
        <v>1000</v>
      </c>
      <c r="P354" s="6"/>
    </row>
    <row r="355" spans="1:16" x14ac:dyDescent="0.25">
      <c r="A355" s="2" t="s">
        <v>352</v>
      </c>
      <c r="B355" s="6">
        <f t="shared" si="36"/>
        <v>354</v>
      </c>
      <c r="C355" s="73">
        <v>11835</v>
      </c>
      <c r="D355" s="45" t="s">
        <v>446</v>
      </c>
      <c r="E355" s="72" t="s">
        <v>445</v>
      </c>
      <c r="F355" s="2">
        <v>31</v>
      </c>
      <c r="G355" s="2">
        <f>VLOOKUP(C355,[16]ATTANDANCE!$C$4:$AR$89,42,0)</f>
        <v>29</v>
      </c>
      <c r="H355" s="14">
        <v>21515</v>
      </c>
      <c r="I355" s="14">
        <v>1683.8709677419354</v>
      </c>
      <c r="J355" s="14">
        <v>0</v>
      </c>
      <c r="K355" s="14">
        <v>200</v>
      </c>
      <c r="L355" s="14">
        <v>1884</v>
      </c>
      <c r="M355" s="15">
        <v>19631</v>
      </c>
      <c r="N355" s="8">
        <v>1824.1935483870966</v>
      </c>
      <c r="O355" s="14">
        <v>1000</v>
      </c>
      <c r="P355" s="6"/>
    </row>
    <row r="356" spans="1:16" x14ac:dyDescent="0.25">
      <c r="A356" s="2" t="s">
        <v>352</v>
      </c>
      <c r="B356" s="6">
        <f t="shared" si="36"/>
        <v>355</v>
      </c>
      <c r="C356" s="73">
        <v>12108</v>
      </c>
      <c r="D356" s="45" t="s">
        <v>447</v>
      </c>
      <c r="E356" s="72" t="s">
        <v>445</v>
      </c>
      <c r="F356" s="2">
        <v>31</v>
      </c>
      <c r="G356" s="2">
        <f>VLOOKUP(C356,[16]ATTANDANCE!$C$4:$AR$89,42,0)</f>
        <v>25</v>
      </c>
      <c r="H356" s="14">
        <v>17742</v>
      </c>
      <c r="I356" s="14">
        <v>1451.6129032258063</v>
      </c>
      <c r="J356" s="14">
        <v>0</v>
      </c>
      <c r="K356" s="14">
        <v>150</v>
      </c>
      <c r="L356" s="14">
        <v>1602</v>
      </c>
      <c r="M356" s="15">
        <v>16140</v>
      </c>
      <c r="N356" s="8">
        <v>1572.58064516129</v>
      </c>
      <c r="O356" s="14">
        <v>1000</v>
      </c>
      <c r="P356" s="6"/>
    </row>
    <row r="357" spans="1:16" x14ac:dyDescent="0.25">
      <c r="A357" s="2" t="s">
        <v>352</v>
      </c>
      <c r="B357" s="6">
        <f t="shared" si="36"/>
        <v>356</v>
      </c>
      <c r="C357" s="73">
        <v>7</v>
      </c>
      <c r="D357" s="45" t="s">
        <v>448</v>
      </c>
      <c r="E357" s="72" t="s">
        <v>445</v>
      </c>
      <c r="F357" s="2">
        <v>31</v>
      </c>
      <c r="G357" s="2">
        <f>VLOOKUP(C357,[16]ATTANDANCE!$C$4:$AR$89,42,0)</f>
        <v>3</v>
      </c>
      <c r="H357" s="14">
        <v>2129</v>
      </c>
      <c r="I357" s="14">
        <v>174.19354838709677</v>
      </c>
      <c r="J357" s="14">
        <v>0</v>
      </c>
      <c r="K357" s="14">
        <v>0</v>
      </c>
      <c r="L357" s="14">
        <v>174</v>
      </c>
      <c r="M357" s="15">
        <v>1955</v>
      </c>
      <c r="N357" s="8">
        <v>188.70967741935485</v>
      </c>
      <c r="O357" s="14">
        <v>1000</v>
      </c>
      <c r="P357" s="6"/>
    </row>
    <row r="358" spans="1:16" x14ac:dyDescent="0.25">
      <c r="A358" s="2" t="s">
        <v>352</v>
      </c>
      <c r="B358" s="6">
        <f t="shared" si="36"/>
        <v>357</v>
      </c>
      <c r="C358" s="70">
        <v>10631</v>
      </c>
      <c r="D358" s="72" t="s">
        <v>449</v>
      </c>
      <c r="E358" s="72" t="s">
        <v>133</v>
      </c>
      <c r="F358" s="2">
        <v>31</v>
      </c>
      <c r="G358" s="2">
        <f>VLOOKUP(C358,[16]ATTANDANCE!$C$4:$AR$89,42,0)</f>
        <v>24</v>
      </c>
      <c r="H358" s="14">
        <v>18581</v>
      </c>
      <c r="I358" s="14">
        <v>1393.5483870967741</v>
      </c>
      <c r="J358" s="14">
        <v>0</v>
      </c>
      <c r="K358" s="14">
        <v>150</v>
      </c>
      <c r="L358" s="14">
        <v>1544</v>
      </c>
      <c r="M358" s="15">
        <v>17037</v>
      </c>
      <c r="N358" s="8">
        <v>1509.6774193548388</v>
      </c>
      <c r="O358" s="14">
        <v>1000</v>
      </c>
      <c r="P358" s="6"/>
    </row>
    <row r="359" spans="1:16" x14ac:dyDescent="0.25">
      <c r="A359" s="2" t="s">
        <v>352</v>
      </c>
      <c r="B359" s="6">
        <f t="shared" si="36"/>
        <v>358</v>
      </c>
      <c r="C359" s="70">
        <v>10705</v>
      </c>
      <c r="D359" s="72" t="s">
        <v>450</v>
      </c>
      <c r="E359" s="72" t="s">
        <v>133</v>
      </c>
      <c r="F359" s="2">
        <v>31</v>
      </c>
      <c r="G359" s="2">
        <f>VLOOKUP(C359,[16]ATTANDANCE!$C$4:$AR$89,42,0)</f>
        <v>29</v>
      </c>
      <c r="H359" s="14">
        <v>22451</v>
      </c>
      <c r="I359" s="14">
        <v>1683.8709677419354</v>
      </c>
      <c r="J359" s="14">
        <v>0</v>
      </c>
      <c r="K359" s="14">
        <v>200</v>
      </c>
      <c r="L359" s="14">
        <v>1884</v>
      </c>
      <c r="M359" s="15">
        <v>20567</v>
      </c>
      <c r="N359" s="8">
        <v>1824.1935483870966</v>
      </c>
      <c r="O359" s="14">
        <v>1000</v>
      </c>
      <c r="P359" s="6"/>
    </row>
    <row r="360" spans="1:16" x14ac:dyDescent="0.25">
      <c r="A360" s="2" t="s">
        <v>352</v>
      </c>
      <c r="B360" s="6">
        <f t="shared" si="36"/>
        <v>359</v>
      </c>
      <c r="C360" s="70">
        <v>11243</v>
      </c>
      <c r="D360" s="72" t="s">
        <v>451</v>
      </c>
      <c r="E360" s="72" t="s">
        <v>133</v>
      </c>
      <c r="F360" s="2">
        <v>31</v>
      </c>
      <c r="G360" s="2">
        <f>VLOOKUP(C360,[16]ATTANDANCE!$C$4:$AR$89,42,0)</f>
        <v>31</v>
      </c>
      <c r="H360" s="14">
        <v>22000</v>
      </c>
      <c r="I360" s="14">
        <v>1800</v>
      </c>
      <c r="J360" s="14">
        <v>0</v>
      </c>
      <c r="K360" s="14">
        <v>200</v>
      </c>
      <c r="L360" s="14">
        <v>2000</v>
      </c>
      <c r="M360" s="15">
        <v>20000</v>
      </c>
      <c r="N360" s="8">
        <v>1950</v>
      </c>
      <c r="O360" s="14">
        <v>1000</v>
      </c>
      <c r="P360" s="6"/>
    </row>
    <row r="361" spans="1:16" x14ac:dyDescent="0.25">
      <c r="A361" s="2" t="s">
        <v>352</v>
      </c>
      <c r="B361" s="6">
        <f t="shared" si="36"/>
        <v>360</v>
      </c>
      <c r="C361" s="70">
        <v>11801</v>
      </c>
      <c r="D361" s="72" t="s">
        <v>452</v>
      </c>
      <c r="E361" s="72" t="s">
        <v>133</v>
      </c>
      <c r="F361" s="2">
        <v>31</v>
      </c>
      <c r="G361" s="2">
        <f>VLOOKUP(C361,[16]ATTANDANCE!$C$4:$AR$89,42,0)</f>
        <v>30</v>
      </c>
      <c r="H361" s="14">
        <v>21290</v>
      </c>
      <c r="I361" s="14">
        <v>1741.9354838709678</v>
      </c>
      <c r="J361" s="14">
        <v>0</v>
      </c>
      <c r="K361" s="14">
        <v>200</v>
      </c>
      <c r="L361" s="14">
        <v>1942</v>
      </c>
      <c r="M361" s="15">
        <v>19348</v>
      </c>
      <c r="N361" s="8">
        <v>1887.0967741935485</v>
      </c>
      <c r="O361" s="14">
        <v>1000</v>
      </c>
      <c r="P361" s="6"/>
    </row>
    <row r="362" spans="1:16" x14ac:dyDescent="0.25">
      <c r="A362" s="2" t="s">
        <v>352</v>
      </c>
      <c r="B362" s="6">
        <f t="shared" si="36"/>
        <v>361</v>
      </c>
      <c r="C362" s="70">
        <v>11867</v>
      </c>
      <c r="D362" s="72" t="s">
        <v>453</v>
      </c>
      <c r="E362" s="72" t="s">
        <v>133</v>
      </c>
      <c r="F362" s="2">
        <v>31</v>
      </c>
      <c r="G362" s="2">
        <f>VLOOKUP(C362,[16]ATTANDANCE!$C$4:$AR$89,42,0)</f>
        <v>27</v>
      </c>
      <c r="H362" s="14">
        <v>19161</v>
      </c>
      <c r="I362" s="14">
        <v>1567.741935483871</v>
      </c>
      <c r="J362" s="14">
        <v>0</v>
      </c>
      <c r="K362" s="14">
        <v>150</v>
      </c>
      <c r="L362" s="14">
        <v>1718</v>
      </c>
      <c r="M362" s="15">
        <v>17443</v>
      </c>
      <c r="N362" s="8">
        <v>1698.3870967741934</v>
      </c>
      <c r="O362" s="14">
        <v>1000</v>
      </c>
      <c r="P362" s="6"/>
    </row>
    <row r="363" spans="1:16" x14ac:dyDescent="0.25">
      <c r="A363" s="2" t="s">
        <v>352</v>
      </c>
      <c r="B363" s="6">
        <f t="shared" si="36"/>
        <v>362</v>
      </c>
      <c r="C363" s="70">
        <v>2</v>
      </c>
      <c r="D363" s="72" t="s">
        <v>454</v>
      </c>
      <c r="E363" s="72" t="s">
        <v>133</v>
      </c>
      <c r="F363" s="2">
        <v>31</v>
      </c>
      <c r="G363" s="2">
        <f>VLOOKUP(C363,[16]ATTANDANCE!$C$4:$AR$89,42,0)</f>
        <v>29</v>
      </c>
      <c r="H363" s="14">
        <v>20112</v>
      </c>
      <c r="I363" s="14">
        <v>1683.8709677419354</v>
      </c>
      <c r="J363" s="14">
        <v>0</v>
      </c>
      <c r="K363" s="14">
        <v>200</v>
      </c>
      <c r="L363" s="14">
        <v>1884</v>
      </c>
      <c r="M363" s="15">
        <v>18228</v>
      </c>
      <c r="N363" s="8">
        <v>1824.1935483870966</v>
      </c>
      <c r="O363" s="14">
        <v>0</v>
      </c>
      <c r="P363" s="6"/>
    </row>
    <row r="364" spans="1:16" x14ac:dyDescent="0.25">
      <c r="A364" s="2" t="s">
        <v>352</v>
      </c>
      <c r="B364" s="6">
        <f t="shared" si="36"/>
        <v>363</v>
      </c>
      <c r="C364" s="70">
        <v>12106</v>
      </c>
      <c r="D364" s="72" t="s">
        <v>455</v>
      </c>
      <c r="E364" s="72" t="s">
        <v>133</v>
      </c>
      <c r="F364" s="2">
        <v>31</v>
      </c>
      <c r="G364" s="2">
        <f>VLOOKUP(C364,[16]ATTANDANCE!$C$4:$AR$89,42,0)</f>
        <v>16</v>
      </c>
      <c r="H364" s="14">
        <v>10921</v>
      </c>
      <c r="I364" s="14">
        <v>929.0322580645161</v>
      </c>
      <c r="J364" s="14">
        <v>81.907499999999999</v>
      </c>
      <c r="K364" s="14">
        <v>0</v>
      </c>
      <c r="L364" s="14">
        <v>1011</v>
      </c>
      <c r="M364" s="15">
        <v>9910</v>
      </c>
      <c r="N364" s="8">
        <v>1006.4516129032257</v>
      </c>
      <c r="O364" s="14">
        <v>0</v>
      </c>
      <c r="P364" s="6"/>
    </row>
    <row r="365" spans="1:16" x14ac:dyDescent="0.25">
      <c r="A365" s="2" t="s">
        <v>352</v>
      </c>
      <c r="B365" s="6">
        <f t="shared" si="36"/>
        <v>364</v>
      </c>
      <c r="C365" s="73">
        <v>11493</v>
      </c>
      <c r="D365" s="45" t="s">
        <v>456</v>
      </c>
      <c r="E365" s="72" t="s">
        <v>133</v>
      </c>
      <c r="F365" s="2">
        <v>31</v>
      </c>
      <c r="G365" s="2">
        <f>VLOOKUP(C365,[16]ATTANDANCE!$C$4:$AR$89,42,0)</f>
        <v>7</v>
      </c>
      <c r="H365" s="14">
        <v>5418</v>
      </c>
      <c r="I365" s="14">
        <v>406.45161290322579</v>
      </c>
      <c r="J365" s="14">
        <v>0</v>
      </c>
      <c r="K365" s="14">
        <v>0</v>
      </c>
      <c r="L365" s="14">
        <v>406</v>
      </c>
      <c r="M365" s="15">
        <v>5012</v>
      </c>
      <c r="N365" s="8">
        <v>440.32258064516128</v>
      </c>
      <c r="O365" s="14">
        <v>1000</v>
      </c>
      <c r="P365" s="6"/>
    </row>
    <row r="366" spans="1:16" x14ac:dyDescent="0.25">
      <c r="A366" s="2" t="s">
        <v>352</v>
      </c>
      <c r="B366" s="6">
        <f t="shared" si="36"/>
        <v>365</v>
      </c>
      <c r="C366" s="73">
        <v>11295</v>
      </c>
      <c r="D366" s="45" t="s">
        <v>457</v>
      </c>
      <c r="E366" s="72" t="s">
        <v>338</v>
      </c>
      <c r="F366" s="2">
        <v>31</v>
      </c>
      <c r="G366" s="2">
        <f>VLOOKUP(C366,[16]ATTANDANCE!$C$4:$AR$89,42,0)</f>
        <v>30</v>
      </c>
      <c r="H366" s="14">
        <v>23410</v>
      </c>
      <c r="I366" s="14">
        <v>1741.9354838709678</v>
      </c>
      <c r="J366" s="14">
        <v>0</v>
      </c>
      <c r="K366" s="14">
        <v>200</v>
      </c>
      <c r="L366" s="14">
        <v>1942</v>
      </c>
      <c r="M366" s="15">
        <v>21468</v>
      </c>
      <c r="N366" s="8">
        <v>1887.0967741935485</v>
      </c>
      <c r="O366" s="14">
        <v>1000</v>
      </c>
      <c r="P366" s="6"/>
    </row>
    <row r="367" spans="1:16" x14ac:dyDescent="0.25">
      <c r="A367" s="2" t="s">
        <v>352</v>
      </c>
      <c r="B367" s="6">
        <f t="shared" si="36"/>
        <v>366</v>
      </c>
      <c r="C367" s="70">
        <v>11919</v>
      </c>
      <c r="D367" s="72" t="s">
        <v>459</v>
      </c>
      <c r="E367" s="72" t="s">
        <v>348</v>
      </c>
      <c r="F367" s="2">
        <v>31</v>
      </c>
      <c r="G367" s="2">
        <f>VLOOKUP(C367,[16]ATTANDANCE!$C$4:$AR$89,42,0)</f>
        <v>31</v>
      </c>
      <c r="H367" s="14">
        <v>24190</v>
      </c>
      <c r="I367" s="14">
        <v>1800</v>
      </c>
      <c r="J367" s="14">
        <v>0</v>
      </c>
      <c r="K367" s="14">
        <v>200</v>
      </c>
      <c r="L367" s="14">
        <v>2000</v>
      </c>
      <c r="M367" s="15">
        <v>22190</v>
      </c>
      <c r="N367" s="8">
        <v>1950</v>
      </c>
      <c r="O367" s="14">
        <v>1000</v>
      </c>
      <c r="P367" s="6"/>
    </row>
    <row r="368" spans="1:16" x14ac:dyDescent="0.25">
      <c r="A368" s="2" t="s">
        <v>352</v>
      </c>
      <c r="B368" s="6">
        <f t="shared" si="36"/>
        <v>367</v>
      </c>
      <c r="C368" s="70">
        <v>11269</v>
      </c>
      <c r="D368" s="72" t="s">
        <v>460</v>
      </c>
      <c r="E368" s="2" t="s">
        <v>345</v>
      </c>
      <c r="F368" s="2">
        <v>31</v>
      </c>
      <c r="G368" s="2">
        <f>VLOOKUP(C368,[16]ATTANDANCE!$C$4:$AR$89,42,0)</f>
        <v>29</v>
      </c>
      <c r="H368" s="14">
        <v>22461</v>
      </c>
      <c r="I368" s="14">
        <v>1683.8709677419354</v>
      </c>
      <c r="J368" s="14">
        <v>0</v>
      </c>
      <c r="K368" s="14">
        <v>200</v>
      </c>
      <c r="L368" s="14">
        <v>1884</v>
      </c>
      <c r="M368" s="15">
        <v>20577</v>
      </c>
      <c r="N368" s="8">
        <v>1824.1935483870966</v>
      </c>
      <c r="O368" s="14">
        <v>1000</v>
      </c>
      <c r="P368" s="6"/>
    </row>
    <row r="369" spans="1:16" x14ac:dyDescent="0.25">
      <c r="A369" s="2" t="s">
        <v>352</v>
      </c>
      <c r="B369" s="6">
        <f t="shared" si="36"/>
        <v>368</v>
      </c>
      <c r="C369" s="73">
        <v>12005</v>
      </c>
      <c r="D369" s="45" t="s">
        <v>461</v>
      </c>
      <c r="E369" s="6" t="s">
        <v>341</v>
      </c>
      <c r="F369" s="2">
        <v>31</v>
      </c>
      <c r="G369" s="2">
        <f>VLOOKUP(C369,[16]ATTANDANCE!$C$4:$AR$89,42,0)</f>
        <v>29</v>
      </c>
      <c r="H369" s="8">
        <v>24190</v>
      </c>
      <c r="I369" s="8">
        <v>1800</v>
      </c>
      <c r="J369" s="8">
        <v>0</v>
      </c>
      <c r="K369" s="8">
        <v>200</v>
      </c>
      <c r="L369" s="8">
        <v>2000</v>
      </c>
      <c r="M369" s="9">
        <v>22190</v>
      </c>
      <c r="N369" s="8">
        <v>1950</v>
      </c>
      <c r="O369" s="8">
        <v>1000</v>
      </c>
      <c r="P369" s="6"/>
    </row>
    <row r="370" spans="1:16" x14ac:dyDescent="0.25">
      <c r="A370" s="2" t="s">
        <v>353</v>
      </c>
      <c r="B370" s="6">
        <f t="shared" si="36"/>
        <v>369</v>
      </c>
      <c r="C370" s="16">
        <v>10114</v>
      </c>
      <c r="D370" s="2" t="s">
        <v>462</v>
      </c>
      <c r="E370" s="3" t="s">
        <v>360</v>
      </c>
      <c r="F370" s="14">
        <v>31</v>
      </c>
      <c r="G370" s="14">
        <f>VLOOKUP(C370,[17]ATTANDANCE!$C$4:$AR$65,42,0)</f>
        <v>29</v>
      </c>
      <c r="H370" s="14">
        <v>27129.032258064515</v>
      </c>
      <c r="I370" s="14">
        <v>1683.8709677419354</v>
      </c>
      <c r="J370" s="14">
        <v>0</v>
      </c>
      <c r="K370" s="14">
        <v>200</v>
      </c>
      <c r="L370" s="14">
        <v>1884</v>
      </c>
      <c r="M370" s="15">
        <v>25245</v>
      </c>
      <c r="N370" s="8">
        <v>1824.1935483870966</v>
      </c>
      <c r="O370" s="14">
        <v>1000</v>
      </c>
      <c r="P370" s="6"/>
    </row>
    <row r="371" spans="1:16" x14ac:dyDescent="0.25">
      <c r="A371" s="2" t="s">
        <v>353</v>
      </c>
      <c r="B371" s="6">
        <f t="shared" si="36"/>
        <v>370</v>
      </c>
      <c r="C371" s="16">
        <v>11373</v>
      </c>
      <c r="D371" s="2" t="s">
        <v>463</v>
      </c>
      <c r="E371" s="3" t="s">
        <v>360</v>
      </c>
      <c r="F371" s="14">
        <v>31</v>
      </c>
      <c r="G371" s="14">
        <f>VLOOKUP(C371,[17]ATTANDANCE!$C$4:$AR$65,42,0)</f>
        <v>30</v>
      </c>
      <c r="H371" s="14">
        <v>27096.935483870966</v>
      </c>
      <c r="I371" s="14">
        <v>1741.9354838709678</v>
      </c>
      <c r="J371" s="14">
        <v>0</v>
      </c>
      <c r="K371" s="14">
        <v>200</v>
      </c>
      <c r="L371" s="14">
        <v>1942</v>
      </c>
      <c r="M371" s="15">
        <v>25155</v>
      </c>
      <c r="N371" s="8">
        <v>1887.0967741935485</v>
      </c>
      <c r="O371" s="14">
        <v>1000</v>
      </c>
      <c r="P371" s="6"/>
    </row>
    <row r="372" spans="1:16" x14ac:dyDescent="0.25">
      <c r="A372" s="2" t="s">
        <v>353</v>
      </c>
      <c r="B372" s="6">
        <f t="shared" si="36"/>
        <v>371</v>
      </c>
      <c r="C372" s="16">
        <v>11187</v>
      </c>
      <c r="D372" s="2" t="s">
        <v>464</v>
      </c>
      <c r="E372" s="3" t="s">
        <v>360</v>
      </c>
      <c r="F372" s="14">
        <v>31</v>
      </c>
      <c r="G372" s="14">
        <f>VLOOKUP(C372,[17]ATTANDANCE!$C$4:$AR$65,42,0)</f>
        <v>31</v>
      </c>
      <c r="H372" s="14">
        <v>26999.615000000002</v>
      </c>
      <c r="I372" s="14">
        <v>1800</v>
      </c>
      <c r="J372" s="14">
        <v>0</v>
      </c>
      <c r="K372" s="14">
        <v>200</v>
      </c>
      <c r="L372" s="14">
        <v>2000</v>
      </c>
      <c r="M372" s="15">
        <v>25000</v>
      </c>
      <c r="N372" s="8">
        <v>1950</v>
      </c>
      <c r="O372" s="14">
        <v>1000</v>
      </c>
      <c r="P372" s="6"/>
    </row>
    <row r="373" spans="1:16" x14ac:dyDescent="0.25">
      <c r="A373" s="2" t="s">
        <v>353</v>
      </c>
      <c r="B373" s="6">
        <f t="shared" si="36"/>
        <v>372</v>
      </c>
      <c r="C373" s="16">
        <v>11882</v>
      </c>
      <c r="D373" s="2" t="s">
        <v>465</v>
      </c>
      <c r="E373" s="3" t="s">
        <v>360</v>
      </c>
      <c r="F373" s="14">
        <v>31</v>
      </c>
      <c r="G373" s="14">
        <f>VLOOKUP(C373,[17]ATTANDANCE!$C$4:$AR$65,42,0)</f>
        <v>26</v>
      </c>
      <c r="H373" s="14">
        <v>23063.322580645163</v>
      </c>
      <c r="I373" s="14">
        <v>1509.6774193548388</v>
      </c>
      <c r="J373" s="14">
        <v>0</v>
      </c>
      <c r="K373" s="14">
        <v>200</v>
      </c>
      <c r="L373" s="14">
        <v>1710</v>
      </c>
      <c r="M373" s="15">
        <v>21353</v>
      </c>
      <c r="N373" s="8">
        <v>1635.4838709677422</v>
      </c>
      <c r="O373" s="14">
        <v>1000</v>
      </c>
      <c r="P373" s="6"/>
    </row>
    <row r="374" spans="1:16" x14ac:dyDescent="0.25">
      <c r="A374" s="2" t="s">
        <v>353</v>
      </c>
      <c r="B374" s="6">
        <f t="shared" si="36"/>
        <v>373</v>
      </c>
      <c r="C374" s="16">
        <v>10717</v>
      </c>
      <c r="D374" s="2" t="s">
        <v>466</v>
      </c>
      <c r="E374" s="3" t="s">
        <v>383</v>
      </c>
      <c r="F374" s="14">
        <v>31</v>
      </c>
      <c r="G374" s="14">
        <f>VLOOKUP(C374,[17]ATTANDANCE!$C$4:$AR$65,42,0)</f>
        <v>23</v>
      </c>
      <c r="H374" s="14">
        <v>17433.548387096773</v>
      </c>
      <c r="I374" s="14">
        <v>1335.483870967742</v>
      </c>
      <c r="J374" s="14">
        <v>0</v>
      </c>
      <c r="K374" s="14">
        <v>150</v>
      </c>
      <c r="L374" s="14">
        <v>1485</v>
      </c>
      <c r="M374" s="15">
        <v>15949</v>
      </c>
      <c r="N374" s="8">
        <v>1446.7741935483871</v>
      </c>
      <c r="O374" s="14">
        <v>1000</v>
      </c>
      <c r="P374" s="6"/>
    </row>
    <row r="375" spans="1:16" x14ac:dyDescent="0.25">
      <c r="A375" s="2" t="s">
        <v>353</v>
      </c>
      <c r="B375" s="6">
        <f t="shared" si="36"/>
        <v>374</v>
      </c>
      <c r="C375" s="16">
        <v>11480</v>
      </c>
      <c r="D375" s="2" t="s">
        <v>467</v>
      </c>
      <c r="E375" s="3" t="s">
        <v>383</v>
      </c>
      <c r="F375" s="14">
        <v>31</v>
      </c>
      <c r="G375" s="14">
        <f>VLOOKUP(C375,[17]ATTANDANCE!$C$4:$AR$65,42,0)</f>
        <v>30</v>
      </c>
      <c r="H375" s="14">
        <v>21775.225806451614</v>
      </c>
      <c r="I375" s="14">
        <v>1741.9354838709678</v>
      </c>
      <c r="J375" s="14">
        <v>0</v>
      </c>
      <c r="K375" s="14">
        <v>200</v>
      </c>
      <c r="L375" s="14">
        <v>1942</v>
      </c>
      <c r="M375" s="15">
        <v>19833</v>
      </c>
      <c r="N375" s="8">
        <v>1887.0967741935485</v>
      </c>
      <c r="O375" s="14">
        <v>1000</v>
      </c>
      <c r="P375" s="6"/>
    </row>
    <row r="376" spans="1:16" x14ac:dyDescent="0.25">
      <c r="A376" s="2" t="s">
        <v>353</v>
      </c>
      <c r="B376" s="6">
        <f t="shared" si="36"/>
        <v>375</v>
      </c>
      <c r="C376" s="16">
        <v>11350</v>
      </c>
      <c r="D376" s="2" t="s">
        <v>468</v>
      </c>
      <c r="E376" s="3" t="s">
        <v>383</v>
      </c>
      <c r="F376" s="14">
        <v>31</v>
      </c>
      <c r="G376" s="14">
        <f>VLOOKUP(C376,[17]ATTANDANCE!$C$4:$AR$65,42,0)</f>
        <v>27</v>
      </c>
      <c r="H376" s="14">
        <v>21337.645161290322</v>
      </c>
      <c r="I376" s="14">
        <v>1567.741935483871</v>
      </c>
      <c r="J376" s="14">
        <v>0</v>
      </c>
      <c r="K376" s="14">
        <v>200</v>
      </c>
      <c r="L376" s="14">
        <v>1768</v>
      </c>
      <c r="M376" s="15">
        <v>19570</v>
      </c>
      <c r="N376" s="8">
        <v>1698.3870967741934</v>
      </c>
      <c r="O376" s="14">
        <v>1000</v>
      </c>
      <c r="P376" s="6"/>
    </row>
    <row r="377" spans="1:16" x14ac:dyDescent="0.25">
      <c r="A377" s="2" t="s">
        <v>353</v>
      </c>
      <c r="B377" s="6">
        <f t="shared" si="36"/>
        <v>376</v>
      </c>
      <c r="C377" s="16">
        <v>10010</v>
      </c>
      <c r="D377" s="2" t="s">
        <v>469</v>
      </c>
      <c r="E377" s="3" t="s">
        <v>383</v>
      </c>
      <c r="F377" s="14">
        <v>31</v>
      </c>
      <c r="G377" s="14">
        <f>VLOOKUP(C377,[17]ATTANDANCE!$C$4:$AR$65,42,0)</f>
        <v>31</v>
      </c>
      <c r="H377" s="14">
        <v>24500</v>
      </c>
      <c r="I377" s="14">
        <v>1800</v>
      </c>
      <c r="J377" s="14">
        <v>0</v>
      </c>
      <c r="K377" s="14">
        <v>200</v>
      </c>
      <c r="L377" s="14">
        <v>2000</v>
      </c>
      <c r="M377" s="15">
        <v>22500</v>
      </c>
      <c r="N377" s="8">
        <v>1950</v>
      </c>
      <c r="O377" s="14">
        <v>1000</v>
      </c>
      <c r="P377" s="6"/>
    </row>
    <row r="378" spans="1:16" x14ac:dyDescent="0.25">
      <c r="A378" s="2" t="s">
        <v>353</v>
      </c>
      <c r="B378" s="6">
        <f t="shared" si="36"/>
        <v>377</v>
      </c>
      <c r="C378" s="16">
        <v>10040</v>
      </c>
      <c r="D378" s="2" t="s">
        <v>470</v>
      </c>
      <c r="E378" s="3" t="s">
        <v>336</v>
      </c>
      <c r="F378" s="14">
        <v>31</v>
      </c>
      <c r="G378" s="14">
        <f>VLOOKUP(C378,[17]ATTANDANCE!$C$4:$AR$65,42,0)</f>
        <v>31</v>
      </c>
      <c r="H378" s="14">
        <v>25000</v>
      </c>
      <c r="I378" s="14">
        <v>1800</v>
      </c>
      <c r="J378" s="14">
        <v>0</v>
      </c>
      <c r="K378" s="14">
        <v>200</v>
      </c>
      <c r="L378" s="14">
        <v>2000</v>
      </c>
      <c r="M378" s="15">
        <v>23000</v>
      </c>
      <c r="N378" s="8">
        <v>1950</v>
      </c>
      <c r="O378" s="14">
        <v>1000</v>
      </c>
      <c r="P378" s="6"/>
    </row>
    <row r="379" spans="1:16" x14ac:dyDescent="0.25">
      <c r="A379" s="2" t="s">
        <v>353</v>
      </c>
      <c r="B379" s="6">
        <f t="shared" si="36"/>
        <v>378</v>
      </c>
      <c r="C379" s="16">
        <v>12028</v>
      </c>
      <c r="D379" s="2" t="s">
        <v>471</v>
      </c>
      <c r="E379" s="3" t="s">
        <v>336</v>
      </c>
      <c r="F379" s="14">
        <v>31</v>
      </c>
      <c r="G379" s="14">
        <f>VLOOKUP(C379,[17]ATTANDANCE!$C$4:$AR$65,42,0)</f>
        <v>30</v>
      </c>
      <c r="H379" s="14">
        <v>21290</v>
      </c>
      <c r="I379" s="14">
        <v>1741.9354838709678</v>
      </c>
      <c r="J379" s="14">
        <v>0</v>
      </c>
      <c r="K379" s="14">
        <v>200</v>
      </c>
      <c r="L379" s="14">
        <v>1942</v>
      </c>
      <c r="M379" s="15">
        <v>19348</v>
      </c>
      <c r="N379" s="8">
        <v>1887.0967741935485</v>
      </c>
      <c r="O379" s="14">
        <v>1000</v>
      </c>
      <c r="P379" s="6"/>
    </row>
    <row r="380" spans="1:16" x14ac:dyDescent="0.25">
      <c r="A380" s="2" t="s">
        <v>353</v>
      </c>
      <c r="B380" s="6">
        <f t="shared" si="36"/>
        <v>379</v>
      </c>
      <c r="C380" s="16">
        <v>11920</v>
      </c>
      <c r="D380" s="2" t="s">
        <v>472</v>
      </c>
      <c r="E380" s="3" t="s">
        <v>336</v>
      </c>
      <c r="F380" s="14">
        <v>31</v>
      </c>
      <c r="G380" s="14">
        <f>VLOOKUP(C380,[17]ATTANDANCE!$C$4:$AR$65,42,0)</f>
        <v>28</v>
      </c>
      <c r="H380" s="14">
        <v>20774.129032258064</v>
      </c>
      <c r="I380" s="14">
        <v>1625.8064516129032</v>
      </c>
      <c r="J380" s="14">
        <v>0</v>
      </c>
      <c r="K380" s="14">
        <v>200</v>
      </c>
      <c r="L380" s="14">
        <v>1826</v>
      </c>
      <c r="M380" s="15">
        <v>18948</v>
      </c>
      <c r="N380" s="8">
        <v>1761.2903225806451</v>
      </c>
      <c r="O380" s="14">
        <v>1000</v>
      </c>
      <c r="P380" s="6"/>
    </row>
    <row r="381" spans="1:16" x14ac:dyDescent="0.25">
      <c r="A381" s="2" t="s">
        <v>353</v>
      </c>
      <c r="B381" s="6">
        <f t="shared" si="36"/>
        <v>380</v>
      </c>
      <c r="C381" s="16">
        <v>12140</v>
      </c>
      <c r="D381" s="2" t="s">
        <v>473</v>
      </c>
      <c r="E381" s="3" t="s">
        <v>336</v>
      </c>
      <c r="F381" s="14">
        <v>31</v>
      </c>
      <c r="G381" s="14">
        <f>VLOOKUP(C381,[17]ATTANDANCE!$C$4:$AR$65,42,0)</f>
        <v>31</v>
      </c>
      <c r="H381" s="14">
        <v>22000</v>
      </c>
      <c r="I381" s="14">
        <v>1800</v>
      </c>
      <c r="J381" s="14">
        <v>0</v>
      </c>
      <c r="K381" s="14">
        <v>200</v>
      </c>
      <c r="L381" s="14">
        <v>2000</v>
      </c>
      <c r="M381" s="15">
        <v>20000</v>
      </c>
      <c r="N381" s="8">
        <v>1950</v>
      </c>
      <c r="O381" s="14">
        <v>1000</v>
      </c>
      <c r="P381" s="6"/>
    </row>
    <row r="382" spans="1:16" x14ac:dyDescent="0.25">
      <c r="A382" s="2" t="s">
        <v>353</v>
      </c>
      <c r="B382" s="6">
        <f t="shared" si="36"/>
        <v>381</v>
      </c>
      <c r="C382" s="16">
        <v>10048</v>
      </c>
      <c r="D382" s="2" t="s">
        <v>474</v>
      </c>
      <c r="E382" s="3" t="s">
        <v>336</v>
      </c>
      <c r="F382" s="14">
        <v>31</v>
      </c>
      <c r="G382" s="14">
        <f>VLOOKUP(C382,[17]ATTANDANCE!$C$4:$AR$65,42,0)</f>
        <v>29</v>
      </c>
      <c r="H382" s="14">
        <v>23854.258064516129</v>
      </c>
      <c r="I382" s="14">
        <v>1683.8709677419354</v>
      </c>
      <c r="J382" s="14">
        <v>0</v>
      </c>
      <c r="K382" s="14">
        <v>200</v>
      </c>
      <c r="L382" s="14">
        <v>1884</v>
      </c>
      <c r="M382" s="15">
        <v>21970</v>
      </c>
      <c r="N382" s="8">
        <v>1824.1935483870966</v>
      </c>
      <c r="O382" s="14">
        <v>1000</v>
      </c>
      <c r="P382" s="6"/>
    </row>
    <row r="383" spans="1:16" x14ac:dyDescent="0.25">
      <c r="A383" s="2" t="s">
        <v>353</v>
      </c>
      <c r="B383" s="6">
        <f t="shared" si="36"/>
        <v>382</v>
      </c>
      <c r="C383" s="16">
        <v>11812</v>
      </c>
      <c r="D383" s="2" t="s">
        <v>475</v>
      </c>
      <c r="E383" s="3" t="s">
        <v>336</v>
      </c>
      <c r="F383" s="14">
        <v>31</v>
      </c>
      <c r="G383" s="14">
        <f>VLOOKUP(C383,[17]ATTANDANCE!$C$4:$AR$65,42,0)</f>
        <v>31</v>
      </c>
      <c r="H383" s="14">
        <v>23500</v>
      </c>
      <c r="I383" s="14">
        <v>1800</v>
      </c>
      <c r="J383" s="14">
        <v>0</v>
      </c>
      <c r="K383" s="14">
        <v>200</v>
      </c>
      <c r="L383" s="14">
        <v>2000</v>
      </c>
      <c r="M383" s="15">
        <v>21500</v>
      </c>
      <c r="N383" s="8">
        <v>1950</v>
      </c>
      <c r="O383" s="14">
        <v>1000</v>
      </c>
      <c r="P383" s="6"/>
    </row>
    <row r="384" spans="1:16" x14ac:dyDescent="0.25">
      <c r="A384" s="2" t="s">
        <v>353</v>
      </c>
      <c r="B384" s="6">
        <f t="shared" si="36"/>
        <v>383</v>
      </c>
      <c r="C384" s="16">
        <v>11128</v>
      </c>
      <c r="D384" s="2" t="s">
        <v>476</v>
      </c>
      <c r="E384" s="3" t="s">
        <v>336</v>
      </c>
      <c r="F384" s="14">
        <v>31</v>
      </c>
      <c r="G384" s="14">
        <f>VLOOKUP(C384,[17]ATTANDANCE!$C$4:$AR$65,42,0)</f>
        <v>25</v>
      </c>
      <c r="H384" s="14">
        <v>18951.161290322583</v>
      </c>
      <c r="I384" s="14">
        <v>1451.6129032258063</v>
      </c>
      <c r="J384" s="14">
        <v>0</v>
      </c>
      <c r="K384" s="14">
        <v>150</v>
      </c>
      <c r="L384" s="14">
        <v>1602</v>
      </c>
      <c r="M384" s="15">
        <v>17349</v>
      </c>
      <c r="N384" s="8">
        <v>1572.58064516129</v>
      </c>
      <c r="O384" s="14">
        <v>1000</v>
      </c>
      <c r="P384" s="6"/>
    </row>
    <row r="385" spans="1:16" x14ac:dyDescent="0.25">
      <c r="A385" s="2" t="s">
        <v>353</v>
      </c>
      <c r="B385" s="6">
        <f t="shared" si="36"/>
        <v>384</v>
      </c>
      <c r="C385" s="16">
        <v>11807</v>
      </c>
      <c r="D385" s="2" t="s">
        <v>477</v>
      </c>
      <c r="E385" s="3" t="s">
        <v>373</v>
      </c>
      <c r="F385" s="14">
        <v>31</v>
      </c>
      <c r="G385" s="14">
        <f>VLOOKUP(C385,[17]ATTANDANCE!$C$4:$AR$65,42,0)</f>
        <v>28</v>
      </c>
      <c r="H385" s="14">
        <v>21678.032258064515</v>
      </c>
      <c r="I385" s="14">
        <v>1625.8064516129032</v>
      </c>
      <c r="J385" s="14">
        <v>0</v>
      </c>
      <c r="K385" s="14">
        <v>200</v>
      </c>
      <c r="L385" s="14">
        <v>1826</v>
      </c>
      <c r="M385" s="15">
        <v>19852</v>
      </c>
      <c r="N385" s="8">
        <v>1761.2903225806451</v>
      </c>
      <c r="O385" s="14">
        <v>1000</v>
      </c>
      <c r="P385" s="6"/>
    </row>
    <row r="386" spans="1:16" x14ac:dyDescent="0.25">
      <c r="A386" s="2" t="s">
        <v>353</v>
      </c>
      <c r="B386" s="6">
        <f t="shared" si="36"/>
        <v>385</v>
      </c>
      <c r="C386" s="16">
        <v>12090</v>
      </c>
      <c r="D386" s="2" t="s">
        <v>478</v>
      </c>
      <c r="E386" s="3" t="s">
        <v>373</v>
      </c>
      <c r="F386" s="14">
        <v>31</v>
      </c>
      <c r="G386" s="14">
        <f>VLOOKUP(C386,[17]ATTANDANCE!$C$4:$AR$65,42,0)</f>
        <v>9</v>
      </c>
      <c r="H386" s="14">
        <v>6387</v>
      </c>
      <c r="I386" s="14">
        <v>522.58064516129036</v>
      </c>
      <c r="J386" s="14">
        <v>0</v>
      </c>
      <c r="K386" s="14">
        <v>0</v>
      </c>
      <c r="L386" s="14">
        <v>523</v>
      </c>
      <c r="M386" s="15">
        <v>5864</v>
      </c>
      <c r="N386" s="8">
        <v>566.12903225806451</v>
      </c>
      <c r="O386" s="14">
        <v>1000</v>
      </c>
      <c r="P386" s="6"/>
    </row>
    <row r="387" spans="1:16" x14ac:dyDescent="0.25">
      <c r="A387" s="2" t="s">
        <v>353</v>
      </c>
      <c r="B387" s="6">
        <f t="shared" ref="B387:B450" si="37">B386+1</f>
        <v>386</v>
      </c>
      <c r="C387" s="16">
        <v>4</v>
      </c>
      <c r="D387" s="2" t="s">
        <v>479</v>
      </c>
      <c r="E387" s="3" t="s">
        <v>373</v>
      </c>
      <c r="F387" s="14">
        <v>31</v>
      </c>
      <c r="G387" s="14">
        <f>VLOOKUP(C387,[17]ATTANDANCE!$C$4:$AR$65,42,0)</f>
        <v>31</v>
      </c>
      <c r="H387" s="14">
        <v>22000</v>
      </c>
      <c r="I387" s="14">
        <v>1800</v>
      </c>
      <c r="J387" s="14">
        <v>0</v>
      </c>
      <c r="K387" s="14">
        <v>200</v>
      </c>
      <c r="L387" s="14">
        <v>2000</v>
      </c>
      <c r="M387" s="15">
        <v>20000</v>
      </c>
      <c r="N387" s="8">
        <v>1950</v>
      </c>
      <c r="O387" s="14">
        <v>1000</v>
      </c>
      <c r="P387" s="6"/>
    </row>
    <row r="388" spans="1:16" x14ac:dyDescent="0.25">
      <c r="A388" s="2" t="s">
        <v>353</v>
      </c>
      <c r="B388" s="6">
        <f t="shared" si="37"/>
        <v>387</v>
      </c>
      <c r="C388" s="16">
        <v>12121</v>
      </c>
      <c r="D388" s="2" t="s">
        <v>480</v>
      </c>
      <c r="E388" s="3" t="s">
        <v>373</v>
      </c>
      <c r="F388" s="14">
        <v>31</v>
      </c>
      <c r="G388" s="14">
        <f>VLOOKUP(C388,[17]ATTANDANCE!$C$4:$AR$65,42,0)</f>
        <v>3</v>
      </c>
      <c r="H388" s="14">
        <v>2129</v>
      </c>
      <c r="I388" s="14">
        <v>174.19354838709677</v>
      </c>
      <c r="J388" s="14">
        <v>0</v>
      </c>
      <c r="K388" s="14">
        <v>0</v>
      </c>
      <c r="L388" s="14">
        <v>174</v>
      </c>
      <c r="M388" s="15">
        <v>1955</v>
      </c>
      <c r="N388" s="8">
        <v>188.70967741935485</v>
      </c>
      <c r="O388" s="14">
        <v>1000</v>
      </c>
      <c r="P388" s="6"/>
    </row>
    <row r="389" spans="1:16" x14ac:dyDescent="0.25">
      <c r="A389" s="2" t="s">
        <v>353</v>
      </c>
      <c r="B389" s="6">
        <f t="shared" si="37"/>
        <v>388</v>
      </c>
      <c r="C389" s="16">
        <v>12128</v>
      </c>
      <c r="D389" s="2" t="s">
        <v>481</v>
      </c>
      <c r="E389" s="3" t="s">
        <v>373</v>
      </c>
      <c r="F389" s="14">
        <v>31</v>
      </c>
      <c r="G389" s="14">
        <f>VLOOKUP(C389,[17]ATTANDANCE!$C$4:$AR$65,42,0)</f>
        <v>4</v>
      </c>
      <c r="H389" s="14">
        <v>2968.1612903225805</v>
      </c>
      <c r="I389" s="14">
        <v>232.25806451612902</v>
      </c>
      <c r="J389" s="14">
        <v>0</v>
      </c>
      <c r="K389" s="14">
        <v>0</v>
      </c>
      <c r="L389" s="14">
        <v>232</v>
      </c>
      <c r="M389" s="15">
        <v>2736</v>
      </c>
      <c r="N389" s="8">
        <v>251.61290322580643</v>
      </c>
      <c r="O389" s="14">
        <v>1000</v>
      </c>
      <c r="P389" s="6"/>
    </row>
    <row r="390" spans="1:16" x14ac:dyDescent="0.25">
      <c r="A390" s="2" t="s">
        <v>353</v>
      </c>
      <c r="B390" s="6">
        <f t="shared" si="37"/>
        <v>389</v>
      </c>
      <c r="C390" s="16">
        <v>10526</v>
      </c>
      <c r="D390" s="2" t="s">
        <v>482</v>
      </c>
      <c r="E390" s="3" t="s">
        <v>373</v>
      </c>
      <c r="F390" s="14">
        <v>31</v>
      </c>
      <c r="G390" s="14">
        <f>VLOOKUP(C390,[17]ATTANDANCE!$C$4:$AR$65,42,0)</f>
        <v>27</v>
      </c>
      <c r="H390" s="14">
        <v>20031.83870967742</v>
      </c>
      <c r="I390" s="14">
        <v>1567.741935483871</v>
      </c>
      <c r="J390" s="14">
        <v>0</v>
      </c>
      <c r="K390" s="14">
        <v>200</v>
      </c>
      <c r="L390" s="14">
        <v>1768</v>
      </c>
      <c r="M390" s="15">
        <v>18264</v>
      </c>
      <c r="N390" s="8">
        <v>1698.3870967741934</v>
      </c>
      <c r="O390" s="14">
        <v>1000</v>
      </c>
      <c r="P390" s="6"/>
    </row>
    <row r="391" spans="1:16" x14ac:dyDescent="0.25">
      <c r="A391" s="2" t="s">
        <v>353</v>
      </c>
      <c r="B391" s="6">
        <f t="shared" si="37"/>
        <v>390</v>
      </c>
      <c r="C391" s="16">
        <v>10313</v>
      </c>
      <c r="D391" s="2" t="s">
        <v>483</v>
      </c>
      <c r="E391" s="3" t="s">
        <v>133</v>
      </c>
      <c r="F391" s="14">
        <v>31</v>
      </c>
      <c r="G391" s="14">
        <f>VLOOKUP(C391,[17]ATTANDANCE!$C$4:$AR$65,42,0)</f>
        <v>31</v>
      </c>
      <c r="H391" s="14">
        <v>25500</v>
      </c>
      <c r="I391" s="14">
        <v>1800</v>
      </c>
      <c r="J391" s="14">
        <v>0</v>
      </c>
      <c r="K391" s="14">
        <v>200</v>
      </c>
      <c r="L391" s="14">
        <v>2000</v>
      </c>
      <c r="M391" s="15">
        <v>23500</v>
      </c>
      <c r="N391" s="8">
        <v>1950</v>
      </c>
      <c r="O391" s="14">
        <v>1000</v>
      </c>
      <c r="P391" s="6"/>
    </row>
    <row r="392" spans="1:16" x14ac:dyDescent="0.25">
      <c r="A392" s="2" t="s">
        <v>353</v>
      </c>
      <c r="B392" s="6">
        <f t="shared" si="37"/>
        <v>391</v>
      </c>
      <c r="C392" s="16">
        <v>10939</v>
      </c>
      <c r="D392" s="2" t="s">
        <v>484</v>
      </c>
      <c r="E392" s="3" t="s">
        <v>133</v>
      </c>
      <c r="F392" s="14">
        <v>31</v>
      </c>
      <c r="G392" s="14">
        <f>VLOOKUP(C392,[17]ATTANDANCE!$C$4:$AR$65,42,0)</f>
        <v>24</v>
      </c>
      <c r="H392" s="14">
        <v>18580.741935483871</v>
      </c>
      <c r="I392" s="14">
        <v>1393.5483870967741</v>
      </c>
      <c r="J392" s="14">
        <v>0</v>
      </c>
      <c r="K392" s="14">
        <v>150</v>
      </c>
      <c r="L392" s="14">
        <v>1544</v>
      </c>
      <c r="M392" s="15">
        <v>17037</v>
      </c>
      <c r="N392" s="8">
        <v>1509.6774193548388</v>
      </c>
      <c r="O392" s="14">
        <v>1000</v>
      </c>
      <c r="P392" s="6"/>
    </row>
    <row r="393" spans="1:16" x14ac:dyDescent="0.25">
      <c r="A393" s="2" t="s">
        <v>353</v>
      </c>
      <c r="B393" s="6">
        <f t="shared" si="37"/>
        <v>392</v>
      </c>
      <c r="C393" s="16">
        <v>11477</v>
      </c>
      <c r="D393" s="2" t="s">
        <v>485</v>
      </c>
      <c r="E393" s="3" t="s">
        <v>133</v>
      </c>
      <c r="F393" s="14">
        <v>31</v>
      </c>
      <c r="G393" s="14">
        <f>VLOOKUP(C393,[17]ATTANDANCE!$C$4:$AR$65,42,0)</f>
        <v>31</v>
      </c>
      <c r="H393" s="14">
        <v>23499.965</v>
      </c>
      <c r="I393" s="14">
        <v>1800</v>
      </c>
      <c r="J393" s="14">
        <v>0</v>
      </c>
      <c r="K393" s="14">
        <v>200</v>
      </c>
      <c r="L393" s="14">
        <v>2000</v>
      </c>
      <c r="M393" s="15">
        <v>21500</v>
      </c>
      <c r="N393" s="8">
        <v>1950</v>
      </c>
      <c r="O393" s="14">
        <v>1000</v>
      </c>
      <c r="P393" s="6"/>
    </row>
    <row r="394" spans="1:16" x14ac:dyDescent="0.25">
      <c r="A394" s="2" t="s">
        <v>353</v>
      </c>
      <c r="B394" s="6">
        <f t="shared" si="37"/>
        <v>393</v>
      </c>
      <c r="C394" s="16">
        <v>11256</v>
      </c>
      <c r="D394" s="2" t="s">
        <v>486</v>
      </c>
      <c r="E394" s="3" t="s">
        <v>133</v>
      </c>
      <c r="F394" s="14">
        <v>31</v>
      </c>
      <c r="G394" s="14">
        <f>VLOOKUP(C394,[17]ATTANDANCE!$C$4:$AR$65,42,0)</f>
        <v>31</v>
      </c>
      <c r="H394" s="14">
        <v>22500</v>
      </c>
      <c r="I394" s="14">
        <v>1800</v>
      </c>
      <c r="J394" s="14">
        <v>0</v>
      </c>
      <c r="K394" s="14">
        <v>200</v>
      </c>
      <c r="L394" s="14">
        <v>2000</v>
      </c>
      <c r="M394" s="15">
        <v>20500</v>
      </c>
      <c r="N394" s="8">
        <v>1950</v>
      </c>
      <c r="O394" s="14">
        <v>1000</v>
      </c>
      <c r="P394" s="6"/>
    </row>
    <row r="395" spans="1:16" x14ac:dyDescent="0.25">
      <c r="A395" s="2" t="s">
        <v>353</v>
      </c>
      <c r="B395" s="6">
        <f t="shared" si="37"/>
        <v>394</v>
      </c>
      <c r="C395" s="16">
        <v>11663</v>
      </c>
      <c r="D395" s="2" t="s">
        <v>487</v>
      </c>
      <c r="E395" s="3" t="s">
        <v>133</v>
      </c>
      <c r="F395" s="14">
        <v>31</v>
      </c>
      <c r="G395" s="14">
        <f>VLOOKUP(C395,[17]ATTANDANCE!$C$4:$AR$65,42,0)</f>
        <v>23</v>
      </c>
      <c r="H395" s="14">
        <v>17656.870967741936</v>
      </c>
      <c r="I395" s="14">
        <v>1335.483870967742</v>
      </c>
      <c r="J395" s="14">
        <v>0</v>
      </c>
      <c r="K395" s="14">
        <v>150</v>
      </c>
      <c r="L395" s="14">
        <v>1485</v>
      </c>
      <c r="M395" s="15">
        <v>16172</v>
      </c>
      <c r="N395" s="8">
        <v>1446.7741935483871</v>
      </c>
      <c r="O395" s="14">
        <v>1000</v>
      </c>
      <c r="P395" s="6"/>
    </row>
    <row r="396" spans="1:16" x14ac:dyDescent="0.25">
      <c r="A396" s="2" t="s">
        <v>353</v>
      </c>
      <c r="B396" s="6">
        <f t="shared" si="37"/>
        <v>395</v>
      </c>
      <c r="C396" s="16">
        <v>5</v>
      </c>
      <c r="D396" s="2" t="s">
        <v>488</v>
      </c>
      <c r="E396" s="3" t="s">
        <v>133</v>
      </c>
      <c r="F396" s="14">
        <v>31</v>
      </c>
      <c r="G396" s="14">
        <f>VLOOKUP(C396,[17]ATTANDANCE!$C$4:$AR$65,42,0)</f>
        <v>10</v>
      </c>
      <c r="H396" s="14">
        <v>7096</v>
      </c>
      <c r="I396" s="14">
        <v>580.64516129032256</v>
      </c>
      <c r="J396" s="14">
        <v>0</v>
      </c>
      <c r="K396" s="14">
        <v>0</v>
      </c>
      <c r="L396" s="14">
        <v>581</v>
      </c>
      <c r="M396" s="15">
        <v>6515</v>
      </c>
      <c r="N396" s="8">
        <v>629.0322580645161</v>
      </c>
      <c r="O396" s="14">
        <v>1000</v>
      </c>
      <c r="P396" s="6"/>
    </row>
    <row r="397" spans="1:16" x14ac:dyDescent="0.25">
      <c r="A397" s="2" t="s">
        <v>353</v>
      </c>
      <c r="B397" s="6">
        <f t="shared" si="37"/>
        <v>396</v>
      </c>
      <c r="C397" s="16">
        <v>11313</v>
      </c>
      <c r="D397" s="2" t="s">
        <v>489</v>
      </c>
      <c r="E397" s="3" t="s">
        <v>133</v>
      </c>
      <c r="F397" s="14">
        <v>31</v>
      </c>
      <c r="G397" s="14">
        <f>VLOOKUP(C397,[17]ATTANDANCE!$C$4:$AR$65,42,0)</f>
        <v>27</v>
      </c>
      <c r="H397" s="14">
        <v>19596.83080645161</v>
      </c>
      <c r="I397" s="14">
        <v>1567.741935483871</v>
      </c>
      <c r="J397" s="14">
        <v>0</v>
      </c>
      <c r="K397" s="14">
        <v>150</v>
      </c>
      <c r="L397" s="14">
        <v>1718</v>
      </c>
      <c r="M397" s="15">
        <v>17879</v>
      </c>
      <c r="N397" s="8">
        <v>1698.3870967741934</v>
      </c>
      <c r="O397" s="14">
        <v>1000</v>
      </c>
      <c r="P397" s="6"/>
    </row>
    <row r="398" spans="1:16" x14ac:dyDescent="0.25">
      <c r="A398" s="2" t="s">
        <v>353</v>
      </c>
      <c r="B398" s="6">
        <f t="shared" si="37"/>
        <v>397</v>
      </c>
      <c r="C398" s="16">
        <v>11277</v>
      </c>
      <c r="D398" s="2" t="s">
        <v>490</v>
      </c>
      <c r="E398" s="3" t="s">
        <v>325</v>
      </c>
      <c r="F398" s="14">
        <v>31</v>
      </c>
      <c r="G398" s="14">
        <f>VLOOKUP(C398,[17]ATTANDANCE!$C$4:$AR$65,42,0)</f>
        <v>29</v>
      </c>
      <c r="H398" s="14">
        <v>21516.143064516124</v>
      </c>
      <c r="I398" s="14">
        <v>1683.8709677419354</v>
      </c>
      <c r="J398" s="14">
        <v>0</v>
      </c>
      <c r="K398" s="14">
        <v>200</v>
      </c>
      <c r="L398" s="14">
        <v>1884</v>
      </c>
      <c r="M398" s="15">
        <v>19632</v>
      </c>
      <c r="N398" s="8">
        <v>1824.1935483870966</v>
      </c>
      <c r="O398" s="14">
        <v>1000</v>
      </c>
      <c r="P398" s="6"/>
    </row>
    <row r="399" spans="1:16" x14ac:dyDescent="0.25">
      <c r="A399" s="2" t="s">
        <v>353</v>
      </c>
      <c r="B399" s="6">
        <f t="shared" si="37"/>
        <v>398</v>
      </c>
      <c r="C399" s="16" t="s">
        <v>209</v>
      </c>
      <c r="D399" s="2" t="s">
        <v>491</v>
      </c>
      <c r="E399" s="3" t="s">
        <v>325</v>
      </c>
      <c r="F399" s="14">
        <v>31</v>
      </c>
      <c r="G399" s="14">
        <f>VLOOKUP(C399,[17]ATTANDANCE!$C$4:$AR$65,42,0)</f>
        <v>30</v>
      </c>
      <c r="H399" s="14">
        <v>20476.851387096773</v>
      </c>
      <c r="I399" s="14">
        <v>1741.9354838709678</v>
      </c>
      <c r="J399" s="14">
        <v>153.5763854032258</v>
      </c>
      <c r="K399" s="14">
        <v>200</v>
      </c>
      <c r="L399" s="14">
        <v>2096</v>
      </c>
      <c r="M399" s="15">
        <v>18381</v>
      </c>
      <c r="N399" s="8">
        <v>1887.0967741935485</v>
      </c>
      <c r="O399" s="14">
        <v>1000</v>
      </c>
      <c r="P399" s="6"/>
    </row>
    <row r="400" spans="1:16" x14ac:dyDescent="0.25">
      <c r="A400" s="2" t="s">
        <v>353</v>
      </c>
      <c r="B400" s="6">
        <f t="shared" si="37"/>
        <v>399</v>
      </c>
      <c r="C400" s="74">
        <v>11346</v>
      </c>
      <c r="D400" s="2" t="s">
        <v>492</v>
      </c>
      <c r="E400" s="3" t="s">
        <v>458</v>
      </c>
      <c r="F400" s="14">
        <v>31</v>
      </c>
      <c r="G400" s="14">
        <f>VLOOKUP(C400,[17]ATTANDANCE!$C$4:$AR$65,42,0)</f>
        <v>28</v>
      </c>
      <c r="H400" s="14">
        <v>21849.483870967742</v>
      </c>
      <c r="I400" s="14">
        <v>1625.8064516129032</v>
      </c>
      <c r="J400" s="14">
        <v>0</v>
      </c>
      <c r="K400" s="14">
        <v>200</v>
      </c>
      <c r="L400" s="14">
        <v>1826</v>
      </c>
      <c r="M400" s="15">
        <v>20023</v>
      </c>
      <c r="N400" s="8">
        <v>1761.2903225806451</v>
      </c>
      <c r="O400" s="14">
        <v>1000</v>
      </c>
      <c r="P400" s="6"/>
    </row>
    <row r="401" spans="1:16" x14ac:dyDescent="0.25">
      <c r="A401" s="2" t="s">
        <v>545</v>
      </c>
      <c r="B401" s="6">
        <f t="shared" si="37"/>
        <v>400</v>
      </c>
      <c r="C401" s="75">
        <v>11924</v>
      </c>
      <c r="D401" s="76" t="s">
        <v>493</v>
      </c>
      <c r="E401" s="76" t="s">
        <v>494</v>
      </c>
      <c r="F401" s="77">
        <v>30</v>
      </c>
      <c r="G401" s="78">
        <v>29</v>
      </c>
      <c r="H401" s="27">
        <v>41142.514571794876</v>
      </c>
      <c r="I401" s="27">
        <v>1800</v>
      </c>
      <c r="J401" s="27">
        <v>0</v>
      </c>
      <c r="K401" s="27">
        <v>200</v>
      </c>
      <c r="L401" s="27">
        <v>9000</v>
      </c>
      <c r="M401" s="27">
        <v>32143</v>
      </c>
      <c r="N401" s="8">
        <v>1950</v>
      </c>
      <c r="O401" s="27">
        <v>1800</v>
      </c>
      <c r="P401" s="6"/>
    </row>
    <row r="402" spans="1:16" x14ac:dyDescent="0.25">
      <c r="A402" s="2" t="s">
        <v>545</v>
      </c>
      <c r="B402" s="6">
        <f t="shared" si="37"/>
        <v>401</v>
      </c>
      <c r="C402" s="75">
        <v>11087</v>
      </c>
      <c r="D402" s="76" t="s">
        <v>495</v>
      </c>
      <c r="E402" s="76" t="s">
        <v>19</v>
      </c>
      <c r="F402" s="77">
        <v>30</v>
      </c>
      <c r="G402" s="78">
        <v>28</v>
      </c>
      <c r="H402" s="27">
        <v>26013.360399999998</v>
      </c>
      <c r="I402" s="27">
        <v>1800</v>
      </c>
      <c r="J402" s="27">
        <v>0</v>
      </c>
      <c r="K402" s="27">
        <v>200</v>
      </c>
      <c r="L402" s="27">
        <v>2000</v>
      </c>
      <c r="M402" s="27">
        <v>24013</v>
      </c>
      <c r="N402" s="8">
        <v>1950</v>
      </c>
      <c r="O402" s="27">
        <v>1800</v>
      </c>
      <c r="P402" s="6"/>
    </row>
    <row r="403" spans="1:16" x14ac:dyDescent="0.25">
      <c r="A403" s="2" t="s">
        <v>545</v>
      </c>
      <c r="B403" s="6">
        <f t="shared" si="37"/>
        <v>402</v>
      </c>
      <c r="C403" s="75">
        <v>12014</v>
      </c>
      <c r="D403" s="76" t="s">
        <v>496</v>
      </c>
      <c r="E403" s="76" t="s">
        <v>19</v>
      </c>
      <c r="F403" s="77">
        <v>30</v>
      </c>
      <c r="G403" s="78">
        <v>27</v>
      </c>
      <c r="H403" s="27">
        <v>24299.576099999998</v>
      </c>
      <c r="I403" s="27">
        <v>1800</v>
      </c>
      <c r="J403" s="27">
        <v>0</v>
      </c>
      <c r="K403" s="27">
        <v>200</v>
      </c>
      <c r="L403" s="27">
        <v>2000</v>
      </c>
      <c r="M403" s="27">
        <v>22300</v>
      </c>
      <c r="N403" s="8">
        <v>1950</v>
      </c>
      <c r="O403" s="27">
        <v>1800</v>
      </c>
      <c r="P403" s="6"/>
    </row>
    <row r="404" spans="1:16" x14ac:dyDescent="0.25">
      <c r="A404" s="2" t="s">
        <v>545</v>
      </c>
      <c r="B404" s="6">
        <f t="shared" si="37"/>
        <v>403</v>
      </c>
      <c r="C404" s="75">
        <v>12025</v>
      </c>
      <c r="D404" s="76" t="s">
        <v>497</v>
      </c>
      <c r="E404" s="76" t="s">
        <v>498</v>
      </c>
      <c r="F404" s="77">
        <v>30</v>
      </c>
      <c r="G404" s="78">
        <v>30</v>
      </c>
      <c r="H404" s="27">
        <v>45348.215933333333</v>
      </c>
      <c r="I404" s="27">
        <v>1800</v>
      </c>
      <c r="J404" s="27">
        <v>0</v>
      </c>
      <c r="K404" s="27">
        <v>200</v>
      </c>
      <c r="L404" s="27">
        <v>2000</v>
      </c>
      <c r="M404" s="27">
        <v>43348</v>
      </c>
      <c r="N404" s="8">
        <v>1950</v>
      </c>
      <c r="O404" s="27">
        <v>1800</v>
      </c>
      <c r="P404" s="6"/>
    </row>
    <row r="405" spans="1:16" x14ac:dyDescent="0.25">
      <c r="A405" s="2" t="s">
        <v>545</v>
      </c>
      <c r="B405" s="6">
        <f t="shared" si="37"/>
        <v>404</v>
      </c>
      <c r="C405" s="75">
        <v>11453</v>
      </c>
      <c r="D405" s="76" t="s">
        <v>499</v>
      </c>
      <c r="E405" s="76" t="s">
        <v>114</v>
      </c>
      <c r="F405" s="77">
        <v>30</v>
      </c>
      <c r="G405" s="78">
        <v>30</v>
      </c>
      <c r="H405" s="27">
        <v>29375.330487179486</v>
      </c>
      <c r="I405" s="27">
        <v>1800</v>
      </c>
      <c r="J405" s="27">
        <v>177.58497865384615</v>
      </c>
      <c r="K405" s="27">
        <v>200</v>
      </c>
      <c r="L405" s="27">
        <v>2177.5849786538461</v>
      </c>
      <c r="M405" s="27">
        <v>27198</v>
      </c>
      <c r="N405" s="8">
        <v>1950</v>
      </c>
      <c r="O405" s="27">
        <v>769.53490749999992</v>
      </c>
      <c r="P405" s="6"/>
    </row>
    <row r="406" spans="1:16" x14ac:dyDescent="0.25">
      <c r="A406" s="2" t="s">
        <v>545</v>
      </c>
      <c r="B406" s="6">
        <f t="shared" si="37"/>
        <v>405</v>
      </c>
      <c r="C406" s="75">
        <v>11424</v>
      </c>
      <c r="D406" s="76" t="s">
        <v>500</v>
      </c>
      <c r="E406" s="76" t="s">
        <v>114</v>
      </c>
      <c r="F406" s="77">
        <v>30</v>
      </c>
      <c r="G406" s="78">
        <v>26</v>
      </c>
      <c r="H406" s="27">
        <v>20520.930866666669</v>
      </c>
      <c r="I406" s="27">
        <v>1800</v>
      </c>
      <c r="J406" s="27">
        <v>153.9069815</v>
      </c>
      <c r="K406" s="27">
        <v>200</v>
      </c>
      <c r="L406" s="27">
        <v>2153.9069815000003</v>
      </c>
      <c r="M406" s="27">
        <v>18367</v>
      </c>
      <c r="N406" s="8">
        <v>1950</v>
      </c>
      <c r="O406" s="27">
        <v>666.9302531666666</v>
      </c>
      <c r="P406" s="6"/>
    </row>
    <row r="407" spans="1:16" x14ac:dyDescent="0.25">
      <c r="A407" s="2" t="s">
        <v>545</v>
      </c>
      <c r="B407" s="6">
        <f t="shared" si="37"/>
        <v>406</v>
      </c>
      <c r="C407" s="75">
        <v>11905</v>
      </c>
      <c r="D407" s="76" t="s">
        <v>501</v>
      </c>
      <c r="E407" s="76" t="s">
        <v>114</v>
      </c>
      <c r="F407" s="77">
        <v>30</v>
      </c>
      <c r="G407" s="78">
        <v>29</v>
      </c>
      <c r="H407" s="27">
        <v>25025.230582051285</v>
      </c>
      <c r="I407" s="27">
        <v>1800</v>
      </c>
      <c r="J407" s="27">
        <v>171.66547936538464</v>
      </c>
      <c r="K407" s="27">
        <v>200</v>
      </c>
      <c r="L407" s="27">
        <v>2171.6654793653847</v>
      </c>
      <c r="M407" s="27">
        <v>22854</v>
      </c>
      <c r="N407" s="8">
        <v>1950</v>
      </c>
      <c r="O407" s="27">
        <v>743.88374391666684</v>
      </c>
      <c r="P407" s="6"/>
    </row>
    <row r="408" spans="1:16" x14ac:dyDescent="0.25">
      <c r="A408" s="2" t="s">
        <v>545</v>
      </c>
      <c r="B408" s="6">
        <f t="shared" si="37"/>
        <v>407</v>
      </c>
      <c r="C408" s="75">
        <v>11452</v>
      </c>
      <c r="D408" s="76" t="s">
        <v>502</v>
      </c>
      <c r="E408" s="76" t="s">
        <v>503</v>
      </c>
      <c r="F408" s="77">
        <v>30</v>
      </c>
      <c r="G408" s="78">
        <v>29</v>
      </c>
      <c r="H408" s="27">
        <v>27161.730582051285</v>
      </c>
      <c r="I408" s="27">
        <v>1800</v>
      </c>
      <c r="J408" s="27">
        <v>171.66547936538464</v>
      </c>
      <c r="K408" s="27">
        <v>200</v>
      </c>
      <c r="L408" s="27">
        <v>2171.6654793653847</v>
      </c>
      <c r="M408" s="27">
        <v>24990</v>
      </c>
      <c r="N408" s="8">
        <v>1950</v>
      </c>
      <c r="O408" s="27">
        <v>743.88374391666684</v>
      </c>
      <c r="P408" s="6"/>
    </row>
    <row r="409" spans="1:16" x14ac:dyDescent="0.25">
      <c r="A409" s="2" t="s">
        <v>545</v>
      </c>
      <c r="B409" s="6">
        <f t="shared" si="37"/>
        <v>408</v>
      </c>
      <c r="C409" s="75">
        <v>11449</v>
      </c>
      <c r="D409" s="76" t="s">
        <v>504</v>
      </c>
      <c r="E409" s="76" t="s">
        <v>114</v>
      </c>
      <c r="F409" s="77">
        <v>30</v>
      </c>
      <c r="G409" s="78">
        <v>29</v>
      </c>
      <c r="H409" s="27">
        <v>24313.063915384617</v>
      </c>
      <c r="I409" s="27">
        <v>1800</v>
      </c>
      <c r="J409" s="27">
        <v>171.66547936538464</v>
      </c>
      <c r="K409" s="27">
        <v>200</v>
      </c>
      <c r="L409" s="27">
        <v>2171.6654793653847</v>
      </c>
      <c r="M409" s="27">
        <v>22141</v>
      </c>
      <c r="N409" s="8">
        <v>1950</v>
      </c>
      <c r="O409" s="27">
        <v>743.88374391666684</v>
      </c>
      <c r="P409" s="6"/>
    </row>
    <row r="410" spans="1:16" x14ac:dyDescent="0.25">
      <c r="A410" s="2" t="s">
        <v>545</v>
      </c>
      <c r="B410" s="6">
        <f t="shared" si="37"/>
        <v>409</v>
      </c>
      <c r="C410" s="75">
        <v>11938</v>
      </c>
      <c r="D410" s="76" t="s">
        <v>505</v>
      </c>
      <c r="E410" s="76" t="s">
        <v>114</v>
      </c>
      <c r="F410" s="77">
        <v>30</v>
      </c>
      <c r="G410" s="78">
        <v>27</v>
      </c>
      <c r="H410" s="27">
        <v>22734.530771794871</v>
      </c>
      <c r="I410" s="27">
        <v>1800</v>
      </c>
      <c r="J410" s="27">
        <v>159.82648078846154</v>
      </c>
      <c r="K410" s="27">
        <v>200</v>
      </c>
      <c r="L410" s="27">
        <v>2159.8264807884616</v>
      </c>
      <c r="M410" s="27">
        <v>20575</v>
      </c>
      <c r="N410" s="8">
        <v>1950</v>
      </c>
      <c r="O410" s="27">
        <v>692.5814167499999</v>
      </c>
      <c r="P410" s="6"/>
    </row>
    <row r="411" spans="1:16" x14ac:dyDescent="0.25">
      <c r="A411" s="2" t="s">
        <v>545</v>
      </c>
      <c r="B411" s="6">
        <f t="shared" si="37"/>
        <v>410</v>
      </c>
      <c r="C411" s="75">
        <v>11014</v>
      </c>
      <c r="D411" s="76" t="s">
        <v>506</v>
      </c>
      <c r="E411" s="76" t="s">
        <v>114</v>
      </c>
      <c r="F411" s="77">
        <v>30</v>
      </c>
      <c r="G411" s="78">
        <v>12</v>
      </c>
      <c r="H411" s="27">
        <v>10895.532194871796</v>
      </c>
      <c r="I411" s="27">
        <v>1058.4398633846156</v>
      </c>
      <c r="J411" s="27">
        <v>71.033991461538463</v>
      </c>
      <c r="K411" s="27">
        <v>0</v>
      </c>
      <c r="L411" s="27">
        <v>1129.4738548461542</v>
      </c>
      <c r="M411" s="27">
        <v>9766</v>
      </c>
      <c r="N411" s="8">
        <v>1146.6431853333336</v>
      </c>
      <c r="O411" s="27">
        <v>307.813963</v>
      </c>
      <c r="P411" s="6"/>
    </row>
    <row r="412" spans="1:16" x14ac:dyDescent="0.25">
      <c r="A412" s="2" t="s">
        <v>545</v>
      </c>
      <c r="B412" s="6">
        <f t="shared" si="37"/>
        <v>411</v>
      </c>
      <c r="C412" s="75">
        <v>12002</v>
      </c>
      <c r="D412" s="76" t="s">
        <v>507</v>
      </c>
      <c r="E412" s="76" t="s">
        <v>508</v>
      </c>
      <c r="F412" s="77">
        <v>30</v>
      </c>
      <c r="G412" s="78">
        <v>21</v>
      </c>
      <c r="H412" s="27">
        <v>16574.598007692308</v>
      </c>
      <c r="I412" s="27">
        <v>1553.1597609230769</v>
      </c>
      <c r="J412" s="27">
        <v>124.3094850576923</v>
      </c>
      <c r="K412" s="27">
        <v>150</v>
      </c>
      <c r="L412" s="27">
        <v>1827.4692459807691</v>
      </c>
      <c r="M412" s="27">
        <v>14747</v>
      </c>
      <c r="N412" s="8">
        <v>1682.589741</v>
      </c>
      <c r="O412" s="27">
        <v>538.67443524999999</v>
      </c>
      <c r="P412" s="6"/>
    </row>
    <row r="413" spans="1:16" x14ac:dyDescent="0.25">
      <c r="A413" s="2" t="s">
        <v>545</v>
      </c>
      <c r="B413" s="6">
        <f t="shared" si="37"/>
        <v>412</v>
      </c>
      <c r="C413" s="75">
        <v>11987</v>
      </c>
      <c r="D413" s="76" t="s">
        <v>509</v>
      </c>
      <c r="E413" s="76" t="s">
        <v>508</v>
      </c>
      <c r="F413" s="77">
        <v>30</v>
      </c>
      <c r="G413" s="78">
        <v>30</v>
      </c>
      <c r="H413" s="27">
        <v>23677.997153846154</v>
      </c>
      <c r="I413" s="27">
        <v>1800</v>
      </c>
      <c r="J413" s="27">
        <v>177.58497865384615</v>
      </c>
      <c r="K413" s="27">
        <v>200</v>
      </c>
      <c r="L413" s="27">
        <v>2177.5849786538461</v>
      </c>
      <c r="M413" s="27">
        <v>21500</v>
      </c>
      <c r="N413" s="8">
        <v>1950</v>
      </c>
      <c r="O413" s="27">
        <v>769.53490749999992</v>
      </c>
      <c r="P413" s="6"/>
    </row>
    <row r="414" spans="1:16" x14ac:dyDescent="0.25">
      <c r="A414" s="2" t="s">
        <v>545</v>
      </c>
      <c r="B414" s="6">
        <f t="shared" si="37"/>
        <v>413</v>
      </c>
      <c r="C414" s="75">
        <v>11912</v>
      </c>
      <c r="D414" s="76" t="s">
        <v>510</v>
      </c>
      <c r="E414" s="76" t="s">
        <v>508</v>
      </c>
      <c r="F414" s="77">
        <v>30</v>
      </c>
      <c r="G414" s="78">
        <v>25</v>
      </c>
      <c r="H414" s="27">
        <v>22580.330961538464</v>
      </c>
      <c r="I414" s="27">
        <v>1800</v>
      </c>
      <c r="J414" s="27">
        <v>147.98748221153846</v>
      </c>
      <c r="K414" s="27">
        <v>200</v>
      </c>
      <c r="L414" s="27">
        <v>2147.9874822115385</v>
      </c>
      <c r="M414" s="27">
        <v>20432</v>
      </c>
      <c r="N414" s="8">
        <v>1950</v>
      </c>
      <c r="O414" s="27">
        <v>641.2790895833333</v>
      </c>
      <c r="P414" s="6"/>
    </row>
    <row r="415" spans="1:16" x14ac:dyDescent="0.25">
      <c r="A415" s="2" t="s">
        <v>545</v>
      </c>
      <c r="B415" s="6">
        <f t="shared" si="37"/>
        <v>414</v>
      </c>
      <c r="C415" s="75">
        <v>11433</v>
      </c>
      <c r="D415" s="76" t="s">
        <v>511</v>
      </c>
      <c r="E415" s="76" t="s">
        <v>51</v>
      </c>
      <c r="F415" s="77">
        <v>30</v>
      </c>
      <c r="G415" s="78">
        <v>30</v>
      </c>
      <c r="H415" s="27">
        <v>28631.409589743587</v>
      </c>
      <c r="I415" s="27">
        <v>1800</v>
      </c>
      <c r="J415" s="27">
        <v>0</v>
      </c>
      <c r="K415" s="27">
        <v>200</v>
      </c>
      <c r="L415" s="27">
        <v>2000</v>
      </c>
      <c r="M415" s="27">
        <v>26631</v>
      </c>
      <c r="N415" s="8">
        <v>1950</v>
      </c>
      <c r="O415" s="27">
        <v>1800</v>
      </c>
      <c r="P415" s="6"/>
    </row>
    <row r="416" spans="1:16" x14ac:dyDescent="0.25">
      <c r="A416" s="2" t="s">
        <v>545</v>
      </c>
      <c r="B416" s="6">
        <f t="shared" si="37"/>
        <v>415</v>
      </c>
      <c r="C416" s="75">
        <v>10883</v>
      </c>
      <c r="D416" s="76" t="s">
        <v>512</v>
      </c>
      <c r="E416" s="76" t="s">
        <v>51</v>
      </c>
      <c r="F416" s="77">
        <v>30</v>
      </c>
      <c r="G416" s="78">
        <v>30</v>
      </c>
      <c r="H416" s="27">
        <v>27000.542923076922</v>
      </c>
      <c r="I416" s="27">
        <v>1800</v>
      </c>
      <c r="J416" s="27">
        <v>0</v>
      </c>
      <c r="K416" s="27">
        <v>200</v>
      </c>
      <c r="L416" s="27">
        <v>2000</v>
      </c>
      <c r="M416" s="27">
        <v>25001</v>
      </c>
      <c r="N416" s="8">
        <v>1950</v>
      </c>
      <c r="O416" s="27">
        <v>1800</v>
      </c>
      <c r="P416" s="6"/>
    </row>
    <row r="417" spans="1:16" x14ac:dyDescent="0.25">
      <c r="A417" s="2" t="s">
        <v>545</v>
      </c>
      <c r="B417" s="6">
        <f t="shared" si="37"/>
        <v>416</v>
      </c>
      <c r="C417" s="75">
        <v>11646</v>
      </c>
      <c r="D417" s="76" t="s">
        <v>513</v>
      </c>
      <c r="E417" s="76" t="s">
        <v>514</v>
      </c>
      <c r="F417" s="77">
        <v>30</v>
      </c>
      <c r="G417" s="78">
        <v>25</v>
      </c>
      <c r="H417" s="27">
        <v>17235.510448717949</v>
      </c>
      <c r="I417" s="27">
        <v>1768.4612538461538</v>
      </c>
      <c r="J417" s="27">
        <v>129.26632836538462</v>
      </c>
      <c r="K417" s="27">
        <v>150</v>
      </c>
      <c r="L417" s="27">
        <v>2047.7275822115384</v>
      </c>
      <c r="M417" s="27">
        <v>15188</v>
      </c>
      <c r="N417" s="8">
        <v>1915.8330249999999</v>
      </c>
      <c r="O417" s="27">
        <v>560.1540895833333</v>
      </c>
      <c r="P417" s="6"/>
    </row>
    <row r="418" spans="1:16" x14ac:dyDescent="0.25">
      <c r="A418" s="2" t="s">
        <v>545</v>
      </c>
      <c r="B418" s="6">
        <f t="shared" si="37"/>
        <v>417</v>
      </c>
      <c r="C418" s="75">
        <v>11677</v>
      </c>
      <c r="D418" s="76" t="s">
        <v>515</v>
      </c>
      <c r="E418" s="76" t="s">
        <v>514</v>
      </c>
      <c r="F418" s="77">
        <v>30</v>
      </c>
      <c r="G418" s="78">
        <v>25</v>
      </c>
      <c r="H418" s="27">
        <v>20942.110448717947</v>
      </c>
      <c r="I418" s="27">
        <v>1800</v>
      </c>
      <c r="J418" s="27">
        <v>129.26632836538462</v>
      </c>
      <c r="K418" s="27">
        <v>200</v>
      </c>
      <c r="L418" s="27">
        <v>2129.2663283653847</v>
      </c>
      <c r="M418" s="27">
        <v>18813</v>
      </c>
      <c r="N418" s="8">
        <v>1950</v>
      </c>
      <c r="O418" s="27">
        <v>560.1540895833333</v>
      </c>
      <c r="P418" s="6"/>
    </row>
    <row r="419" spans="1:16" x14ac:dyDescent="0.25">
      <c r="A419" s="2" t="s">
        <v>545</v>
      </c>
      <c r="B419" s="6">
        <f t="shared" si="37"/>
        <v>418</v>
      </c>
      <c r="C419" s="75">
        <v>11710</v>
      </c>
      <c r="D419" s="76" t="s">
        <v>516</v>
      </c>
      <c r="E419" s="76" t="s">
        <v>514</v>
      </c>
      <c r="F419" s="77">
        <v>30</v>
      </c>
      <c r="G419" s="78">
        <v>29</v>
      </c>
      <c r="H419" s="27">
        <v>21846.492120512819</v>
      </c>
      <c r="I419" s="27">
        <v>1800</v>
      </c>
      <c r="J419" s="27">
        <v>149.94894090384614</v>
      </c>
      <c r="K419" s="27">
        <v>200</v>
      </c>
      <c r="L419" s="27">
        <v>2149.9489409038461</v>
      </c>
      <c r="M419" s="27">
        <v>19697</v>
      </c>
      <c r="N419" s="8">
        <v>1950</v>
      </c>
      <c r="O419" s="27">
        <v>649.7787439166666</v>
      </c>
      <c r="P419" s="6"/>
    </row>
    <row r="420" spans="1:16" x14ac:dyDescent="0.25">
      <c r="A420" s="2" t="s">
        <v>545</v>
      </c>
      <c r="B420" s="6">
        <f t="shared" si="37"/>
        <v>419</v>
      </c>
      <c r="C420" s="75">
        <v>11459</v>
      </c>
      <c r="D420" s="76" t="s">
        <v>517</v>
      </c>
      <c r="E420" s="76" t="s">
        <v>514</v>
      </c>
      <c r="F420" s="77">
        <v>30</v>
      </c>
      <c r="G420" s="78">
        <v>27</v>
      </c>
      <c r="H420" s="27">
        <v>18614.351284615386</v>
      </c>
      <c r="I420" s="27">
        <v>1800</v>
      </c>
      <c r="J420" s="27">
        <v>139.60763463461538</v>
      </c>
      <c r="K420" s="27">
        <v>150</v>
      </c>
      <c r="L420" s="27">
        <v>2089.6076346346154</v>
      </c>
      <c r="M420" s="27">
        <v>16525</v>
      </c>
      <c r="N420" s="8">
        <v>1950</v>
      </c>
      <c r="O420" s="27">
        <v>604.96641675000001</v>
      </c>
      <c r="P420" s="6"/>
    </row>
    <row r="421" spans="1:16" x14ac:dyDescent="0.25">
      <c r="A421" s="2" t="s">
        <v>545</v>
      </c>
      <c r="B421" s="6">
        <f t="shared" si="37"/>
        <v>420</v>
      </c>
      <c r="C421" s="75">
        <v>11984</v>
      </c>
      <c r="D421" s="76" t="s">
        <v>224</v>
      </c>
      <c r="E421" s="76" t="s">
        <v>514</v>
      </c>
      <c r="F421" s="77">
        <v>30</v>
      </c>
      <c r="G421" s="78">
        <v>9</v>
      </c>
      <c r="H421" s="27">
        <v>6204.7837615384615</v>
      </c>
      <c r="I421" s="27">
        <v>636.64605138461536</v>
      </c>
      <c r="J421" s="27">
        <v>46.53587821153846</v>
      </c>
      <c r="K421" s="27">
        <v>0</v>
      </c>
      <c r="L421" s="27">
        <v>683.18192959615385</v>
      </c>
      <c r="M421" s="27">
        <v>5522</v>
      </c>
      <c r="N421" s="8">
        <v>689.69988899999998</v>
      </c>
      <c r="O421" s="27">
        <v>201.65547225</v>
      </c>
      <c r="P421" s="6"/>
    </row>
    <row r="422" spans="1:16" x14ac:dyDescent="0.25">
      <c r="A422" s="2" t="s">
        <v>545</v>
      </c>
      <c r="B422" s="6">
        <f t="shared" si="37"/>
        <v>421</v>
      </c>
      <c r="C422" s="75">
        <v>11986</v>
      </c>
      <c r="D422" s="76" t="s">
        <v>396</v>
      </c>
      <c r="E422" s="76" t="s">
        <v>514</v>
      </c>
      <c r="F422" s="77">
        <v>30</v>
      </c>
      <c r="G422" s="78">
        <v>30</v>
      </c>
      <c r="H422" s="27">
        <v>20682.612538461541</v>
      </c>
      <c r="I422" s="27">
        <v>1800</v>
      </c>
      <c r="J422" s="27">
        <v>155.11959403846154</v>
      </c>
      <c r="K422" s="27">
        <v>200</v>
      </c>
      <c r="L422" s="27">
        <v>2155.1195940384614</v>
      </c>
      <c r="M422" s="27">
        <v>18527</v>
      </c>
      <c r="N422" s="8">
        <v>1950</v>
      </c>
      <c r="O422" s="27">
        <v>672.18490750000001</v>
      </c>
      <c r="P422" s="6"/>
    </row>
    <row r="423" spans="1:16" x14ac:dyDescent="0.25">
      <c r="A423" s="2" t="s">
        <v>545</v>
      </c>
      <c r="B423" s="6">
        <f t="shared" si="37"/>
        <v>422</v>
      </c>
      <c r="C423" s="75">
        <v>11981</v>
      </c>
      <c r="D423" s="76" t="s">
        <v>518</v>
      </c>
      <c r="E423" s="76" t="s">
        <v>514</v>
      </c>
      <c r="F423" s="77">
        <v>30</v>
      </c>
      <c r="G423" s="78">
        <v>17</v>
      </c>
      <c r="H423" s="27">
        <v>11720.147105128204</v>
      </c>
      <c r="I423" s="27">
        <v>1202.5536526153844</v>
      </c>
      <c r="J423" s="27">
        <v>87.901103288461528</v>
      </c>
      <c r="K423" s="27">
        <v>0</v>
      </c>
      <c r="L423" s="27">
        <v>1290.454755903846</v>
      </c>
      <c r="M423" s="27">
        <v>10430</v>
      </c>
      <c r="N423" s="8">
        <v>1302.7664569999997</v>
      </c>
      <c r="O423" s="27">
        <v>380.9047809166666</v>
      </c>
      <c r="P423" s="6"/>
    </row>
    <row r="424" spans="1:16" x14ac:dyDescent="0.25">
      <c r="A424" s="2" t="s">
        <v>545</v>
      </c>
      <c r="B424" s="6">
        <f t="shared" si="37"/>
        <v>423</v>
      </c>
      <c r="C424" s="75">
        <v>12051</v>
      </c>
      <c r="D424" s="76" t="s">
        <v>519</v>
      </c>
      <c r="E424" s="76" t="s">
        <v>514</v>
      </c>
      <c r="F424" s="77">
        <v>30</v>
      </c>
      <c r="G424" s="78">
        <v>1</v>
      </c>
      <c r="H424" s="27">
        <v>689.42041794871795</v>
      </c>
      <c r="I424" s="27">
        <v>70.738450153846159</v>
      </c>
      <c r="J424" s="27">
        <v>5.1706531346153843</v>
      </c>
      <c r="K424" s="27">
        <v>0</v>
      </c>
      <c r="L424" s="27">
        <v>75.909103288461537</v>
      </c>
      <c r="M424" s="27">
        <v>614</v>
      </c>
      <c r="N424" s="8">
        <v>76.633321000000009</v>
      </c>
      <c r="O424" s="27">
        <v>22.406163583333335</v>
      </c>
      <c r="P424" s="6"/>
    </row>
    <row r="425" spans="1:16" x14ac:dyDescent="0.25">
      <c r="A425" s="2" t="s">
        <v>545</v>
      </c>
      <c r="B425" s="6">
        <f t="shared" si="37"/>
        <v>424</v>
      </c>
      <c r="C425" s="75">
        <v>11988</v>
      </c>
      <c r="D425" s="76" t="s">
        <v>520</v>
      </c>
      <c r="E425" s="76" t="s">
        <v>514</v>
      </c>
      <c r="F425" s="77">
        <v>30</v>
      </c>
      <c r="G425" s="78">
        <v>17</v>
      </c>
      <c r="H425" s="27">
        <v>11720.147105128204</v>
      </c>
      <c r="I425" s="27">
        <v>1202.5536526153844</v>
      </c>
      <c r="J425" s="27">
        <v>87.901103288461528</v>
      </c>
      <c r="K425" s="27">
        <v>0</v>
      </c>
      <c r="L425" s="27">
        <v>1290.454755903846</v>
      </c>
      <c r="M425" s="27">
        <v>10430</v>
      </c>
      <c r="N425" s="8">
        <v>1302.7664569999997</v>
      </c>
      <c r="O425" s="27">
        <v>380.9047809166666</v>
      </c>
      <c r="P425" s="6"/>
    </row>
    <row r="426" spans="1:16" x14ac:dyDescent="0.25">
      <c r="A426" s="2" t="s">
        <v>545</v>
      </c>
      <c r="B426" s="6">
        <f t="shared" si="37"/>
        <v>425</v>
      </c>
      <c r="C426" s="75">
        <v>12067</v>
      </c>
      <c r="D426" s="76" t="s">
        <v>521</v>
      </c>
      <c r="E426" s="76" t="s">
        <v>514</v>
      </c>
      <c r="F426" s="77">
        <v>30</v>
      </c>
      <c r="G426" s="78">
        <v>1</v>
      </c>
      <c r="H426" s="27">
        <v>689.42041794871795</v>
      </c>
      <c r="I426" s="27">
        <v>70.738450153846159</v>
      </c>
      <c r="J426" s="27">
        <v>5.1706531346153843</v>
      </c>
      <c r="K426" s="27">
        <v>0</v>
      </c>
      <c r="L426" s="27">
        <v>75.909103288461537</v>
      </c>
      <c r="M426" s="27">
        <v>614</v>
      </c>
      <c r="N426" s="8">
        <v>76.633321000000009</v>
      </c>
      <c r="O426" s="27">
        <v>22.406163583333335</v>
      </c>
      <c r="P426" s="6"/>
    </row>
    <row r="427" spans="1:16" x14ac:dyDescent="0.25">
      <c r="A427" s="2" t="s">
        <v>545</v>
      </c>
      <c r="B427" s="6">
        <f t="shared" si="37"/>
        <v>426</v>
      </c>
      <c r="C427" s="75">
        <v>11454</v>
      </c>
      <c r="D427" s="76" t="s">
        <v>522</v>
      </c>
      <c r="E427" s="76" t="s">
        <v>523</v>
      </c>
      <c r="F427" s="77">
        <v>30</v>
      </c>
      <c r="G427" s="78">
        <v>30</v>
      </c>
      <c r="H427" s="27">
        <v>20682.612538461541</v>
      </c>
      <c r="I427" s="27">
        <v>1800</v>
      </c>
      <c r="J427" s="27">
        <v>155.11959403846154</v>
      </c>
      <c r="K427" s="27">
        <v>200</v>
      </c>
      <c r="L427" s="27">
        <v>2155.1195940384614</v>
      </c>
      <c r="M427" s="27">
        <v>18527</v>
      </c>
      <c r="N427" s="8">
        <v>1950</v>
      </c>
      <c r="O427" s="27">
        <v>672.18490750000001</v>
      </c>
      <c r="P427" s="6"/>
    </row>
    <row r="428" spans="1:16" x14ac:dyDescent="0.25">
      <c r="A428" s="2" t="s">
        <v>545</v>
      </c>
      <c r="B428" s="6">
        <f t="shared" si="37"/>
        <v>427</v>
      </c>
      <c r="C428" s="75">
        <v>10673</v>
      </c>
      <c r="D428" s="76" t="s">
        <v>524</v>
      </c>
      <c r="E428" s="76" t="s">
        <v>523</v>
      </c>
      <c r="F428" s="77">
        <v>30</v>
      </c>
      <c r="G428" s="78">
        <v>30</v>
      </c>
      <c r="H428" s="27">
        <v>21300.379205128207</v>
      </c>
      <c r="I428" s="27">
        <v>1800</v>
      </c>
      <c r="J428" s="27">
        <v>155.11959403846154</v>
      </c>
      <c r="K428" s="27">
        <v>200</v>
      </c>
      <c r="L428" s="27">
        <v>2155.1195940384614</v>
      </c>
      <c r="M428" s="27">
        <v>19145</v>
      </c>
      <c r="N428" s="8">
        <v>1950</v>
      </c>
      <c r="O428" s="27">
        <v>672.18490750000001</v>
      </c>
      <c r="P428" s="6"/>
    </row>
    <row r="429" spans="1:16" x14ac:dyDescent="0.25">
      <c r="A429" s="2" t="s">
        <v>545</v>
      </c>
      <c r="B429" s="6">
        <f t="shared" si="37"/>
        <v>428</v>
      </c>
      <c r="C429" s="75">
        <v>12063</v>
      </c>
      <c r="D429" s="76" t="s">
        <v>525</v>
      </c>
      <c r="E429" s="76" t="s">
        <v>523</v>
      </c>
      <c r="F429" s="77">
        <v>30</v>
      </c>
      <c r="G429" s="78">
        <v>29</v>
      </c>
      <c r="H429" s="27">
        <v>19993.19212051282</v>
      </c>
      <c r="I429" s="27">
        <v>1800</v>
      </c>
      <c r="J429" s="27">
        <v>149.94894090384614</v>
      </c>
      <c r="K429" s="27">
        <v>150</v>
      </c>
      <c r="L429" s="27">
        <v>2099.9489409038461</v>
      </c>
      <c r="M429" s="27">
        <v>17893</v>
      </c>
      <c r="N429" s="8">
        <v>1950</v>
      </c>
      <c r="O429" s="27">
        <v>649.7787439166666</v>
      </c>
      <c r="P429" s="6"/>
    </row>
    <row r="430" spans="1:16" x14ac:dyDescent="0.25">
      <c r="A430" s="2" t="s">
        <v>545</v>
      </c>
      <c r="B430" s="6">
        <f t="shared" si="37"/>
        <v>429</v>
      </c>
      <c r="C430" s="75">
        <v>3</v>
      </c>
      <c r="D430" s="76" t="s">
        <v>526</v>
      </c>
      <c r="E430" s="76" t="s">
        <v>523</v>
      </c>
      <c r="F430" s="77">
        <v>30</v>
      </c>
      <c r="G430" s="78">
        <v>30</v>
      </c>
      <c r="H430" s="27">
        <v>20682.612538461541</v>
      </c>
      <c r="I430" s="27">
        <v>1800</v>
      </c>
      <c r="J430" s="27">
        <v>155.11959403846154</v>
      </c>
      <c r="K430" s="27">
        <v>200</v>
      </c>
      <c r="L430" s="27">
        <v>2155.1195940384614</v>
      </c>
      <c r="M430" s="27">
        <v>18527</v>
      </c>
      <c r="N430" s="8">
        <v>1950</v>
      </c>
      <c r="O430" s="27">
        <v>672.18490750000001</v>
      </c>
      <c r="P430" s="6"/>
    </row>
    <row r="431" spans="1:16" x14ac:dyDescent="0.25">
      <c r="A431" s="2" t="s">
        <v>545</v>
      </c>
      <c r="B431" s="6">
        <f t="shared" si="37"/>
        <v>430</v>
      </c>
      <c r="C431" s="75">
        <v>11843</v>
      </c>
      <c r="D431" s="76" t="s">
        <v>527</v>
      </c>
      <c r="E431" s="76" t="s">
        <v>514</v>
      </c>
      <c r="F431" s="77">
        <v>30</v>
      </c>
      <c r="G431" s="78">
        <v>21</v>
      </c>
      <c r="H431" s="27">
        <v>15095.595443589744</v>
      </c>
      <c r="I431" s="27">
        <v>1559.639453230769</v>
      </c>
      <c r="J431" s="27">
        <v>108.58371582692308</v>
      </c>
      <c r="K431" s="27">
        <v>150</v>
      </c>
      <c r="L431" s="27">
        <v>1818.2231690576921</v>
      </c>
      <c r="M431" s="27">
        <v>13277</v>
      </c>
      <c r="N431" s="8">
        <v>1689.6094076666666</v>
      </c>
      <c r="O431" s="27">
        <v>470.52943525000001</v>
      </c>
      <c r="P431" s="6"/>
    </row>
    <row r="432" spans="1:16" x14ac:dyDescent="0.25">
      <c r="A432" s="2" t="s">
        <v>545</v>
      </c>
      <c r="B432" s="6">
        <f t="shared" si="37"/>
        <v>431</v>
      </c>
      <c r="C432" s="75">
        <v>12013</v>
      </c>
      <c r="D432" s="76" t="s">
        <v>528</v>
      </c>
      <c r="E432" s="76" t="s">
        <v>514</v>
      </c>
      <c r="F432" s="77">
        <v>30</v>
      </c>
      <c r="G432" s="78">
        <v>30</v>
      </c>
      <c r="H432" s="27">
        <v>21300.379205128207</v>
      </c>
      <c r="I432" s="27">
        <v>1800</v>
      </c>
      <c r="J432" s="27">
        <v>155.11959403846154</v>
      </c>
      <c r="K432" s="27">
        <v>200</v>
      </c>
      <c r="L432" s="27">
        <v>2155.1195940384614</v>
      </c>
      <c r="M432" s="27">
        <v>19145</v>
      </c>
      <c r="N432" s="8">
        <v>1950</v>
      </c>
      <c r="O432" s="27">
        <v>672.18490750000001</v>
      </c>
      <c r="P432" s="6"/>
    </row>
    <row r="433" spans="1:16" x14ac:dyDescent="0.25">
      <c r="A433" s="2" t="s">
        <v>545</v>
      </c>
      <c r="B433" s="6">
        <f t="shared" si="37"/>
        <v>432</v>
      </c>
      <c r="C433" s="75">
        <v>12006</v>
      </c>
      <c r="D433" s="76" t="s">
        <v>529</v>
      </c>
      <c r="E433" s="76" t="s">
        <v>514</v>
      </c>
      <c r="F433" s="77">
        <v>30</v>
      </c>
      <c r="G433" s="78">
        <v>27</v>
      </c>
      <c r="H433" s="27">
        <v>18614.351284615386</v>
      </c>
      <c r="I433" s="27">
        <v>1800</v>
      </c>
      <c r="J433" s="27">
        <v>139.60763463461538</v>
      </c>
      <c r="K433" s="27">
        <v>150</v>
      </c>
      <c r="L433" s="27">
        <v>2089.6076346346154</v>
      </c>
      <c r="M433" s="27">
        <v>16525</v>
      </c>
      <c r="N433" s="8">
        <v>1950</v>
      </c>
      <c r="O433" s="27">
        <v>604.96641675000001</v>
      </c>
      <c r="P433" s="6"/>
    </row>
    <row r="434" spans="1:16" x14ac:dyDescent="0.25">
      <c r="A434" s="2" t="s">
        <v>545</v>
      </c>
      <c r="B434" s="6">
        <f t="shared" si="37"/>
        <v>433</v>
      </c>
      <c r="C434" s="75">
        <v>11883</v>
      </c>
      <c r="D434" s="76" t="s">
        <v>530</v>
      </c>
      <c r="E434" s="76" t="s">
        <v>514</v>
      </c>
      <c r="F434" s="77">
        <v>30</v>
      </c>
      <c r="G434" s="78">
        <v>26</v>
      </c>
      <c r="H434" s="27">
        <v>19160.464200000002</v>
      </c>
      <c r="I434" s="27">
        <v>1800</v>
      </c>
      <c r="J434" s="27">
        <v>134.4369815</v>
      </c>
      <c r="K434" s="27">
        <v>150</v>
      </c>
      <c r="L434" s="27">
        <v>2084.4369815</v>
      </c>
      <c r="M434" s="27">
        <v>17076</v>
      </c>
      <c r="N434" s="8">
        <v>1950</v>
      </c>
      <c r="O434" s="27">
        <v>582.56025316666671</v>
      </c>
      <c r="P434" s="6"/>
    </row>
    <row r="435" spans="1:16" x14ac:dyDescent="0.25">
      <c r="A435" s="2" t="s">
        <v>545</v>
      </c>
      <c r="B435" s="6">
        <f t="shared" si="37"/>
        <v>434</v>
      </c>
      <c r="C435" s="75">
        <v>11901</v>
      </c>
      <c r="D435" s="76" t="s">
        <v>531</v>
      </c>
      <c r="E435" s="76" t="s">
        <v>514</v>
      </c>
      <c r="F435" s="77">
        <v>30</v>
      </c>
      <c r="G435" s="78">
        <v>24</v>
      </c>
      <c r="H435" s="27">
        <v>20870.456697435897</v>
      </c>
      <c r="I435" s="27">
        <v>1800</v>
      </c>
      <c r="J435" s="27">
        <v>124.0956752307692</v>
      </c>
      <c r="K435" s="27">
        <v>200</v>
      </c>
      <c r="L435" s="27">
        <v>2124.0956752307693</v>
      </c>
      <c r="M435" s="27">
        <v>18746</v>
      </c>
      <c r="N435" s="8">
        <v>1950</v>
      </c>
      <c r="O435" s="27">
        <v>537.74792599999989</v>
      </c>
      <c r="P435" s="6"/>
    </row>
    <row r="436" spans="1:16" x14ac:dyDescent="0.25">
      <c r="A436" s="2" t="s">
        <v>545</v>
      </c>
      <c r="B436" s="6">
        <f t="shared" si="37"/>
        <v>435</v>
      </c>
      <c r="C436" s="75">
        <v>12040</v>
      </c>
      <c r="D436" s="76" t="s">
        <v>532</v>
      </c>
      <c r="E436" s="76" t="s">
        <v>523</v>
      </c>
      <c r="F436" s="77">
        <v>30</v>
      </c>
      <c r="G436" s="78">
        <v>29</v>
      </c>
      <c r="H436" s="27">
        <v>19993.19212051282</v>
      </c>
      <c r="I436" s="27">
        <v>1800</v>
      </c>
      <c r="J436" s="27">
        <v>149.94894090384614</v>
      </c>
      <c r="K436" s="27">
        <v>150</v>
      </c>
      <c r="L436" s="27">
        <v>2099.9489409038461</v>
      </c>
      <c r="M436" s="27">
        <v>17893</v>
      </c>
      <c r="N436" s="8">
        <v>1950</v>
      </c>
      <c r="O436" s="27">
        <v>649.7787439166666</v>
      </c>
      <c r="P436" s="6"/>
    </row>
    <row r="437" spans="1:16" x14ac:dyDescent="0.25">
      <c r="A437" s="2" t="s">
        <v>545</v>
      </c>
      <c r="B437" s="6">
        <f t="shared" si="37"/>
        <v>436</v>
      </c>
      <c r="C437" s="75">
        <v>12038</v>
      </c>
      <c r="D437" s="76" t="s">
        <v>533</v>
      </c>
      <c r="E437" s="76" t="s">
        <v>523</v>
      </c>
      <c r="F437" s="77">
        <v>30</v>
      </c>
      <c r="G437" s="78">
        <v>29</v>
      </c>
      <c r="H437" s="27">
        <v>19993.19212051282</v>
      </c>
      <c r="I437" s="27">
        <v>1800</v>
      </c>
      <c r="J437" s="27">
        <v>149.94894090384614</v>
      </c>
      <c r="K437" s="27">
        <v>150</v>
      </c>
      <c r="L437" s="27">
        <v>2099.9489409038461</v>
      </c>
      <c r="M437" s="27">
        <v>17893</v>
      </c>
      <c r="N437" s="8">
        <v>1950</v>
      </c>
      <c r="O437" s="27">
        <v>649.7787439166666</v>
      </c>
      <c r="P437" s="6"/>
    </row>
    <row r="438" spans="1:16" x14ac:dyDescent="0.25">
      <c r="A438" s="2" t="s">
        <v>545</v>
      </c>
      <c r="B438" s="6">
        <f t="shared" si="37"/>
        <v>437</v>
      </c>
      <c r="C438" s="75">
        <v>12036</v>
      </c>
      <c r="D438" s="76" t="s">
        <v>534</v>
      </c>
      <c r="E438" s="76" t="s">
        <v>523</v>
      </c>
      <c r="F438" s="77">
        <v>30</v>
      </c>
      <c r="G438" s="78">
        <v>7</v>
      </c>
      <c r="H438" s="27">
        <v>4825.9429256410258</v>
      </c>
      <c r="I438" s="27">
        <v>495.16915107692313</v>
      </c>
      <c r="J438" s="27">
        <v>36.194571942307689</v>
      </c>
      <c r="K438" s="27">
        <v>0</v>
      </c>
      <c r="L438" s="27">
        <v>531.36372301923086</v>
      </c>
      <c r="M438" s="27">
        <v>4295</v>
      </c>
      <c r="N438" s="8">
        <v>536.43324700000005</v>
      </c>
      <c r="O438" s="27">
        <v>156.84314508333333</v>
      </c>
      <c r="P438" s="6"/>
    </row>
    <row r="439" spans="1:16" x14ac:dyDescent="0.25">
      <c r="A439" s="2" t="s">
        <v>545</v>
      </c>
      <c r="B439" s="6">
        <f t="shared" si="37"/>
        <v>438</v>
      </c>
      <c r="C439" s="75">
        <v>11911</v>
      </c>
      <c r="D439" s="76" t="s">
        <v>535</v>
      </c>
      <c r="E439" s="76" t="s">
        <v>514</v>
      </c>
      <c r="F439" s="77">
        <v>30</v>
      </c>
      <c r="G439" s="78">
        <v>18</v>
      </c>
      <c r="H439" s="27">
        <v>13645.100856410256</v>
      </c>
      <c r="I439" s="27">
        <v>1421.5561027692306</v>
      </c>
      <c r="J439" s="27">
        <v>93.07175642307692</v>
      </c>
      <c r="K439" s="27">
        <v>0</v>
      </c>
      <c r="L439" s="27">
        <v>1514.6278591923076</v>
      </c>
      <c r="M439" s="27">
        <v>12130</v>
      </c>
      <c r="N439" s="8">
        <v>1540.0191113333331</v>
      </c>
      <c r="O439" s="27">
        <v>403.31094450000001</v>
      </c>
      <c r="P439" s="6"/>
    </row>
    <row r="440" spans="1:16" x14ac:dyDescent="0.25">
      <c r="A440" s="2" t="s">
        <v>545</v>
      </c>
      <c r="B440" s="6">
        <f t="shared" si="37"/>
        <v>439</v>
      </c>
      <c r="C440" s="75">
        <v>12115</v>
      </c>
      <c r="D440" s="76" t="s">
        <v>536</v>
      </c>
      <c r="E440" s="76" t="s">
        <v>514</v>
      </c>
      <c r="F440" s="77">
        <v>30</v>
      </c>
      <c r="G440" s="78">
        <v>14</v>
      </c>
      <c r="H440" s="27">
        <v>9651.8858512820516</v>
      </c>
      <c r="I440" s="27">
        <v>990.33830215384626</v>
      </c>
      <c r="J440" s="27">
        <v>72.389143884615379</v>
      </c>
      <c r="K440" s="27">
        <v>0</v>
      </c>
      <c r="L440" s="27">
        <v>1062.7274460384617</v>
      </c>
      <c r="M440" s="27">
        <v>8589</v>
      </c>
      <c r="N440" s="8">
        <v>1072.8664940000001</v>
      </c>
      <c r="O440" s="27">
        <v>313.68629016666665</v>
      </c>
      <c r="P440" s="6"/>
    </row>
    <row r="441" spans="1:16" x14ac:dyDescent="0.25">
      <c r="A441" s="2" t="s">
        <v>545</v>
      </c>
      <c r="B441" s="6">
        <f t="shared" si="37"/>
        <v>440</v>
      </c>
      <c r="C441" s="75">
        <v>2</v>
      </c>
      <c r="D441" s="76" t="s">
        <v>537</v>
      </c>
      <c r="E441" s="76" t="s">
        <v>514</v>
      </c>
      <c r="F441" s="77">
        <v>30</v>
      </c>
      <c r="G441" s="78">
        <v>29</v>
      </c>
      <c r="H441" s="27">
        <v>19993.19212051282</v>
      </c>
      <c r="I441" s="27">
        <v>1800</v>
      </c>
      <c r="J441" s="27">
        <v>149.94894090384614</v>
      </c>
      <c r="K441" s="27">
        <v>150</v>
      </c>
      <c r="L441" s="27">
        <v>2099.9489409038461</v>
      </c>
      <c r="M441" s="27">
        <v>17893</v>
      </c>
      <c r="N441" s="8">
        <v>1950</v>
      </c>
      <c r="O441" s="27">
        <v>649.7787439166666</v>
      </c>
      <c r="P441" s="6"/>
    </row>
    <row r="442" spans="1:16" x14ac:dyDescent="0.25">
      <c r="A442" s="2" t="s">
        <v>545</v>
      </c>
      <c r="B442" s="6">
        <f t="shared" si="37"/>
        <v>441</v>
      </c>
      <c r="C442" s="75">
        <v>4</v>
      </c>
      <c r="D442" s="76" t="s">
        <v>538</v>
      </c>
      <c r="E442" s="76" t="s">
        <v>514</v>
      </c>
      <c r="F442" s="77">
        <v>30</v>
      </c>
      <c r="G442" s="78">
        <v>20</v>
      </c>
      <c r="H442" s="27">
        <v>14406.175025641025</v>
      </c>
      <c r="I442" s="27">
        <v>1488.901003076923</v>
      </c>
      <c r="J442" s="27">
        <v>103.41306269230769</v>
      </c>
      <c r="K442" s="27">
        <v>0</v>
      </c>
      <c r="L442" s="27">
        <v>1592.3140657692306</v>
      </c>
      <c r="M442" s="27">
        <v>12814</v>
      </c>
      <c r="N442" s="8">
        <v>1612.9760866666666</v>
      </c>
      <c r="O442" s="27">
        <v>448.12327166666665</v>
      </c>
      <c r="P442" s="6"/>
    </row>
    <row r="443" spans="1:16" x14ac:dyDescent="0.25">
      <c r="A443" s="2" t="s">
        <v>545</v>
      </c>
      <c r="B443" s="6">
        <f t="shared" si="37"/>
        <v>442</v>
      </c>
      <c r="C443" s="75">
        <v>12114</v>
      </c>
      <c r="D443" s="76" t="s">
        <v>539</v>
      </c>
      <c r="E443" s="76" t="s">
        <v>514</v>
      </c>
      <c r="F443" s="77">
        <v>30</v>
      </c>
      <c r="G443" s="78">
        <v>16</v>
      </c>
      <c r="H443" s="27">
        <v>11030.726687179487</v>
      </c>
      <c r="I443" s="27">
        <v>1131.8152024615385</v>
      </c>
      <c r="J443" s="27">
        <v>82.730450153846149</v>
      </c>
      <c r="K443" s="27">
        <v>0</v>
      </c>
      <c r="L443" s="27">
        <v>1214.5456526153846</v>
      </c>
      <c r="M443" s="27">
        <v>9816</v>
      </c>
      <c r="N443" s="8">
        <v>1226.1331360000001</v>
      </c>
      <c r="O443" s="27">
        <v>358.49861733333336</v>
      </c>
      <c r="P443" s="6"/>
    </row>
    <row r="444" spans="1:16" x14ac:dyDescent="0.25">
      <c r="A444" s="2" t="s">
        <v>545</v>
      </c>
      <c r="B444" s="6">
        <f t="shared" si="37"/>
        <v>443</v>
      </c>
      <c r="C444" s="75">
        <v>5</v>
      </c>
      <c r="D444" s="76" t="s">
        <v>540</v>
      </c>
      <c r="E444" s="76" t="s">
        <v>514</v>
      </c>
      <c r="F444" s="77">
        <v>30</v>
      </c>
      <c r="G444" s="78">
        <v>15</v>
      </c>
      <c r="H444" s="27">
        <v>10341.30626923077</v>
      </c>
      <c r="I444" s="27">
        <v>1061.0767523076925</v>
      </c>
      <c r="J444" s="27">
        <v>77.559797019230771</v>
      </c>
      <c r="K444" s="27">
        <v>0</v>
      </c>
      <c r="L444" s="27">
        <v>1138.6365493269232</v>
      </c>
      <c r="M444" s="27">
        <v>9203</v>
      </c>
      <c r="N444" s="8">
        <v>1149.4998150000001</v>
      </c>
      <c r="O444" s="27">
        <v>336.09245375</v>
      </c>
      <c r="P444" s="6"/>
    </row>
    <row r="445" spans="1:16" x14ac:dyDescent="0.25">
      <c r="A445" s="2" t="s">
        <v>545</v>
      </c>
      <c r="B445" s="6">
        <f t="shared" si="37"/>
        <v>444</v>
      </c>
      <c r="C445" s="75">
        <v>12124</v>
      </c>
      <c r="D445" s="76" t="s">
        <v>541</v>
      </c>
      <c r="E445" s="76" t="s">
        <v>514</v>
      </c>
      <c r="F445" s="77">
        <v>30</v>
      </c>
      <c r="G445" s="78">
        <v>10</v>
      </c>
      <c r="H445" s="27">
        <v>7511.9708461538457</v>
      </c>
      <c r="I445" s="27">
        <v>781.51650153846151</v>
      </c>
      <c r="J445" s="27">
        <v>51.706531346153845</v>
      </c>
      <c r="K445" s="27">
        <v>0</v>
      </c>
      <c r="L445" s="27">
        <v>833.22303288461535</v>
      </c>
      <c r="M445" s="27">
        <v>6679</v>
      </c>
      <c r="N445" s="8">
        <v>846.64287666666667</v>
      </c>
      <c r="O445" s="27">
        <v>224.06163583333333</v>
      </c>
      <c r="P445" s="6"/>
    </row>
    <row r="446" spans="1:16" x14ac:dyDescent="0.25">
      <c r="A446" s="2" t="s">
        <v>545</v>
      </c>
      <c r="B446" s="6">
        <f t="shared" si="37"/>
        <v>445</v>
      </c>
      <c r="C446" s="75">
        <v>11539</v>
      </c>
      <c r="D446" s="76" t="s">
        <v>542</v>
      </c>
      <c r="E446" s="76" t="s">
        <v>514</v>
      </c>
      <c r="F446" s="77">
        <v>30</v>
      </c>
      <c r="G446" s="78">
        <v>5</v>
      </c>
      <c r="H446" s="27">
        <v>3447.1020897435897</v>
      </c>
      <c r="I446" s="27">
        <v>353.69225076923078</v>
      </c>
      <c r="J446" s="27">
        <v>25.853265673076923</v>
      </c>
      <c r="K446" s="27">
        <v>0</v>
      </c>
      <c r="L446" s="27">
        <v>379.5455164423077</v>
      </c>
      <c r="M446" s="27">
        <v>3068</v>
      </c>
      <c r="N446" s="8">
        <v>383.16660500000006</v>
      </c>
      <c r="O446" s="27">
        <v>112.03081791666666</v>
      </c>
      <c r="P446" s="6"/>
    </row>
    <row r="447" spans="1:16" x14ac:dyDescent="0.25">
      <c r="A447" s="2" t="s">
        <v>545</v>
      </c>
      <c r="B447" s="6">
        <f t="shared" si="37"/>
        <v>446</v>
      </c>
      <c r="C447" s="75">
        <v>12130</v>
      </c>
      <c r="D447" s="76" t="s">
        <v>543</v>
      </c>
      <c r="E447" s="76" t="s">
        <v>514</v>
      </c>
      <c r="F447" s="77">
        <v>30</v>
      </c>
      <c r="G447" s="78">
        <v>18</v>
      </c>
      <c r="H447" s="27">
        <v>12409.567523076923</v>
      </c>
      <c r="I447" s="27">
        <v>1273.2921027692307</v>
      </c>
      <c r="J447" s="27">
        <v>93.07175642307692</v>
      </c>
      <c r="K447" s="27">
        <v>0</v>
      </c>
      <c r="L447" s="27">
        <v>1366.3638591923077</v>
      </c>
      <c r="M447" s="27">
        <v>11043</v>
      </c>
      <c r="N447" s="8">
        <v>1379.399778</v>
      </c>
      <c r="O447" s="27">
        <v>403.31094450000001</v>
      </c>
      <c r="P447" s="6"/>
    </row>
    <row r="448" spans="1:16" x14ac:dyDescent="0.25">
      <c r="A448" s="2" t="s">
        <v>545</v>
      </c>
      <c r="B448" s="6">
        <f t="shared" si="37"/>
        <v>447</v>
      </c>
      <c r="C448" s="75">
        <v>11902</v>
      </c>
      <c r="D448" s="76" t="s">
        <v>544</v>
      </c>
      <c r="E448" s="76" t="s">
        <v>514</v>
      </c>
      <c r="F448" s="77">
        <v>30</v>
      </c>
      <c r="G448" s="78">
        <v>22</v>
      </c>
      <c r="H448" s="27">
        <v>23198.215861538461</v>
      </c>
      <c r="I448" s="27">
        <v>1800</v>
      </c>
      <c r="J448" s="27">
        <v>113.75436896153845</v>
      </c>
      <c r="K448" s="27">
        <v>200</v>
      </c>
      <c r="L448" s="27">
        <v>2113.7543689615386</v>
      </c>
      <c r="M448" s="27">
        <v>21084</v>
      </c>
      <c r="N448" s="8">
        <v>1950</v>
      </c>
      <c r="O448" s="27">
        <v>492.93559883333324</v>
      </c>
      <c r="P448" s="6"/>
    </row>
    <row r="449" spans="1:16" x14ac:dyDescent="0.25">
      <c r="A449" s="2" t="s">
        <v>547</v>
      </c>
      <c r="B449" s="6">
        <f t="shared" si="37"/>
        <v>448</v>
      </c>
      <c r="C449" s="16">
        <v>10324</v>
      </c>
      <c r="D449" s="6" t="s">
        <v>546</v>
      </c>
      <c r="E449" s="2" t="s">
        <v>137</v>
      </c>
      <c r="F449" s="2">
        <v>31</v>
      </c>
      <c r="G449" s="2">
        <v>31</v>
      </c>
      <c r="H449" s="1">
        <v>21693.253399999998</v>
      </c>
      <c r="I449" s="1">
        <v>1800</v>
      </c>
      <c r="J449" s="1">
        <v>0</v>
      </c>
      <c r="K449" s="1">
        <v>200</v>
      </c>
      <c r="L449" s="1">
        <v>2000</v>
      </c>
      <c r="M449" s="1">
        <v>19693.253399999998</v>
      </c>
      <c r="N449" s="8">
        <v>1950</v>
      </c>
      <c r="O449" s="14"/>
      <c r="P449" s="6"/>
    </row>
    <row r="450" spans="1:16" x14ac:dyDescent="0.25">
      <c r="A450" s="2" t="s">
        <v>569</v>
      </c>
      <c r="B450" s="6">
        <f t="shared" si="37"/>
        <v>449</v>
      </c>
      <c r="C450" s="70">
        <v>10413</v>
      </c>
      <c r="D450" s="79" t="s">
        <v>548</v>
      </c>
      <c r="E450" s="79" t="s">
        <v>360</v>
      </c>
      <c r="F450" s="6">
        <v>31</v>
      </c>
      <c r="G450" s="80">
        <v>30</v>
      </c>
      <c r="H450" s="81">
        <v>38598</v>
      </c>
      <c r="I450" s="1">
        <v>1800</v>
      </c>
      <c r="J450" s="1">
        <v>0</v>
      </c>
      <c r="K450" s="1">
        <v>200</v>
      </c>
      <c r="L450" s="1">
        <v>2000</v>
      </c>
      <c r="M450" s="1">
        <v>36598</v>
      </c>
      <c r="N450" s="8">
        <v>1950</v>
      </c>
      <c r="O450" s="1">
        <v>1600</v>
      </c>
      <c r="P450" s="1">
        <v>450</v>
      </c>
    </row>
    <row r="451" spans="1:16" x14ac:dyDescent="0.25">
      <c r="A451" s="2" t="s">
        <v>569</v>
      </c>
      <c r="B451" s="6">
        <f t="shared" ref="B451:B514" si="38">B450+1</f>
        <v>450</v>
      </c>
      <c r="C451" s="44">
        <v>11042</v>
      </c>
      <c r="D451" s="45" t="s">
        <v>468</v>
      </c>
      <c r="E451" s="79" t="s">
        <v>360</v>
      </c>
      <c r="F451" s="6">
        <v>31</v>
      </c>
      <c r="G451" s="80">
        <v>29</v>
      </c>
      <c r="H451" s="81">
        <v>26927</v>
      </c>
      <c r="I451" s="1">
        <v>1800</v>
      </c>
      <c r="J451" s="1">
        <v>0</v>
      </c>
      <c r="K451" s="1">
        <v>200</v>
      </c>
      <c r="L451" s="1">
        <v>2000</v>
      </c>
      <c r="M451" s="1">
        <v>24927</v>
      </c>
      <c r="N451" s="8">
        <v>1950</v>
      </c>
      <c r="O451" s="1">
        <v>1600</v>
      </c>
      <c r="P451" s="1">
        <v>450</v>
      </c>
    </row>
    <row r="452" spans="1:16" x14ac:dyDescent="0.25">
      <c r="A452" s="2" t="s">
        <v>569</v>
      </c>
      <c r="B452" s="6">
        <f t="shared" si="38"/>
        <v>451</v>
      </c>
      <c r="C452" s="44">
        <v>1</v>
      </c>
      <c r="D452" s="45" t="s">
        <v>549</v>
      </c>
      <c r="E452" s="79" t="s">
        <v>360</v>
      </c>
      <c r="F452" s="6">
        <v>31</v>
      </c>
      <c r="G452" s="80">
        <v>6</v>
      </c>
      <c r="H452" s="81">
        <v>5420</v>
      </c>
      <c r="I452" s="1">
        <v>517</v>
      </c>
      <c r="J452" s="1">
        <v>0</v>
      </c>
      <c r="K452" s="1">
        <v>0</v>
      </c>
      <c r="L452" s="1">
        <v>517</v>
      </c>
      <c r="M452" s="1">
        <v>4903</v>
      </c>
      <c r="N452" s="8">
        <v>560.08333333333337</v>
      </c>
      <c r="O452" s="1">
        <v>1600</v>
      </c>
      <c r="P452" s="1">
        <v>450</v>
      </c>
    </row>
    <row r="453" spans="1:16" x14ac:dyDescent="0.25">
      <c r="A453" s="2" t="s">
        <v>569</v>
      </c>
      <c r="B453" s="6">
        <f t="shared" si="38"/>
        <v>452</v>
      </c>
      <c r="C453" s="44">
        <v>10502</v>
      </c>
      <c r="D453" s="79" t="s">
        <v>550</v>
      </c>
      <c r="E453" s="79" t="s">
        <v>133</v>
      </c>
      <c r="F453" s="6">
        <v>31</v>
      </c>
      <c r="G453" s="80">
        <v>31</v>
      </c>
      <c r="H453" s="81">
        <v>23739</v>
      </c>
      <c r="I453" s="1">
        <v>1800</v>
      </c>
      <c r="J453" s="1">
        <v>0</v>
      </c>
      <c r="K453" s="1">
        <v>200</v>
      </c>
      <c r="L453" s="1">
        <v>2000</v>
      </c>
      <c r="M453" s="1">
        <v>21739</v>
      </c>
      <c r="N453" s="8">
        <v>1950</v>
      </c>
      <c r="O453" s="1">
        <v>1200</v>
      </c>
      <c r="P453" s="1">
        <v>450</v>
      </c>
    </row>
    <row r="454" spans="1:16" x14ac:dyDescent="0.25">
      <c r="A454" s="2" t="s">
        <v>569</v>
      </c>
      <c r="B454" s="6">
        <f t="shared" si="38"/>
        <v>453</v>
      </c>
      <c r="C454" s="44">
        <v>10886</v>
      </c>
      <c r="D454" s="79" t="s">
        <v>551</v>
      </c>
      <c r="E454" s="79" t="s">
        <v>133</v>
      </c>
      <c r="F454" s="6">
        <v>31</v>
      </c>
      <c r="G454" s="80">
        <v>28</v>
      </c>
      <c r="H454" s="81">
        <v>19871</v>
      </c>
      <c r="I454" s="1">
        <v>1800</v>
      </c>
      <c r="J454" s="1">
        <v>0</v>
      </c>
      <c r="K454" s="1">
        <v>150</v>
      </c>
      <c r="L454" s="1">
        <v>1950</v>
      </c>
      <c r="M454" s="1">
        <v>17921</v>
      </c>
      <c r="N454" s="8">
        <v>1950</v>
      </c>
      <c r="O454" s="1">
        <v>1200</v>
      </c>
      <c r="P454" s="1">
        <v>450</v>
      </c>
    </row>
    <row r="455" spans="1:16" x14ac:dyDescent="0.25">
      <c r="A455" s="2" t="s">
        <v>569</v>
      </c>
      <c r="B455" s="6">
        <f t="shared" si="38"/>
        <v>454</v>
      </c>
      <c r="C455" s="44">
        <v>11289</v>
      </c>
      <c r="D455" s="45" t="s">
        <v>552</v>
      </c>
      <c r="E455" s="79" t="s">
        <v>133</v>
      </c>
      <c r="F455" s="6">
        <v>31</v>
      </c>
      <c r="G455" s="80">
        <v>24</v>
      </c>
      <c r="H455" s="81">
        <v>23020</v>
      </c>
      <c r="I455" s="1">
        <v>1800</v>
      </c>
      <c r="J455" s="1">
        <v>0</v>
      </c>
      <c r="K455" s="1">
        <v>200</v>
      </c>
      <c r="L455" s="1">
        <v>2000</v>
      </c>
      <c r="M455" s="1">
        <v>21020</v>
      </c>
      <c r="N455" s="8">
        <v>1950</v>
      </c>
      <c r="O455" s="1">
        <v>1200</v>
      </c>
      <c r="P455" s="1">
        <v>450</v>
      </c>
    </row>
    <row r="456" spans="1:16" x14ac:dyDescent="0.25">
      <c r="A456" s="2" t="s">
        <v>569</v>
      </c>
      <c r="B456" s="6">
        <f t="shared" si="38"/>
        <v>455</v>
      </c>
      <c r="C456" s="44">
        <v>11388</v>
      </c>
      <c r="D456" s="79" t="s">
        <v>553</v>
      </c>
      <c r="E456" s="79" t="s">
        <v>133</v>
      </c>
      <c r="F456" s="6">
        <v>31</v>
      </c>
      <c r="G456" s="80">
        <v>25</v>
      </c>
      <c r="H456" s="81">
        <v>19690</v>
      </c>
      <c r="I456" s="1">
        <v>1800</v>
      </c>
      <c r="J456" s="1">
        <v>0</v>
      </c>
      <c r="K456" s="1">
        <v>150</v>
      </c>
      <c r="L456" s="1">
        <v>1950</v>
      </c>
      <c r="M456" s="1">
        <v>17740</v>
      </c>
      <c r="N456" s="8">
        <v>1950</v>
      </c>
      <c r="O456" s="1">
        <v>1200</v>
      </c>
      <c r="P456" s="1">
        <v>450</v>
      </c>
    </row>
    <row r="457" spans="1:16" x14ac:dyDescent="0.25">
      <c r="A457" s="2" t="s">
        <v>569</v>
      </c>
      <c r="B457" s="6">
        <f t="shared" si="38"/>
        <v>456</v>
      </c>
      <c r="C457" s="70">
        <v>10935</v>
      </c>
      <c r="D457" s="45" t="s">
        <v>554</v>
      </c>
      <c r="E457" s="79" t="s">
        <v>133</v>
      </c>
      <c r="F457" s="6">
        <v>31</v>
      </c>
      <c r="G457" s="80">
        <v>26</v>
      </c>
      <c r="H457" s="81">
        <v>20807</v>
      </c>
      <c r="I457" s="1">
        <v>1800</v>
      </c>
      <c r="J457" s="1">
        <v>0</v>
      </c>
      <c r="K457" s="1">
        <v>200</v>
      </c>
      <c r="L457" s="1">
        <v>2000</v>
      </c>
      <c r="M457" s="1">
        <v>18807</v>
      </c>
      <c r="N457" s="8">
        <v>1950</v>
      </c>
      <c r="O457" s="1">
        <v>1200</v>
      </c>
      <c r="P457" s="1">
        <v>450</v>
      </c>
    </row>
    <row r="458" spans="1:16" x14ac:dyDescent="0.25">
      <c r="A458" s="2" t="s">
        <v>569</v>
      </c>
      <c r="B458" s="6">
        <f t="shared" si="38"/>
        <v>457</v>
      </c>
      <c r="C458" s="70">
        <v>11006</v>
      </c>
      <c r="D458" s="79" t="s">
        <v>555</v>
      </c>
      <c r="E458" s="79" t="s">
        <v>383</v>
      </c>
      <c r="F458" s="6">
        <v>31</v>
      </c>
      <c r="G458" s="80">
        <v>30</v>
      </c>
      <c r="H458" s="81">
        <v>22710</v>
      </c>
      <c r="I458" s="1">
        <v>1800</v>
      </c>
      <c r="J458" s="1">
        <v>0</v>
      </c>
      <c r="K458" s="1">
        <v>200</v>
      </c>
      <c r="L458" s="1">
        <v>2000</v>
      </c>
      <c r="M458" s="1">
        <v>20710</v>
      </c>
      <c r="N458" s="8">
        <v>1950</v>
      </c>
      <c r="O458" s="1">
        <v>1200</v>
      </c>
      <c r="P458" s="1">
        <v>450</v>
      </c>
    </row>
    <row r="459" spans="1:16" x14ac:dyDescent="0.25">
      <c r="A459" s="2" t="s">
        <v>569</v>
      </c>
      <c r="B459" s="6">
        <f t="shared" si="38"/>
        <v>458</v>
      </c>
      <c r="C459" s="7">
        <v>11517</v>
      </c>
      <c r="D459" s="45" t="s">
        <v>556</v>
      </c>
      <c r="E459" s="79" t="s">
        <v>383</v>
      </c>
      <c r="F459" s="6">
        <v>31</v>
      </c>
      <c r="G459" s="80">
        <v>25</v>
      </c>
      <c r="H459" s="81">
        <v>18452</v>
      </c>
      <c r="I459" s="1">
        <v>1800</v>
      </c>
      <c r="J459" s="1">
        <v>0</v>
      </c>
      <c r="K459" s="1">
        <v>150</v>
      </c>
      <c r="L459" s="1">
        <v>1950</v>
      </c>
      <c r="M459" s="1">
        <v>16502</v>
      </c>
      <c r="N459" s="8">
        <v>1950</v>
      </c>
      <c r="O459" s="1">
        <v>1200</v>
      </c>
      <c r="P459" s="1">
        <v>450</v>
      </c>
    </row>
    <row r="460" spans="1:16" x14ac:dyDescent="0.25">
      <c r="A460" s="2" t="s">
        <v>569</v>
      </c>
      <c r="B460" s="6">
        <f t="shared" si="38"/>
        <v>459</v>
      </c>
      <c r="C460" s="44">
        <v>11025</v>
      </c>
      <c r="D460" s="2" t="s">
        <v>557</v>
      </c>
      <c r="E460" s="79" t="s">
        <v>362</v>
      </c>
      <c r="F460" s="6">
        <v>31</v>
      </c>
      <c r="G460" s="80">
        <v>26</v>
      </c>
      <c r="H460" s="81">
        <v>21000</v>
      </c>
      <c r="I460" s="1">
        <v>1800</v>
      </c>
      <c r="J460" s="1">
        <v>0</v>
      </c>
      <c r="K460" s="1">
        <v>200</v>
      </c>
      <c r="L460" s="1">
        <v>2000</v>
      </c>
      <c r="M460" s="1">
        <v>19000</v>
      </c>
      <c r="N460" s="8">
        <v>1950</v>
      </c>
      <c r="O460" s="1">
        <v>1200</v>
      </c>
      <c r="P460" s="1">
        <v>450</v>
      </c>
    </row>
    <row r="461" spans="1:16" x14ac:dyDescent="0.25">
      <c r="A461" s="2" t="s">
        <v>569</v>
      </c>
      <c r="B461" s="6">
        <f t="shared" si="38"/>
        <v>460</v>
      </c>
      <c r="C461" s="7">
        <v>11491</v>
      </c>
      <c r="D461" s="45" t="s">
        <v>558</v>
      </c>
      <c r="E461" s="79" t="s">
        <v>362</v>
      </c>
      <c r="F461" s="6">
        <v>31</v>
      </c>
      <c r="G461" s="80">
        <v>29</v>
      </c>
      <c r="H461" s="81">
        <v>27048</v>
      </c>
      <c r="I461" s="1">
        <v>1800</v>
      </c>
      <c r="J461" s="1">
        <v>0</v>
      </c>
      <c r="K461" s="1">
        <v>200</v>
      </c>
      <c r="L461" s="1">
        <v>2000</v>
      </c>
      <c r="M461" s="1">
        <v>25048</v>
      </c>
      <c r="N461" s="8">
        <v>1950</v>
      </c>
      <c r="O461" s="1">
        <v>1200</v>
      </c>
      <c r="P461" s="1">
        <v>450</v>
      </c>
    </row>
    <row r="462" spans="1:16" x14ac:dyDescent="0.25">
      <c r="A462" s="2" t="s">
        <v>569</v>
      </c>
      <c r="B462" s="6">
        <f t="shared" si="38"/>
        <v>461</v>
      </c>
      <c r="C462" s="7">
        <v>11723</v>
      </c>
      <c r="D462" s="45" t="s">
        <v>559</v>
      </c>
      <c r="E462" s="79" t="s">
        <v>362</v>
      </c>
      <c r="F462" s="6">
        <v>31</v>
      </c>
      <c r="G462" s="80">
        <v>30</v>
      </c>
      <c r="H462" s="81">
        <v>27049</v>
      </c>
      <c r="I462" s="1">
        <v>1800</v>
      </c>
      <c r="J462" s="1">
        <v>0</v>
      </c>
      <c r="K462" s="1">
        <v>200</v>
      </c>
      <c r="L462" s="1">
        <v>2000</v>
      </c>
      <c r="M462" s="1">
        <v>25049</v>
      </c>
      <c r="N462" s="8">
        <v>1950</v>
      </c>
      <c r="O462" s="1">
        <v>1200</v>
      </c>
      <c r="P462" s="1">
        <v>450</v>
      </c>
    </row>
    <row r="463" spans="1:16" x14ac:dyDescent="0.25">
      <c r="A463" s="2" t="s">
        <v>569</v>
      </c>
      <c r="B463" s="6">
        <f t="shared" si="38"/>
        <v>462</v>
      </c>
      <c r="C463" s="7">
        <v>10396</v>
      </c>
      <c r="D463" s="45" t="s">
        <v>560</v>
      </c>
      <c r="E463" s="79" t="s">
        <v>336</v>
      </c>
      <c r="F463" s="6">
        <v>31</v>
      </c>
      <c r="G463" s="80">
        <v>29</v>
      </c>
      <c r="H463" s="81">
        <v>37123</v>
      </c>
      <c r="I463" s="1">
        <v>1800</v>
      </c>
      <c r="J463" s="1">
        <v>0</v>
      </c>
      <c r="K463" s="1">
        <v>200</v>
      </c>
      <c r="L463" s="1">
        <v>2000</v>
      </c>
      <c r="M463" s="1">
        <v>35123</v>
      </c>
      <c r="N463" s="8">
        <v>1950</v>
      </c>
      <c r="O463" s="1">
        <v>1200</v>
      </c>
      <c r="P463" s="1">
        <v>450</v>
      </c>
    </row>
    <row r="464" spans="1:16" x14ac:dyDescent="0.25">
      <c r="A464" s="2" t="s">
        <v>569</v>
      </c>
      <c r="B464" s="6">
        <f t="shared" si="38"/>
        <v>463</v>
      </c>
      <c r="C464" s="7">
        <v>10746</v>
      </c>
      <c r="D464" s="45" t="s">
        <v>561</v>
      </c>
      <c r="E464" s="79" t="s">
        <v>336</v>
      </c>
      <c r="F464" s="6">
        <v>31</v>
      </c>
      <c r="G464" s="80">
        <v>31</v>
      </c>
      <c r="H464" s="81">
        <v>25622</v>
      </c>
      <c r="I464" s="1">
        <v>1800</v>
      </c>
      <c r="J464" s="1">
        <v>0</v>
      </c>
      <c r="K464" s="1">
        <v>200</v>
      </c>
      <c r="L464" s="1">
        <v>2000</v>
      </c>
      <c r="M464" s="1">
        <v>23622</v>
      </c>
      <c r="N464" s="8">
        <v>1950</v>
      </c>
      <c r="O464" s="1">
        <v>1200</v>
      </c>
      <c r="P464" s="1">
        <v>450</v>
      </c>
    </row>
    <row r="465" spans="1:16" x14ac:dyDescent="0.25">
      <c r="A465" s="2" t="s">
        <v>569</v>
      </c>
      <c r="B465" s="6">
        <f t="shared" si="38"/>
        <v>464</v>
      </c>
      <c r="C465" s="7">
        <v>11345</v>
      </c>
      <c r="D465" s="45" t="s">
        <v>562</v>
      </c>
      <c r="E465" s="2" t="s">
        <v>336</v>
      </c>
      <c r="F465" s="6">
        <v>31</v>
      </c>
      <c r="G465" s="80">
        <v>10</v>
      </c>
      <c r="H465" s="81">
        <v>8871</v>
      </c>
      <c r="I465" s="1">
        <v>1065</v>
      </c>
      <c r="J465" s="1">
        <v>0</v>
      </c>
      <c r="K465" s="1">
        <v>0</v>
      </c>
      <c r="L465" s="1">
        <v>1065</v>
      </c>
      <c r="M465" s="1">
        <v>7806</v>
      </c>
      <c r="N465" s="8">
        <v>1153.75</v>
      </c>
      <c r="O465" s="1">
        <v>1200</v>
      </c>
      <c r="P465" s="1">
        <v>450</v>
      </c>
    </row>
    <row r="466" spans="1:16" x14ac:dyDescent="0.25">
      <c r="A466" s="2" t="s">
        <v>569</v>
      </c>
      <c r="B466" s="6">
        <f t="shared" si="38"/>
        <v>465</v>
      </c>
      <c r="C466" s="7">
        <v>10397</v>
      </c>
      <c r="D466" s="45" t="s">
        <v>563</v>
      </c>
      <c r="E466" s="79" t="s">
        <v>458</v>
      </c>
      <c r="F466" s="6">
        <v>31</v>
      </c>
      <c r="G466" s="80">
        <v>29</v>
      </c>
      <c r="H466" s="81">
        <v>24228</v>
      </c>
      <c r="I466" s="1">
        <v>1800</v>
      </c>
      <c r="J466" s="1">
        <v>0</v>
      </c>
      <c r="K466" s="1">
        <v>200</v>
      </c>
      <c r="L466" s="1">
        <v>2000</v>
      </c>
      <c r="M466" s="1">
        <v>22228</v>
      </c>
      <c r="N466" s="8">
        <v>1950</v>
      </c>
      <c r="O466" s="1">
        <v>1600</v>
      </c>
      <c r="P466" s="1">
        <v>450</v>
      </c>
    </row>
    <row r="467" spans="1:16" x14ac:dyDescent="0.25">
      <c r="A467" s="2" t="s">
        <v>569</v>
      </c>
      <c r="B467" s="6">
        <f t="shared" si="38"/>
        <v>466</v>
      </c>
      <c r="C467" s="7">
        <v>10437</v>
      </c>
      <c r="D467" s="45" t="s">
        <v>564</v>
      </c>
      <c r="E467" s="79" t="s">
        <v>565</v>
      </c>
      <c r="F467" s="6">
        <v>31</v>
      </c>
      <c r="G467" s="80">
        <v>20</v>
      </c>
      <c r="H467" s="81">
        <v>16709</v>
      </c>
      <c r="I467" s="1">
        <v>1561</v>
      </c>
      <c r="J467" s="1">
        <v>0</v>
      </c>
      <c r="K467" s="1">
        <v>150</v>
      </c>
      <c r="L467" s="1">
        <v>1711</v>
      </c>
      <c r="M467" s="1">
        <v>14998</v>
      </c>
      <c r="N467" s="8">
        <v>1691.0833333333333</v>
      </c>
      <c r="O467" s="1">
        <v>1600</v>
      </c>
      <c r="P467" s="1">
        <v>450</v>
      </c>
    </row>
    <row r="468" spans="1:16" x14ac:dyDescent="0.25">
      <c r="A468" s="2" t="s">
        <v>569</v>
      </c>
      <c r="B468" s="6">
        <f t="shared" si="38"/>
        <v>467</v>
      </c>
      <c r="C468" s="7">
        <v>11851</v>
      </c>
      <c r="D468" s="45" t="s">
        <v>566</v>
      </c>
      <c r="E468" s="79" t="s">
        <v>415</v>
      </c>
      <c r="F468" s="6">
        <v>31</v>
      </c>
      <c r="G468" s="80">
        <v>24</v>
      </c>
      <c r="H468" s="81">
        <v>20050</v>
      </c>
      <c r="I468" s="1">
        <v>1800</v>
      </c>
      <c r="J468" s="1">
        <v>0</v>
      </c>
      <c r="K468" s="1">
        <v>200</v>
      </c>
      <c r="L468" s="1">
        <v>2000</v>
      </c>
      <c r="M468" s="1">
        <v>18050</v>
      </c>
      <c r="N468" s="8">
        <v>1950</v>
      </c>
      <c r="O468" s="1">
        <v>1600</v>
      </c>
      <c r="P468" s="1">
        <v>450</v>
      </c>
    </row>
    <row r="469" spans="1:16" x14ac:dyDescent="0.25">
      <c r="A469" s="2" t="s">
        <v>569</v>
      </c>
      <c r="B469" s="6">
        <f t="shared" si="38"/>
        <v>468</v>
      </c>
      <c r="C469" s="7">
        <v>10789</v>
      </c>
      <c r="D469" s="45" t="s">
        <v>567</v>
      </c>
      <c r="E469" s="79" t="s">
        <v>568</v>
      </c>
      <c r="F469" s="6">
        <v>31</v>
      </c>
      <c r="G469" s="80">
        <v>24</v>
      </c>
      <c r="H469" s="81">
        <v>20050</v>
      </c>
      <c r="I469" s="1">
        <v>1800</v>
      </c>
      <c r="J469" s="1">
        <v>0</v>
      </c>
      <c r="K469" s="1">
        <v>200</v>
      </c>
      <c r="L469" s="1">
        <v>2000</v>
      </c>
      <c r="M469" s="1">
        <v>18050</v>
      </c>
      <c r="N469" s="8">
        <v>1950</v>
      </c>
      <c r="O469" s="1">
        <v>1600</v>
      </c>
      <c r="P469" s="1">
        <v>450</v>
      </c>
    </row>
    <row r="470" spans="1:16" x14ac:dyDescent="0.25">
      <c r="A470" s="2" t="s">
        <v>585</v>
      </c>
      <c r="B470" s="6">
        <f t="shared" si="38"/>
        <v>469</v>
      </c>
      <c r="C470" s="4">
        <v>10410</v>
      </c>
      <c r="D470" s="3" t="s">
        <v>570</v>
      </c>
      <c r="E470" s="3" t="s">
        <v>571</v>
      </c>
      <c r="F470" s="3">
        <v>31</v>
      </c>
      <c r="G470" s="82">
        <v>30</v>
      </c>
      <c r="H470" s="81">
        <v>40000</v>
      </c>
      <c r="I470" s="1">
        <v>1800</v>
      </c>
      <c r="J470" s="1">
        <v>0</v>
      </c>
      <c r="K470" s="1">
        <v>200</v>
      </c>
      <c r="L470" s="1">
        <v>2000</v>
      </c>
      <c r="M470" s="83">
        <v>38000</v>
      </c>
      <c r="N470" s="8">
        <v>1950</v>
      </c>
      <c r="O470" s="1">
        <v>1600</v>
      </c>
      <c r="P470" s="1">
        <v>450</v>
      </c>
    </row>
    <row r="471" spans="1:16" x14ac:dyDescent="0.25">
      <c r="A471" s="2" t="s">
        <v>585</v>
      </c>
      <c r="B471" s="6">
        <f t="shared" si="38"/>
        <v>470</v>
      </c>
      <c r="C471" s="44">
        <v>11274</v>
      </c>
      <c r="D471" s="45" t="s">
        <v>572</v>
      </c>
      <c r="E471" s="79" t="s">
        <v>360</v>
      </c>
      <c r="F471" s="3">
        <v>31</v>
      </c>
      <c r="G471" s="82">
        <v>30</v>
      </c>
      <c r="H471" s="81">
        <v>26501</v>
      </c>
      <c r="I471" s="1">
        <v>1800</v>
      </c>
      <c r="J471" s="1">
        <v>0</v>
      </c>
      <c r="K471" s="1">
        <v>200</v>
      </c>
      <c r="L471" s="1">
        <v>2000</v>
      </c>
      <c r="M471" s="83">
        <v>24501</v>
      </c>
      <c r="N471" s="8">
        <v>1950</v>
      </c>
      <c r="O471" s="1">
        <v>1600</v>
      </c>
      <c r="P471" s="1">
        <v>450</v>
      </c>
    </row>
    <row r="472" spans="1:16" x14ac:dyDescent="0.25">
      <c r="A472" s="2" t="s">
        <v>585</v>
      </c>
      <c r="B472" s="6">
        <f t="shared" si="38"/>
        <v>471</v>
      </c>
      <c r="C472" s="44">
        <v>12049</v>
      </c>
      <c r="D472" s="45" t="s">
        <v>573</v>
      </c>
      <c r="E472" s="79" t="s">
        <v>360</v>
      </c>
      <c r="F472" s="3">
        <v>31</v>
      </c>
      <c r="G472" s="82">
        <v>28</v>
      </c>
      <c r="H472" s="81">
        <v>26839</v>
      </c>
      <c r="I472" s="1">
        <v>1800</v>
      </c>
      <c r="J472" s="1">
        <v>0</v>
      </c>
      <c r="K472" s="1">
        <v>200</v>
      </c>
      <c r="L472" s="1">
        <v>2000</v>
      </c>
      <c r="M472" s="83">
        <v>24839</v>
      </c>
      <c r="N472" s="8">
        <v>1950</v>
      </c>
      <c r="O472" s="1">
        <v>1200</v>
      </c>
      <c r="P472" s="1">
        <v>450</v>
      </c>
    </row>
    <row r="473" spans="1:16" x14ac:dyDescent="0.25">
      <c r="A473" s="2" t="s">
        <v>585</v>
      </c>
      <c r="B473" s="6">
        <f t="shared" si="38"/>
        <v>472</v>
      </c>
      <c r="C473" s="70">
        <v>10417</v>
      </c>
      <c r="D473" s="45" t="s">
        <v>574</v>
      </c>
      <c r="E473" s="79" t="s">
        <v>133</v>
      </c>
      <c r="F473" s="3">
        <v>31</v>
      </c>
      <c r="G473" s="82">
        <v>31</v>
      </c>
      <c r="H473" s="81">
        <v>24839</v>
      </c>
      <c r="I473" s="1">
        <v>1800</v>
      </c>
      <c r="J473" s="1">
        <v>0</v>
      </c>
      <c r="K473" s="1">
        <v>200</v>
      </c>
      <c r="L473" s="1">
        <v>2000</v>
      </c>
      <c r="M473" s="83">
        <v>22839</v>
      </c>
      <c r="N473" s="8">
        <v>1950</v>
      </c>
      <c r="O473" s="1">
        <v>1200</v>
      </c>
      <c r="P473" s="1">
        <v>450</v>
      </c>
    </row>
    <row r="474" spans="1:16" x14ac:dyDescent="0.25">
      <c r="A474" s="2" t="s">
        <v>585</v>
      </c>
      <c r="B474" s="6">
        <f t="shared" si="38"/>
        <v>473</v>
      </c>
      <c r="C474" s="70">
        <v>11200</v>
      </c>
      <c r="D474" s="45" t="s">
        <v>575</v>
      </c>
      <c r="E474" s="79" t="s">
        <v>133</v>
      </c>
      <c r="F474" s="3">
        <v>31</v>
      </c>
      <c r="G474" s="82">
        <v>31</v>
      </c>
      <c r="H474" s="81">
        <v>29806</v>
      </c>
      <c r="I474" s="1">
        <v>1800</v>
      </c>
      <c r="J474" s="1">
        <v>0</v>
      </c>
      <c r="K474" s="1">
        <v>200</v>
      </c>
      <c r="L474" s="1">
        <v>2000</v>
      </c>
      <c r="M474" s="83">
        <v>27806</v>
      </c>
      <c r="N474" s="8">
        <v>1950</v>
      </c>
      <c r="O474" s="1">
        <v>1200</v>
      </c>
      <c r="P474" s="1">
        <v>450</v>
      </c>
    </row>
    <row r="475" spans="1:16" x14ac:dyDescent="0.25">
      <c r="A475" s="2" t="s">
        <v>585</v>
      </c>
      <c r="B475" s="6">
        <f t="shared" si="38"/>
        <v>474</v>
      </c>
      <c r="C475" s="44">
        <v>11809</v>
      </c>
      <c r="D475" s="45" t="s">
        <v>576</v>
      </c>
      <c r="E475" s="79" t="s">
        <v>133</v>
      </c>
      <c r="F475" s="3">
        <v>31</v>
      </c>
      <c r="G475" s="82">
        <v>31</v>
      </c>
      <c r="H475" s="81">
        <v>25661</v>
      </c>
      <c r="I475" s="1">
        <v>1800</v>
      </c>
      <c r="J475" s="1">
        <v>0</v>
      </c>
      <c r="K475" s="1">
        <v>200</v>
      </c>
      <c r="L475" s="1">
        <v>2000</v>
      </c>
      <c r="M475" s="83">
        <v>23661</v>
      </c>
      <c r="N475" s="8">
        <v>1950</v>
      </c>
      <c r="O475" s="1">
        <v>1200</v>
      </c>
      <c r="P475" s="1">
        <v>450</v>
      </c>
    </row>
    <row r="476" spans="1:16" x14ac:dyDescent="0.25">
      <c r="A476" s="2" t="s">
        <v>585</v>
      </c>
      <c r="B476" s="6">
        <f t="shared" si="38"/>
        <v>475</v>
      </c>
      <c r="C476" s="70">
        <v>11613</v>
      </c>
      <c r="D476" s="45" t="s">
        <v>577</v>
      </c>
      <c r="E476" s="79" t="s">
        <v>362</v>
      </c>
      <c r="F476" s="3">
        <v>31</v>
      </c>
      <c r="G476" s="82">
        <v>31</v>
      </c>
      <c r="H476" s="81">
        <v>29452</v>
      </c>
      <c r="I476" s="1">
        <v>1800</v>
      </c>
      <c r="J476" s="1">
        <v>0</v>
      </c>
      <c r="K476" s="1">
        <v>200</v>
      </c>
      <c r="L476" s="1">
        <v>2000</v>
      </c>
      <c r="M476" s="83">
        <v>27452</v>
      </c>
      <c r="N476" s="8">
        <v>1950</v>
      </c>
      <c r="O476" s="1">
        <v>1200</v>
      </c>
      <c r="P476" s="1">
        <v>450</v>
      </c>
    </row>
    <row r="477" spans="1:16" x14ac:dyDescent="0.25">
      <c r="A477" s="2" t="s">
        <v>585</v>
      </c>
      <c r="B477" s="6">
        <f t="shared" si="38"/>
        <v>476</v>
      </c>
      <c r="C477" s="70">
        <v>11951</v>
      </c>
      <c r="D477" s="45" t="s">
        <v>578</v>
      </c>
      <c r="E477" s="79" t="s">
        <v>362</v>
      </c>
      <c r="F477" s="3">
        <v>31</v>
      </c>
      <c r="G477" s="82">
        <v>31</v>
      </c>
      <c r="H477" s="81">
        <v>25742</v>
      </c>
      <c r="I477" s="1">
        <v>1800</v>
      </c>
      <c r="J477" s="1">
        <v>0</v>
      </c>
      <c r="K477" s="1">
        <v>200</v>
      </c>
      <c r="L477" s="1">
        <v>2000</v>
      </c>
      <c r="M477" s="83">
        <v>23742</v>
      </c>
      <c r="N477" s="8">
        <v>1950</v>
      </c>
      <c r="O477" s="1">
        <v>1200</v>
      </c>
      <c r="P477" s="1">
        <v>450</v>
      </c>
    </row>
    <row r="478" spans="1:16" x14ac:dyDescent="0.25">
      <c r="A478" s="2" t="s">
        <v>585</v>
      </c>
      <c r="B478" s="6">
        <f t="shared" si="38"/>
        <v>477</v>
      </c>
      <c r="C478" s="70">
        <v>11715</v>
      </c>
      <c r="D478" s="45" t="s">
        <v>579</v>
      </c>
      <c r="E478" s="79" t="s">
        <v>362</v>
      </c>
      <c r="F478" s="3">
        <v>31</v>
      </c>
      <c r="G478" s="82">
        <v>24</v>
      </c>
      <c r="H478" s="81">
        <v>21154</v>
      </c>
      <c r="I478" s="1">
        <v>1800</v>
      </c>
      <c r="J478" s="1">
        <v>0</v>
      </c>
      <c r="K478" s="1">
        <v>200</v>
      </c>
      <c r="L478" s="1">
        <v>2000</v>
      </c>
      <c r="M478" s="83">
        <v>19154</v>
      </c>
      <c r="N478" s="8">
        <v>1950</v>
      </c>
      <c r="O478" s="1">
        <v>1200</v>
      </c>
      <c r="P478" s="1">
        <v>450</v>
      </c>
    </row>
    <row r="479" spans="1:16" x14ac:dyDescent="0.25">
      <c r="A479" s="2" t="s">
        <v>585</v>
      </c>
      <c r="B479" s="6">
        <f t="shared" si="38"/>
        <v>478</v>
      </c>
      <c r="C479" s="70">
        <v>10416</v>
      </c>
      <c r="D479" s="45" t="s">
        <v>580</v>
      </c>
      <c r="E479" s="79" t="s">
        <v>336</v>
      </c>
      <c r="F479" s="3">
        <v>31</v>
      </c>
      <c r="G479" s="82">
        <v>31</v>
      </c>
      <c r="H479" s="81">
        <v>33016</v>
      </c>
      <c r="I479" s="1">
        <v>1800</v>
      </c>
      <c r="J479" s="1">
        <v>0</v>
      </c>
      <c r="K479" s="1">
        <v>200</v>
      </c>
      <c r="L479" s="1">
        <v>2000</v>
      </c>
      <c r="M479" s="83">
        <v>31016</v>
      </c>
      <c r="N479" s="8">
        <v>1950</v>
      </c>
      <c r="O479" s="1">
        <v>1200</v>
      </c>
      <c r="P479" s="1">
        <v>450</v>
      </c>
    </row>
    <row r="480" spans="1:16" x14ac:dyDescent="0.25">
      <c r="A480" s="2" t="s">
        <v>585</v>
      </c>
      <c r="B480" s="6">
        <f t="shared" si="38"/>
        <v>479</v>
      </c>
      <c r="C480" s="70">
        <v>12004</v>
      </c>
      <c r="D480" s="45" t="s">
        <v>581</v>
      </c>
      <c r="E480" s="79" t="s">
        <v>336</v>
      </c>
      <c r="F480" s="3">
        <v>31</v>
      </c>
      <c r="G480" s="82">
        <v>28</v>
      </c>
      <c r="H480" s="81">
        <v>22194</v>
      </c>
      <c r="I480" s="1">
        <v>1800</v>
      </c>
      <c r="J480" s="1">
        <v>0</v>
      </c>
      <c r="K480" s="1">
        <v>200</v>
      </c>
      <c r="L480" s="1">
        <v>2000</v>
      </c>
      <c r="M480" s="83">
        <v>20194</v>
      </c>
      <c r="N480" s="8">
        <v>1950</v>
      </c>
      <c r="O480" s="1">
        <v>1200</v>
      </c>
      <c r="P480" s="1">
        <v>450</v>
      </c>
    </row>
    <row r="481" spans="1:16" x14ac:dyDescent="0.25">
      <c r="A481" s="2" t="s">
        <v>585</v>
      </c>
      <c r="B481" s="6">
        <f t="shared" si="38"/>
        <v>480</v>
      </c>
      <c r="C481" s="70">
        <v>10398</v>
      </c>
      <c r="D481" s="45" t="s">
        <v>582</v>
      </c>
      <c r="E481" s="79" t="s">
        <v>336</v>
      </c>
      <c r="F481" s="3">
        <v>31</v>
      </c>
      <c r="G481" s="82">
        <v>28</v>
      </c>
      <c r="H481" s="81">
        <v>32645</v>
      </c>
      <c r="I481" s="1">
        <v>1800</v>
      </c>
      <c r="J481" s="1">
        <v>0</v>
      </c>
      <c r="K481" s="1">
        <v>200</v>
      </c>
      <c r="L481" s="1">
        <v>2000</v>
      </c>
      <c r="M481" s="83">
        <v>30645</v>
      </c>
      <c r="N481" s="8">
        <v>1950</v>
      </c>
      <c r="O481" s="1">
        <v>1200</v>
      </c>
      <c r="P481" s="1">
        <v>450</v>
      </c>
    </row>
    <row r="482" spans="1:16" x14ac:dyDescent="0.25">
      <c r="A482" s="2" t="s">
        <v>585</v>
      </c>
      <c r="B482" s="6">
        <f t="shared" si="38"/>
        <v>481</v>
      </c>
      <c r="C482" s="44">
        <v>11959</v>
      </c>
      <c r="D482" s="45" t="s">
        <v>583</v>
      </c>
      <c r="E482" s="79" t="s">
        <v>383</v>
      </c>
      <c r="F482" s="3">
        <v>31</v>
      </c>
      <c r="G482" s="82">
        <v>26</v>
      </c>
      <c r="H482" s="81">
        <v>21000</v>
      </c>
      <c r="I482" s="1">
        <v>1800</v>
      </c>
      <c r="J482" s="1">
        <v>0</v>
      </c>
      <c r="K482" s="1">
        <v>200</v>
      </c>
      <c r="L482" s="1">
        <v>2000</v>
      </c>
      <c r="M482" s="83">
        <v>19000</v>
      </c>
      <c r="N482" s="8">
        <v>1950</v>
      </c>
      <c r="O482" s="1">
        <v>1200</v>
      </c>
      <c r="P482" s="1">
        <v>450</v>
      </c>
    </row>
    <row r="483" spans="1:16" x14ac:dyDescent="0.25">
      <c r="A483" s="2" t="s">
        <v>585</v>
      </c>
      <c r="B483" s="6">
        <f t="shared" si="38"/>
        <v>482</v>
      </c>
      <c r="C483" s="44">
        <v>10031</v>
      </c>
      <c r="D483" s="45" t="s">
        <v>584</v>
      </c>
      <c r="E483" s="79" t="s">
        <v>383</v>
      </c>
      <c r="F483" s="3">
        <v>31</v>
      </c>
      <c r="G483" s="82">
        <v>31</v>
      </c>
      <c r="H483" s="81">
        <v>30419</v>
      </c>
      <c r="I483" s="1">
        <v>1800</v>
      </c>
      <c r="J483" s="1">
        <v>0</v>
      </c>
      <c r="K483" s="1">
        <v>200</v>
      </c>
      <c r="L483" s="1">
        <v>2000</v>
      </c>
      <c r="M483" s="83">
        <v>28419</v>
      </c>
      <c r="N483" s="8">
        <v>1950</v>
      </c>
      <c r="O483" s="1">
        <v>1200</v>
      </c>
      <c r="P483" s="1">
        <v>450</v>
      </c>
    </row>
    <row r="484" spans="1:16" x14ac:dyDescent="0.25">
      <c r="A484" s="2" t="s">
        <v>589</v>
      </c>
      <c r="B484" s="6">
        <f t="shared" si="38"/>
        <v>483</v>
      </c>
      <c r="C484" s="13">
        <v>11629</v>
      </c>
      <c r="D484" s="12" t="s">
        <v>586</v>
      </c>
      <c r="E484" s="6" t="s">
        <v>278</v>
      </c>
      <c r="F484" s="6">
        <v>31</v>
      </c>
      <c r="G484" s="6">
        <f>VLOOKUP(C484,[18]ATTANDANCE!$B$6:$AS$12,42,0)</f>
        <v>31</v>
      </c>
      <c r="H484" s="14">
        <v>17930.387999999999</v>
      </c>
      <c r="I484" s="14">
        <v>1530</v>
      </c>
      <c r="J484" s="14">
        <v>113.8725</v>
      </c>
      <c r="K484" s="14">
        <v>150</v>
      </c>
      <c r="L484" s="14">
        <v>1793.8724999999999</v>
      </c>
      <c r="M484" s="15">
        <v>16137</v>
      </c>
      <c r="N484" s="8">
        <v>1657.5</v>
      </c>
      <c r="O484" s="14">
        <v>493.44749999999999</v>
      </c>
      <c r="P484" s="6"/>
    </row>
    <row r="485" spans="1:16" x14ac:dyDescent="0.25">
      <c r="A485" s="2" t="s">
        <v>589</v>
      </c>
      <c r="B485" s="6">
        <f t="shared" si="38"/>
        <v>484</v>
      </c>
      <c r="C485" s="13">
        <v>11799</v>
      </c>
      <c r="D485" s="12" t="s">
        <v>587</v>
      </c>
      <c r="E485" s="6" t="s">
        <v>278</v>
      </c>
      <c r="F485" s="6">
        <v>31</v>
      </c>
      <c r="G485" s="6">
        <f>VLOOKUP(C485,[18]ATTANDANCE!$B$6:$AS$12,42,0)</f>
        <v>30</v>
      </c>
      <c r="H485" s="14">
        <v>17351.988387096775</v>
      </c>
      <c r="I485" s="14">
        <v>1480.6451612903227</v>
      </c>
      <c r="J485" s="14">
        <v>110.1991935483871</v>
      </c>
      <c r="K485" s="14">
        <v>150</v>
      </c>
      <c r="L485" s="14">
        <v>1740.8443548387097</v>
      </c>
      <c r="M485" s="15">
        <v>15611</v>
      </c>
      <c r="N485" s="8">
        <v>1604.0322580645161</v>
      </c>
      <c r="O485" s="14">
        <v>477.52983870967745</v>
      </c>
      <c r="P485" s="6"/>
    </row>
    <row r="486" spans="1:16" x14ac:dyDescent="0.25">
      <c r="A486" s="2" t="s">
        <v>589</v>
      </c>
      <c r="B486" s="6">
        <f t="shared" si="38"/>
        <v>485</v>
      </c>
      <c r="C486" s="13">
        <v>11178</v>
      </c>
      <c r="D486" s="12" t="s">
        <v>588</v>
      </c>
      <c r="E486" s="6" t="s">
        <v>278</v>
      </c>
      <c r="F486" s="6">
        <v>31</v>
      </c>
      <c r="G486" s="6">
        <f>VLOOKUP(C486,[18]ATTANDANCE!$B$6:$AS$12,42,0)</f>
        <v>31</v>
      </c>
      <c r="H486" s="14">
        <v>17930.387999999999</v>
      </c>
      <c r="I486" s="14">
        <v>1530</v>
      </c>
      <c r="J486" s="14">
        <v>113.8725</v>
      </c>
      <c r="K486" s="14">
        <v>150</v>
      </c>
      <c r="L486" s="14">
        <v>1793.8724999999999</v>
      </c>
      <c r="M486" s="15">
        <v>16137</v>
      </c>
      <c r="N486" s="8">
        <v>1657.5</v>
      </c>
      <c r="O486" s="14">
        <v>493.44749999999999</v>
      </c>
      <c r="P486" s="6"/>
    </row>
    <row r="487" spans="1:16" x14ac:dyDescent="0.25">
      <c r="A487" s="2" t="s">
        <v>618</v>
      </c>
      <c r="B487" s="6">
        <f t="shared" si="38"/>
        <v>486</v>
      </c>
      <c r="C487" s="16">
        <v>10521</v>
      </c>
      <c r="D487" s="3" t="s">
        <v>590</v>
      </c>
      <c r="E487" s="3" t="s">
        <v>591</v>
      </c>
      <c r="F487" s="6">
        <v>31</v>
      </c>
      <c r="G487" s="6">
        <v>9</v>
      </c>
      <c r="H487" s="14">
        <v>15161.202903225807</v>
      </c>
      <c r="I487" s="14">
        <v>1753.5340258064516</v>
      </c>
      <c r="J487" s="14">
        <v>0</v>
      </c>
      <c r="K487" s="14">
        <v>150</v>
      </c>
      <c r="L487" s="24">
        <v>1903.5340258064516</v>
      </c>
      <c r="M487" s="34">
        <v>13258</v>
      </c>
      <c r="N487" s="8">
        <v>1899.6618612903228</v>
      </c>
      <c r="O487" s="14">
        <v>900</v>
      </c>
      <c r="P487" s="6"/>
    </row>
    <row r="488" spans="1:16" x14ac:dyDescent="0.25">
      <c r="A488" s="2" t="s">
        <v>618</v>
      </c>
      <c r="B488" s="6">
        <f t="shared" si="38"/>
        <v>487</v>
      </c>
      <c r="C488" s="16">
        <v>10351</v>
      </c>
      <c r="D488" s="3" t="s">
        <v>592</v>
      </c>
      <c r="E488" s="3" t="s">
        <v>593</v>
      </c>
      <c r="F488" s="6">
        <v>31</v>
      </c>
      <c r="G488" s="6">
        <v>10</v>
      </c>
      <c r="H488" s="14">
        <v>8519.4901354838694</v>
      </c>
      <c r="I488" s="14">
        <v>949.21623561290301</v>
      </c>
      <c r="J488" s="14">
        <v>63.896176016129019</v>
      </c>
      <c r="K488" s="14">
        <v>0</v>
      </c>
      <c r="L488" s="24">
        <v>1013.1124116290321</v>
      </c>
      <c r="M488" s="34">
        <v>7506</v>
      </c>
      <c r="N488" s="8">
        <v>1028.317588580645</v>
      </c>
      <c r="O488" s="14">
        <f>J488*3.25/0.75</f>
        <v>276.88342940322576</v>
      </c>
      <c r="P488" s="6"/>
    </row>
    <row r="489" spans="1:16" x14ac:dyDescent="0.25">
      <c r="A489" s="2" t="s">
        <v>618</v>
      </c>
      <c r="B489" s="6">
        <f t="shared" si="38"/>
        <v>488</v>
      </c>
      <c r="C489" s="16">
        <v>10554</v>
      </c>
      <c r="D489" s="3" t="s">
        <v>594</v>
      </c>
      <c r="E489" s="3" t="s">
        <v>593</v>
      </c>
      <c r="F489" s="6">
        <v>31</v>
      </c>
      <c r="G489" s="6">
        <v>10</v>
      </c>
      <c r="H489" s="14">
        <v>7744.9910322580636</v>
      </c>
      <c r="I489" s="14">
        <v>856.27634322580639</v>
      </c>
      <c r="J489" s="14">
        <v>58.087432741935473</v>
      </c>
      <c r="K489" s="14">
        <v>0</v>
      </c>
      <c r="L489" s="24">
        <v>914.36377596774184</v>
      </c>
      <c r="M489" s="34">
        <v>6831</v>
      </c>
      <c r="N489" s="8">
        <v>927.63270516129023</v>
      </c>
      <c r="O489" s="14">
        <f t="shared" ref="O489:O511" si="39">J489*3.25/0.75</f>
        <v>251.71220854838705</v>
      </c>
      <c r="P489" s="6"/>
    </row>
    <row r="490" spans="1:16" x14ac:dyDescent="0.25">
      <c r="A490" s="2" t="s">
        <v>618</v>
      </c>
      <c r="B490" s="6">
        <f t="shared" si="38"/>
        <v>489</v>
      </c>
      <c r="C490" s="16">
        <v>10391</v>
      </c>
      <c r="D490" s="3" t="s">
        <v>595</v>
      </c>
      <c r="E490" s="3" t="s">
        <v>593</v>
      </c>
      <c r="F490" s="6">
        <v>31</v>
      </c>
      <c r="G490" s="6">
        <v>3</v>
      </c>
      <c r="H490" s="14">
        <v>2323.4973096774193</v>
      </c>
      <c r="I490" s="14">
        <v>256.88290296774187</v>
      </c>
      <c r="J490" s="14">
        <v>17.426229822580645</v>
      </c>
      <c r="K490" s="14">
        <v>0</v>
      </c>
      <c r="L490" s="24">
        <v>274.30913279032251</v>
      </c>
      <c r="M490" s="34">
        <v>2049</v>
      </c>
      <c r="N490" s="8">
        <v>278.28981154838704</v>
      </c>
      <c r="O490" s="14">
        <f t="shared" si="39"/>
        <v>75.513662564516125</v>
      </c>
      <c r="P490" s="6"/>
    </row>
    <row r="491" spans="1:16" x14ac:dyDescent="0.25">
      <c r="A491" s="2" t="s">
        <v>618</v>
      </c>
      <c r="B491" s="6">
        <f t="shared" si="38"/>
        <v>490</v>
      </c>
      <c r="C491" s="16">
        <v>10576</v>
      </c>
      <c r="D491" s="3" t="s">
        <v>596</v>
      </c>
      <c r="E491" s="3" t="s">
        <v>593</v>
      </c>
      <c r="F491" s="6">
        <v>31</v>
      </c>
      <c r="G491" s="6">
        <v>9</v>
      </c>
      <c r="H491" s="14">
        <v>8906.739687096775</v>
      </c>
      <c r="I491" s="14">
        <v>1002.9984398709678</v>
      </c>
      <c r="J491" s="14">
        <v>66.800547653225806</v>
      </c>
      <c r="K491" s="14">
        <v>0</v>
      </c>
      <c r="L491" s="24">
        <v>1069.7989875241935</v>
      </c>
      <c r="M491" s="34">
        <v>7837</v>
      </c>
      <c r="N491" s="8">
        <v>1086.5816431935484</v>
      </c>
      <c r="O491" s="14">
        <f t="shared" si="39"/>
        <v>289.46903983064516</v>
      </c>
      <c r="P491" s="6"/>
    </row>
    <row r="492" spans="1:16" x14ac:dyDescent="0.25">
      <c r="A492" s="2" t="s">
        <v>618</v>
      </c>
      <c r="B492" s="6">
        <f t="shared" si="38"/>
        <v>491</v>
      </c>
      <c r="C492" s="16">
        <v>10927</v>
      </c>
      <c r="D492" s="3" t="s">
        <v>597</v>
      </c>
      <c r="E492" s="3" t="s">
        <v>292</v>
      </c>
      <c r="F492" s="6">
        <v>31</v>
      </c>
      <c r="G492" s="6">
        <v>10</v>
      </c>
      <c r="H492" s="14">
        <v>7773.0775951612904</v>
      </c>
      <c r="I492" s="14">
        <v>859.64673077419354</v>
      </c>
      <c r="J492" s="14">
        <v>58.298081963709677</v>
      </c>
      <c r="K492" s="14">
        <v>0</v>
      </c>
      <c r="L492" s="24">
        <v>917.94481273790325</v>
      </c>
      <c r="M492" s="34">
        <v>6855</v>
      </c>
      <c r="N492" s="8">
        <v>931.28395833870957</v>
      </c>
      <c r="O492" s="14">
        <f t="shared" si="39"/>
        <v>252.62502184274194</v>
      </c>
      <c r="P492" s="6"/>
    </row>
    <row r="493" spans="1:16" x14ac:dyDescent="0.25">
      <c r="A493" s="2" t="s">
        <v>618</v>
      </c>
      <c r="B493" s="6">
        <f t="shared" si="38"/>
        <v>492</v>
      </c>
      <c r="C493" s="16">
        <v>10903</v>
      </c>
      <c r="D493" s="3" t="s">
        <v>598</v>
      </c>
      <c r="E493" s="3" t="s">
        <v>292</v>
      </c>
      <c r="F493" s="6">
        <v>31</v>
      </c>
      <c r="G493" s="6">
        <v>10</v>
      </c>
      <c r="H493" s="14">
        <v>7773.0775951612904</v>
      </c>
      <c r="I493" s="14">
        <v>859.64673077419354</v>
      </c>
      <c r="J493" s="14">
        <v>58.298081963709677</v>
      </c>
      <c r="K493" s="14">
        <v>0</v>
      </c>
      <c r="L493" s="24">
        <v>917.94481273790325</v>
      </c>
      <c r="M493" s="34">
        <v>6855</v>
      </c>
      <c r="N493" s="8">
        <v>931.28395833870957</v>
      </c>
      <c r="O493" s="14">
        <f t="shared" si="39"/>
        <v>252.62502184274194</v>
      </c>
      <c r="P493" s="6"/>
    </row>
    <row r="494" spans="1:16" x14ac:dyDescent="0.25">
      <c r="A494" s="2" t="s">
        <v>618</v>
      </c>
      <c r="B494" s="6">
        <f t="shared" si="38"/>
        <v>493</v>
      </c>
      <c r="C494" s="16">
        <v>10891</v>
      </c>
      <c r="D494" s="3" t="s">
        <v>599</v>
      </c>
      <c r="E494" s="3" t="s">
        <v>292</v>
      </c>
      <c r="F494" s="6">
        <v>31</v>
      </c>
      <c r="G494" s="6">
        <v>10</v>
      </c>
      <c r="H494" s="14">
        <v>8970.5859870967724</v>
      </c>
      <c r="I494" s="14">
        <v>1003.3477378064513</v>
      </c>
      <c r="J494" s="14">
        <v>67.279394903225793</v>
      </c>
      <c r="K494" s="14">
        <v>0</v>
      </c>
      <c r="L494" s="24">
        <v>1070.627132709677</v>
      </c>
      <c r="M494" s="34">
        <v>7900</v>
      </c>
      <c r="N494" s="8">
        <v>1086.9600492903221</v>
      </c>
      <c r="O494" s="14">
        <f t="shared" si="39"/>
        <v>291.54404458064511</v>
      </c>
      <c r="P494" s="6"/>
    </row>
    <row r="495" spans="1:16" x14ac:dyDescent="0.25">
      <c r="A495" s="2" t="s">
        <v>618</v>
      </c>
      <c r="B495" s="6">
        <f t="shared" si="38"/>
        <v>494</v>
      </c>
      <c r="C495" s="16">
        <v>11149</v>
      </c>
      <c r="D495" s="3" t="s">
        <v>600</v>
      </c>
      <c r="E495" s="3" t="s">
        <v>292</v>
      </c>
      <c r="F495" s="6">
        <v>31</v>
      </c>
      <c r="G495" s="6">
        <v>3</v>
      </c>
      <c r="H495" s="14">
        <v>2119.9564354838708</v>
      </c>
      <c r="I495" s="14">
        <v>232.45799806451612</v>
      </c>
      <c r="J495" s="14">
        <v>15.89967326612903</v>
      </c>
      <c r="K495" s="14">
        <v>0</v>
      </c>
      <c r="L495" s="24">
        <v>248.35767133064516</v>
      </c>
      <c r="M495" s="34">
        <v>1872</v>
      </c>
      <c r="N495" s="8">
        <v>251.82949790322581</v>
      </c>
      <c r="O495" s="14">
        <f t="shared" si="39"/>
        <v>68.898584153225798</v>
      </c>
      <c r="P495" s="6"/>
    </row>
    <row r="496" spans="1:16" x14ac:dyDescent="0.25">
      <c r="A496" s="2" t="s">
        <v>618</v>
      </c>
      <c r="B496" s="6">
        <f t="shared" si="38"/>
        <v>495</v>
      </c>
      <c r="C496" s="16">
        <v>2</v>
      </c>
      <c r="D496" s="3" t="s">
        <v>601</v>
      </c>
      <c r="E496" s="3" t="s">
        <v>292</v>
      </c>
      <c r="F496" s="6">
        <v>31</v>
      </c>
      <c r="G496" s="6">
        <v>10</v>
      </c>
      <c r="H496" s="14">
        <v>8479.7210129032246</v>
      </c>
      <c r="I496" s="14">
        <v>944.44394090322567</v>
      </c>
      <c r="J496" s="14">
        <v>63.597907596774185</v>
      </c>
      <c r="K496" s="14">
        <v>0</v>
      </c>
      <c r="L496" s="24">
        <v>1008.0418484999999</v>
      </c>
      <c r="M496" s="34">
        <v>7472</v>
      </c>
      <c r="N496" s="8">
        <v>1023.1476026451611</v>
      </c>
      <c r="O496" s="14">
        <f t="shared" si="39"/>
        <v>275.59093291935477</v>
      </c>
      <c r="P496" s="6"/>
    </row>
    <row r="497" spans="1:16" x14ac:dyDescent="0.25">
      <c r="A497" s="2" t="s">
        <v>618</v>
      </c>
      <c r="B497" s="6">
        <f t="shared" si="38"/>
        <v>496</v>
      </c>
      <c r="C497" s="16">
        <v>3</v>
      </c>
      <c r="D497" s="3" t="s">
        <v>602</v>
      </c>
      <c r="E497" s="3" t="s">
        <v>292</v>
      </c>
      <c r="F497" s="6">
        <v>31</v>
      </c>
      <c r="G497" s="6">
        <v>4</v>
      </c>
      <c r="H497" s="14">
        <v>2826.5736709677417</v>
      </c>
      <c r="I497" s="14">
        <v>309.93980825806449</v>
      </c>
      <c r="J497" s="14">
        <v>21.199302532258063</v>
      </c>
      <c r="K497" s="14">
        <v>0</v>
      </c>
      <c r="L497" s="24">
        <v>331.13911079032255</v>
      </c>
      <c r="M497" s="34">
        <v>2495</v>
      </c>
      <c r="N497" s="8">
        <v>335.76812561290319</v>
      </c>
      <c r="O497" s="14">
        <f t="shared" si="39"/>
        <v>91.863644306451604</v>
      </c>
      <c r="P497" s="6"/>
    </row>
    <row r="498" spans="1:16" x14ac:dyDescent="0.25">
      <c r="A498" s="2" t="s">
        <v>618</v>
      </c>
      <c r="B498" s="6">
        <f t="shared" si="38"/>
        <v>497</v>
      </c>
      <c r="C498" s="16">
        <v>10341</v>
      </c>
      <c r="D498" s="3" t="s">
        <v>603</v>
      </c>
      <c r="E498" s="3" t="s">
        <v>604</v>
      </c>
      <c r="F498" s="6">
        <v>31</v>
      </c>
      <c r="G498" s="6">
        <v>10</v>
      </c>
      <c r="H498" s="14">
        <v>8519.4133341935467</v>
      </c>
      <c r="I498" s="14">
        <v>949.2147613935482</v>
      </c>
      <c r="J498" s="14">
        <v>63.895600006451595</v>
      </c>
      <c r="K498" s="14">
        <v>0</v>
      </c>
      <c r="L498" s="24">
        <v>1013.1103613999998</v>
      </c>
      <c r="M498" s="34">
        <v>7506</v>
      </c>
      <c r="N498" s="8">
        <v>1028.3159915096774</v>
      </c>
      <c r="O498" s="14">
        <f t="shared" si="39"/>
        <v>276.88093336129026</v>
      </c>
      <c r="P498" s="6"/>
    </row>
    <row r="499" spans="1:16" x14ac:dyDescent="0.25">
      <c r="A499" s="2" t="s">
        <v>618</v>
      </c>
      <c r="B499" s="6">
        <f t="shared" si="38"/>
        <v>498</v>
      </c>
      <c r="C499" s="4">
        <v>10376</v>
      </c>
      <c r="D499" s="47" t="s">
        <v>605</v>
      </c>
      <c r="E499" s="3" t="s">
        <v>604</v>
      </c>
      <c r="F499" s="6">
        <v>31</v>
      </c>
      <c r="G499" s="6">
        <v>7</v>
      </c>
      <c r="H499" s="14">
        <v>5421.4485612903227</v>
      </c>
      <c r="I499" s="14">
        <v>599.3934402580644</v>
      </c>
      <c r="J499" s="14">
        <v>40.66086420967742</v>
      </c>
      <c r="K499" s="14">
        <v>0</v>
      </c>
      <c r="L499" s="24">
        <v>640.05430446774187</v>
      </c>
      <c r="M499" s="34">
        <v>4781</v>
      </c>
      <c r="N499" s="8">
        <v>649.34289361290314</v>
      </c>
      <c r="O499" s="14">
        <f t="shared" si="39"/>
        <v>176.19707824193549</v>
      </c>
      <c r="P499" s="6"/>
    </row>
    <row r="500" spans="1:16" x14ac:dyDescent="0.25">
      <c r="A500" s="2" t="s">
        <v>618</v>
      </c>
      <c r="B500" s="6">
        <f t="shared" si="38"/>
        <v>499</v>
      </c>
      <c r="C500" s="16">
        <v>10353</v>
      </c>
      <c r="D500" s="3" t="s">
        <v>606</v>
      </c>
      <c r="E500" s="3" t="s">
        <v>219</v>
      </c>
      <c r="F500" s="6">
        <v>31</v>
      </c>
      <c r="G500" s="6">
        <v>10</v>
      </c>
      <c r="H500" s="14">
        <v>7396.8717290322575</v>
      </c>
      <c r="I500" s="14">
        <v>814.5097687741935</v>
      </c>
      <c r="J500" s="14">
        <v>55.476537967741926</v>
      </c>
      <c r="K500" s="14">
        <v>0</v>
      </c>
      <c r="L500" s="24">
        <v>869.98630674193544</v>
      </c>
      <c r="M500" s="34">
        <v>6527</v>
      </c>
      <c r="N500" s="8">
        <v>882.38558283870964</v>
      </c>
      <c r="O500" s="14">
        <f t="shared" si="39"/>
        <v>240.39833119354833</v>
      </c>
      <c r="P500" s="6"/>
    </row>
    <row r="501" spans="1:16" x14ac:dyDescent="0.25">
      <c r="A501" s="2" t="s">
        <v>618</v>
      </c>
      <c r="B501" s="6">
        <f t="shared" si="38"/>
        <v>500</v>
      </c>
      <c r="C501" s="13">
        <v>10363</v>
      </c>
      <c r="D501" s="47" t="s">
        <v>607</v>
      </c>
      <c r="E501" s="47" t="s">
        <v>219</v>
      </c>
      <c r="F501" s="6">
        <v>31</v>
      </c>
      <c r="G501" s="6">
        <v>3</v>
      </c>
      <c r="H501" s="84">
        <v>2219.0615187096773</v>
      </c>
      <c r="I501" s="84">
        <v>244.35293063225805</v>
      </c>
      <c r="J501" s="84">
        <v>16.642961390322579</v>
      </c>
      <c r="K501" s="84">
        <v>0</v>
      </c>
      <c r="L501" s="85">
        <v>260.99589202258062</v>
      </c>
      <c r="M501" s="86">
        <v>1958</v>
      </c>
      <c r="N501" s="8">
        <v>264.7156748516129</v>
      </c>
      <c r="O501" s="84">
        <f t="shared" si="39"/>
        <v>72.119499358064516</v>
      </c>
      <c r="P501" s="6"/>
    </row>
    <row r="502" spans="1:16" x14ac:dyDescent="0.25">
      <c r="A502" s="2" t="s">
        <v>618</v>
      </c>
      <c r="B502" s="6">
        <f t="shared" si="38"/>
        <v>501</v>
      </c>
      <c r="C502" s="16">
        <v>10359</v>
      </c>
      <c r="D502" s="3" t="s">
        <v>608</v>
      </c>
      <c r="E502" s="3" t="s">
        <v>219</v>
      </c>
      <c r="F502" s="6">
        <v>31</v>
      </c>
      <c r="G502" s="6">
        <v>10</v>
      </c>
      <c r="H502" s="14">
        <v>7396.8717290322575</v>
      </c>
      <c r="I502" s="14">
        <v>814.5097687741935</v>
      </c>
      <c r="J502" s="14">
        <v>55.476537967741926</v>
      </c>
      <c r="K502" s="14">
        <v>0</v>
      </c>
      <c r="L502" s="24">
        <v>869.98630674193544</v>
      </c>
      <c r="M502" s="34">
        <v>6527</v>
      </c>
      <c r="N502" s="8">
        <v>882.38558283870964</v>
      </c>
      <c r="O502" s="14">
        <f t="shared" si="39"/>
        <v>240.39833119354833</v>
      </c>
      <c r="P502" s="6"/>
    </row>
    <row r="503" spans="1:16" x14ac:dyDescent="0.25">
      <c r="A503" s="2" t="s">
        <v>618</v>
      </c>
      <c r="B503" s="6">
        <f t="shared" si="38"/>
        <v>502</v>
      </c>
      <c r="C503" s="16">
        <v>10357</v>
      </c>
      <c r="D503" s="3" t="s">
        <v>609</v>
      </c>
      <c r="E503" s="3" t="s">
        <v>219</v>
      </c>
      <c r="F503" s="6">
        <v>31</v>
      </c>
      <c r="G503" s="6">
        <v>10</v>
      </c>
      <c r="H503" s="14">
        <v>7396.8717290322575</v>
      </c>
      <c r="I503" s="14">
        <v>814.5097687741935</v>
      </c>
      <c r="J503" s="14">
        <v>55.476537967741926</v>
      </c>
      <c r="K503" s="14">
        <v>0</v>
      </c>
      <c r="L503" s="24">
        <v>869.98630674193544</v>
      </c>
      <c r="M503" s="34">
        <v>6527</v>
      </c>
      <c r="N503" s="8">
        <v>882.38558283870964</v>
      </c>
      <c r="O503" s="14">
        <f t="shared" si="39"/>
        <v>240.39833119354833</v>
      </c>
      <c r="P503" s="6"/>
    </row>
    <row r="504" spans="1:16" x14ac:dyDescent="0.25">
      <c r="A504" s="2" t="s">
        <v>618</v>
      </c>
      <c r="B504" s="6">
        <f t="shared" si="38"/>
        <v>503</v>
      </c>
      <c r="C504" s="16">
        <v>10338</v>
      </c>
      <c r="D504" s="3" t="s">
        <v>610</v>
      </c>
      <c r="E504" s="3" t="s">
        <v>219</v>
      </c>
      <c r="F504" s="6">
        <v>31</v>
      </c>
      <c r="G504" s="6">
        <v>10</v>
      </c>
      <c r="H504" s="14">
        <v>7396.8717290322575</v>
      </c>
      <c r="I504" s="14">
        <v>814.5097687741935</v>
      </c>
      <c r="J504" s="14">
        <v>55.476537967741926</v>
      </c>
      <c r="K504" s="14">
        <v>0</v>
      </c>
      <c r="L504" s="24">
        <v>869.98630674193544</v>
      </c>
      <c r="M504" s="34">
        <v>6527</v>
      </c>
      <c r="N504" s="8">
        <v>882.38558283870964</v>
      </c>
      <c r="O504" s="14">
        <f t="shared" si="39"/>
        <v>240.39833119354833</v>
      </c>
      <c r="P504" s="6"/>
    </row>
    <row r="505" spans="1:16" x14ac:dyDescent="0.25">
      <c r="A505" s="2" t="s">
        <v>618</v>
      </c>
      <c r="B505" s="6">
        <f t="shared" si="38"/>
        <v>504</v>
      </c>
      <c r="C505" s="16">
        <v>10345</v>
      </c>
      <c r="D505" s="3" t="s">
        <v>611</v>
      </c>
      <c r="E505" s="3" t="s">
        <v>219</v>
      </c>
      <c r="F505" s="6">
        <v>31</v>
      </c>
      <c r="G505" s="6">
        <v>10</v>
      </c>
      <c r="H505" s="14">
        <v>8136.5589019354829</v>
      </c>
      <c r="I505" s="14">
        <v>903.27222952258057</v>
      </c>
      <c r="J505" s="14">
        <v>61.024191764516118</v>
      </c>
      <c r="K505" s="14">
        <v>0</v>
      </c>
      <c r="L505" s="24">
        <v>964.29642128709668</v>
      </c>
      <c r="M505" s="34">
        <v>7172</v>
      </c>
      <c r="N505" s="8">
        <v>978.54491531612894</v>
      </c>
      <c r="O505" s="14">
        <f t="shared" si="39"/>
        <v>264.43816431290321</v>
      </c>
      <c r="P505" s="6"/>
    </row>
    <row r="506" spans="1:16" x14ac:dyDescent="0.25">
      <c r="A506" s="2" t="s">
        <v>618</v>
      </c>
      <c r="B506" s="6">
        <f t="shared" si="38"/>
        <v>505</v>
      </c>
      <c r="C506" s="16">
        <v>10360</v>
      </c>
      <c r="D506" s="3" t="s">
        <v>612</v>
      </c>
      <c r="E506" s="3" t="s">
        <v>219</v>
      </c>
      <c r="F506" s="6">
        <v>31</v>
      </c>
      <c r="G506" s="6">
        <v>10</v>
      </c>
      <c r="H506" s="14">
        <v>7396.8717290322575</v>
      </c>
      <c r="I506" s="14">
        <v>814.5097687741935</v>
      </c>
      <c r="J506" s="14">
        <v>55.476537967741926</v>
      </c>
      <c r="K506" s="14">
        <v>0</v>
      </c>
      <c r="L506" s="24">
        <v>869.98630674193544</v>
      </c>
      <c r="M506" s="34">
        <v>6527</v>
      </c>
      <c r="N506" s="8">
        <v>882.38558283870964</v>
      </c>
      <c r="O506" s="14">
        <f t="shared" si="39"/>
        <v>240.39833119354833</v>
      </c>
      <c r="P506" s="6"/>
    </row>
    <row r="507" spans="1:16" x14ac:dyDescent="0.25">
      <c r="A507" s="2" t="s">
        <v>618</v>
      </c>
      <c r="B507" s="6">
        <f t="shared" si="38"/>
        <v>506</v>
      </c>
      <c r="C507" s="16">
        <v>10362</v>
      </c>
      <c r="D507" s="3" t="s">
        <v>613</v>
      </c>
      <c r="E507" s="3" t="s">
        <v>219</v>
      </c>
      <c r="F507" s="6">
        <v>31</v>
      </c>
      <c r="G507" s="6">
        <v>10</v>
      </c>
      <c r="H507" s="14">
        <v>7396.8717290322575</v>
      </c>
      <c r="I507" s="14">
        <v>814.5097687741935</v>
      </c>
      <c r="J507" s="14">
        <v>55.476537967741926</v>
      </c>
      <c r="K507" s="14">
        <v>0</v>
      </c>
      <c r="L507" s="24">
        <v>869.98630674193544</v>
      </c>
      <c r="M507" s="34">
        <v>6527</v>
      </c>
      <c r="N507" s="8">
        <v>882.38558283870964</v>
      </c>
      <c r="O507" s="14">
        <f t="shared" si="39"/>
        <v>240.39833119354833</v>
      </c>
      <c r="P507" s="6"/>
    </row>
    <row r="508" spans="1:16" x14ac:dyDescent="0.25">
      <c r="A508" s="2" t="s">
        <v>618</v>
      </c>
      <c r="B508" s="6">
        <f t="shared" si="38"/>
        <v>507</v>
      </c>
      <c r="C508" s="16">
        <v>11621</v>
      </c>
      <c r="D508" s="3" t="s">
        <v>614</v>
      </c>
      <c r="E508" s="3" t="s">
        <v>219</v>
      </c>
      <c r="F508" s="6">
        <v>31</v>
      </c>
      <c r="G508" s="6">
        <v>2</v>
      </c>
      <c r="H508" s="14">
        <v>1365.0800619354839</v>
      </c>
      <c r="I508" s="14">
        <v>149.18663969032258</v>
      </c>
      <c r="J508" s="14">
        <v>10.238100464516128</v>
      </c>
      <c r="K508" s="14">
        <v>0</v>
      </c>
      <c r="L508" s="24">
        <v>159.4247401548387</v>
      </c>
      <c r="M508" s="34">
        <v>1206</v>
      </c>
      <c r="N508" s="8">
        <v>161.61885966451612</v>
      </c>
      <c r="O508" s="14">
        <f t="shared" si="39"/>
        <v>44.365102012903215</v>
      </c>
      <c r="P508" s="6"/>
    </row>
    <row r="509" spans="1:16" x14ac:dyDescent="0.25">
      <c r="A509" s="2" t="s">
        <v>618</v>
      </c>
      <c r="B509" s="6">
        <f t="shared" si="38"/>
        <v>508</v>
      </c>
      <c r="C509" s="16">
        <v>10348</v>
      </c>
      <c r="D509" s="3" t="s">
        <v>615</v>
      </c>
      <c r="E509" s="3" t="s">
        <v>417</v>
      </c>
      <c r="F509" s="6">
        <v>31</v>
      </c>
      <c r="G509" s="6">
        <v>8</v>
      </c>
      <c r="H509" s="14">
        <v>6084.2260025806454</v>
      </c>
      <c r="I509" s="14">
        <v>671.61524934193551</v>
      </c>
      <c r="J509" s="14">
        <v>45.631695019354837</v>
      </c>
      <c r="K509" s="14">
        <v>0</v>
      </c>
      <c r="L509" s="24">
        <v>717.24694436129039</v>
      </c>
      <c r="M509" s="34">
        <v>5367</v>
      </c>
      <c r="N509" s="8">
        <v>727.58318678709691</v>
      </c>
      <c r="O509" s="14">
        <f t="shared" si="39"/>
        <v>197.73734508387096</v>
      </c>
      <c r="P509" s="6"/>
    </row>
    <row r="510" spans="1:16" x14ac:dyDescent="0.25">
      <c r="A510" s="2" t="s">
        <v>618</v>
      </c>
      <c r="B510" s="6">
        <f t="shared" si="38"/>
        <v>509</v>
      </c>
      <c r="C510" s="16">
        <v>10909</v>
      </c>
      <c r="D510" s="3" t="s">
        <v>616</v>
      </c>
      <c r="E510" s="3" t="s">
        <v>340</v>
      </c>
      <c r="F510" s="6">
        <v>31</v>
      </c>
      <c r="G510" s="6">
        <v>10</v>
      </c>
      <c r="H510" s="14">
        <v>7605.2825032258061</v>
      </c>
      <c r="I510" s="14">
        <v>839.51906167741936</v>
      </c>
      <c r="J510" s="14">
        <v>57.039618774193542</v>
      </c>
      <c r="K510" s="14">
        <v>0</v>
      </c>
      <c r="L510" s="24">
        <v>896.55868045161287</v>
      </c>
      <c r="M510" s="34">
        <v>6709</v>
      </c>
      <c r="N510" s="8">
        <v>909.47898348387105</v>
      </c>
      <c r="O510" s="14">
        <f t="shared" si="39"/>
        <v>247.17168135483868</v>
      </c>
      <c r="P510" s="6"/>
    </row>
    <row r="511" spans="1:16" x14ac:dyDescent="0.25">
      <c r="A511" s="2" t="s">
        <v>618</v>
      </c>
      <c r="B511" s="6">
        <f t="shared" si="38"/>
        <v>510</v>
      </c>
      <c r="C511" s="16">
        <v>10933</v>
      </c>
      <c r="D511" s="2" t="s">
        <v>617</v>
      </c>
      <c r="E511" s="2" t="s">
        <v>458</v>
      </c>
      <c r="F511" s="6">
        <v>31</v>
      </c>
      <c r="G511" s="6">
        <v>10</v>
      </c>
      <c r="H511" s="14">
        <v>7953.3319870967734</v>
      </c>
      <c r="I511" s="14">
        <v>881.28499974193539</v>
      </c>
      <c r="J511" s="14">
        <v>59.649989903225801</v>
      </c>
      <c r="K511" s="14">
        <v>0</v>
      </c>
      <c r="L511" s="24">
        <v>940.93498964516118</v>
      </c>
      <c r="M511" s="34">
        <v>7012</v>
      </c>
      <c r="N511" s="8">
        <v>954.72541638709663</v>
      </c>
      <c r="O511" s="14">
        <f t="shared" si="39"/>
        <v>258.48328958064513</v>
      </c>
      <c r="P511" s="6"/>
    </row>
    <row r="512" spans="1:16" x14ac:dyDescent="0.25">
      <c r="A512" s="2" t="s">
        <v>634</v>
      </c>
      <c r="B512" s="6">
        <f t="shared" si="38"/>
        <v>511</v>
      </c>
      <c r="C512" s="87">
        <v>11390</v>
      </c>
      <c r="D512" s="79" t="s">
        <v>619</v>
      </c>
      <c r="E512" s="79" t="s">
        <v>143</v>
      </c>
      <c r="F512" s="26">
        <v>31</v>
      </c>
      <c r="G512" s="14">
        <f>+VLOOKUP(C512,[19]ATTANDANCE!$A$4:$AO$32,41,0)</f>
        <v>24</v>
      </c>
      <c r="H512" s="14">
        <v>21842.118967741935</v>
      </c>
      <c r="I512" s="14">
        <v>1800</v>
      </c>
      <c r="J512" s="14">
        <v>0</v>
      </c>
      <c r="K512" s="14">
        <v>200</v>
      </c>
      <c r="L512" s="14">
        <v>2000</v>
      </c>
      <c r="M512" s="15">
        <v>19842</v>
      </c>
      <c r="N512" s="8">
        <v>1950</v>
      </c>
      <c r="O512" s="6"/>
      <c r="P512" s="6"/>
    </row>
    <row r="513" spans="1:16" x14ac:dyDescent="0.25">
      <c r="A513" s="2" t="s">
        <v>634</v>
      </c>
      <c r="B513" s="6">
        <f t="shared" si="38"/>
        <v>512</v>
      </c>
      <c r="C513" s="87">
        <v>10383</v>
      </c>
      <c r="D513" s="79" t="s">
        <v>620</v>
      </c>
      <c r="E513" s="79" t="s">
        <v>621</v>
      </c>
      <c r="F513" s="26">
        <v>31</v>
      </c>
      <c r="G513" s="14">
        <f>+VLOOKUP(C513,[19]ATTANDANCE!$A$4:$AO$32,41,0)</f>
        <v>30</v>
      </c>
      <c r="H513" s="14">
        <v>24810.097741935486</v>
      </c>
      <c r="I513" s="14">
        <v>1800</v>
      </c>
      <c r="J513" s="14">
        <v>143.91363629032259</v>
      </c>
      <c r="K513" s="14">
        <v>200</v>
      </c>
      <c r="L513" s="14">
        <v>2143.9136362903228</v>
      </c>
      <c r="M513" s="15">
        <v>22666</v>
      </c>
      <c r="N513" s="8">
        <v>1950</v>
      </c>
      <c r="O513" s="6"/>
      <c r="P513" s="6"/>
    </row>
    <row r="514" spans="1:16" x14ac:dyDescent="0.25">
      <c r="A514" s="2" t="s">
        <v>634</v>
      </c>
      <c r="B514" s="6">
        <f t="shared" si="38"/>
        <v>513</v>
      </c>
      <c r="C514" s="87">
        <v>1</v>
      </c>
      <c r="D514" s="79" t="s">
        <v>622</v>
      </c>
      <c r="E514" s="79" t="s">
        <v>51</v>
      </c>
      <c r="F514" s="26">
        <v>31</v>
      </c>
      <c r="G514" s="14">
        <f>+VLOOKUP(C514,[19]ATTANDANCE!$A$4:$AO$32,41,0)</f>
        <v>30</v>
      </c>
      <c r="H514" s="14">
        <v>24333.580645161292</v>
      </c>
      <c r="I514" s="14">
        <v>1800</v>
      </c>
      <c r="J514" s="14">
        <v>140.33975806451613</v>
      </c>
      <c r="K514" s="14">
        <v>200</v>
      </c>
      <c r="L514" s="14">
        <v>2140.339758064516</v>
      </c>
      <c r="M514" s="15">
        <v>22193</v>
      </c>
      <c r="N514" s="8">
        <v>1950</v>
      </c>
      <c r="O514" s="6"/>
      <c r="P514" s="6"/>
    </row>
    <row r="515" spans="1:16" x14ac:dyDescent="0.25">
      <c r="A515" s="2" t="s">
        <v>634</v>
      </c>
      <c r="B515" s="6">
        <f t="shared" ref="B515:B578" si="40">B514+1</f>
        <v>514</v>
      </c>
      <c r="C515" s="88">
        <v>11608</v>
      </c>
      <c r="D515" s="12" t="s">
        <v>623</v>
      </c>
      <c r="E515" s="79" t="s">
        <v>624</v>
      </c>
      <c r="F515" s="26">
        <v>31</v>
      </c>
      <c r="G515" s="14">
        <f>+VLOOKUP(C515,[19]ATTANDANCE!$A$4:$AO$32,41,0)</f>
        <v>31</v>
      </c>
      <c r="H515" s="14">
        <v>20060.885599999998</v>
      </c>
      <c r="I515" s="14">
        <v>1800</v>
      </c>
      <c r="J515" s="14">
        <v>139.35664199999997</v>
      </c>
      <c r="K515" s="14">
        <v>200</v>
      </c>
      <c r="L515" s="14">
        <v>2139.3566419999997</v>
      </c>
      <c r="M515" s="15">
        <v>17922</v>
      </c>
      <c r="N515" s="8">
        <v>1950</v>
      </c>
      <c r="O515" s="6"/>
      <c r="P515" s="6"/>
    </row>
    <row r="516" spans="1:16" x14ac:dyDescent="0.25">
      <c r="A516" s="2" t="s">
        <v>634</v>
      </c>
      <c r="B516" s="6">
        <f t="shared" si="40"/>
        <v>515</v>
      </c>
      <c r="C516" s="88">
        <v>11414</v>
      </c>
      <c r="D516" s="12" t="s">
        <v>625</v>
      </c>
      <c r="E516" s="79" t="s">
        <v>624</v>
      </c>
      <c r="F516" s="26">
        <v>31</v>
      </c>
      <c r="G516" s="14">
        <f>+VLOOKUP(C516,[19]ATTANDANCE!$A$4:$AO$32,41,0)</f>
        <v>30</v>
      </c>
      <c r="H516" s="14">
        <v>19413.760258064514</v>
      </c>
      <c r="I516" s="14">
        <v>1800</v>
      </c>
      <c r="J516" s="14">
        <v>134.86126645161289</v>
      </c>
      <c r="K516" s="14">
        <v>150</v>
      </c>
      <c r="L516" s="14">
        <v>2084.8612664516131</v>
      </c>
      <c r="M516" s="15">
        <v>17329</v>
      </c>
      <c r="N516" s="8">
        <v>1950</v>
      </c>
      <c r="O516" s="6"/>
      <c r="P516" s="6"/>
    </row>
    <row r="517" spans="1:16" x14ac:dyDescent="0.25">
      <c r="A517" s="2" t="s">
        <v>634</v>
      </c>
      <c r="B517" s="6">
        <f t="shared" si="40"/>
        <v>516</v>
      </c>
      <c r="C517" s="88">
        <v>10952</v>
      </c>
      <c r="D517" s="12" t="s">
        <v>626</v>
      </c>
      <c r="E517" s="79" t="s">
        <v>137</v>
      </c>
      <c r="F517" s="26">
        <v>31</v>
      </c>
      <c r="G517" s="14">
        <f>+VLOOKUP(C517,[19]ATTANDANCE!$A$4:$AO$32,41,0)</f>
        <v>31</v>
      </c>
      <c r="H517" s="14">
        <v>20060.885599999998</v>
      </c>
      <c r="I517" s="14">
        <v>1800</v>
      </c>
      <c r="J517" s="14">
        <v>139.35664199999997</v>
      </c>
      <c r="K517" s="14">
        <v>200</v>
      </c>
      <c r="L517" s="14">
        <v>2139.3566419999997</v>
      </c>
      <c r="M517" s="15">
        <v>17922</v>
      </c>
      <c r="N517" s="8">
        <v>1950</v>
      </c>
      <c r="O517" s="6"/>
      <c r="P517" s="6"/>
    </row>
    <row r="518" spans="1:16" x14ac:dyDescent="0.25">
      <c r="A518" s="2" t="s">
        <v>634</v>
      </c>
      <c r="B518" s="6">
        <f t="shared" si="40"/>
        <v>517</v>
      </c>
      <c r="C518" s="30">
        <v>10296</v>
      </c>
      <c r="D518" s="79" t="s">
        <v>627</v>
      </c>
      <c r="E518" s="79" t="s">
        <v>624</v>
      </c>
      <c r="F518" s="26">
        <v>31</v>
      </c>
      <c r="G518" s="14">
        <f>+VLOOKUP(C518,[19]ATTANDANCE!$A$4:$AO$32,41,0)</f>
        <v>31</v>
      </c>
      <c r="H518" s="14">
        <v>20060.885599999998</v>
      </c>
      <c r="I518" s="14">
        <v>1800</v>
      </c>
      <c r="J518" s="14">
        <v>139.35664199999997</v>
      </c>
      <c r="K518" s="14">
        <v>200</v>
      </c>
      <c r="L518" s="14">
        <v>2139.3566419999997</v>
      </c>
      <c r="M518" s="15">
        <v>17922</v>
      </c>
      <c r="N518" s="8">
        <v>1950</v>
      </c>
      <c r="O518" s="6"/>
      <c r="P518" s="6"/>
    </row>
    <row r="519" spans="1:16" x14ac:dyDescent="0.25">
      <c r="A519" s="2" t="s">
        <v>634</v>
      </c>
      <c r="B519" s="6">
        <f t="shared" si="40"/>
        <v>518</v>
      </c>
      <c r="C519" s="87">
        <v>11482</v>
      </c>
      <c r="D519" s="79" t="s">
        <v>628</v>
      </c>
      <c r="E519" s="79" t="s">
        <v>137</v>
      </c>
      <c r="F519" s="26">
        <v>31</v>
      </c>
      <c r="G519" s="14">
        <f>+VLOOKUP(C519,[19]ATTANDANCE!$A$4:$AO$32,41,0)</f>
        <v>31</v>
      </c>
      <c r="H519" s="14">
        <v>20060.885599999998</v>
      </c>
      <c r="I519" s="14">
        <v>1800</v>
      </c>
      <c r="J519" s="14">
        <v>139.35664199999997</v>
      </c>
      <c r="K519" s="14">
        <v>200</v>
      </c>
      <c r="L519" s="14">
        <v>2139.3566419999997</v>
      </c>
      <c r="M519" s="15">
        <v>17922</v>
      </c>
      <c r="N519" s="8">
        <v>1950</v>
      </c>
      <c r="O519" s="6"/>
      <c r="P519" s="6"/>
    </row>
    <row r="520" spans="1:16" x14ac:dyDescent="0.25">
      <c r="A520" s="2" t="s">
        <v>634</v>
      </c>
      <c r="B520" s="6">
        <f t="shared" si="40"/>
        <v>519</v>
      </c>
      <c r="C520" s="87">
        <v>11775</v>
      </c>
      <c r="D520" s="79" t="s">
        <v>629</v>
      </c>
      <c r="E520" s="79" t="s">
        <v>137</v>
      </c>
      <c r="F520" s="26">
        <v>31</v>
      </c>
      <c r="G520" s="14">
        <f>+VLOOKUP(C520,[19]ATTANDANCE!$A$4:$AO$32,41,0)</f>
        <v>6</v>
      </c>
      <c r="H520" s="14">
        <v>3882.7520516129034</v>
      </c>
      <c r="I520" s="14">
        <v>431.55605264516129</v>
      </c>
      <c r="J520" s="14">
        <v>26.97225329032258</v>
      </c>
      <c r="K520" s="14">
        <v>0</v>
      </c>
      <c r="L520" s="14">
        <v>458.52830593548384</v>
      </c>
      <c r="M520" s="15">
        <v>3424</v>
      </c>
      <c r="N520" s="8">
        <v>467.5190570322581</v>
      </c>
      <c r="O520" s="6"/>
      <c r="P520" s="6"/>
    </row>
    <row r="521" spans="1:16" x14ac:dyDescent="0.25">
      <c r="A521" s="2" t="s">
        <v>634</v>
      </c>
      <c r="B521" s="6">
        <f t="shared" si="40"/>
        <v>520</v>
      </c>
      <c r="C521" s="87">
        <v>10732</v>
      </c>
      <c r="D521" s="79" t="s">
        <v>630</v>
      </c>
      <c r="E521" s="79" t="s">
        <v>137</v>
      </c>
      <c r="F521" s="26">
        <v>31</v>
      </c>
      <c r="G521" s="14">
        <f>+VLOOKUP(C521,[19]ATTANDANCE!$A$4:$AO$32,41,0)</f>
        <v>31</v>
      </c>
      <c r="H521" s="14">
        <v>20060.885599999998</v>
      </c>
      <c r="I521" s="14">
        <v>1800</v>
      </c>
      <c r="J521" s="14">
        <v>139.35664199999997</v>
      </c>
      <c r="K521" s="14">
        <v>200</v>
      </c>
      <c r="L521" s="14">
        <v>2139.3566419999997</v>
      </c>
      <c r="M521" s="15">
        <v>17922</v>
      </c>
      <c r="N521" s="8">
        <v>1950</v>
      </c>
      <c r="O521" s="6"/>
      <c r="P521" s="6"/>
    </row>
    <row r="522" spans="1:16" x14ac:dyDescent="0.25">
      <c r="A522" s="2" t="s">
        <v>634</v>
      </c>
      <c r="B522" s="6">
        <f t="shared" si="40"/>
        <v>521</v>
      </c>
      <c r="C522" s="87">
        <v>11741</v>
      </c>
      <c r="D522" s="79" t="s">
        <v>631</v>
      </c>
      <c r="E522" s="79" t="s">
        <v>137</v>
      </c>
      <c r="F522" s="26">
        <v>31</v>
      </c>
      <c r="G522" s="14">
        <f>+VLOOKUP(C522,[19]ATTANDANCE!$A$4:$AO$32,41,0)</f>
        <v>28</v>
      </c>
      <c r="H522" s="14">
        <v>18119.509574193547</v>
      </c>
      <c r="I522" s="14">
        <v>1800</v>
      </c>
      <c r="J522" s="14">
        <v>125.8705153548387</v>
      </c>
      <c r="K522" s="14">
        <v>150</v>
      </c>
      <c r="L522" s="14">
        <v>2075.870515354839</v>
      </c>
      <c r="M522" s="15">
        <v>16044</v>
      </c>
      <c r="N522" s="8">
        <v>1950</v>
      </c>
      <c r="O522" s="6"/>
      <c r="P522" s="6"/>
    </row>
    <row r="523" spans="1:16" x14ac:dyDescent="0.25">
      <c r="A523" s="2" t="s">
        <v>634</v>
      </c>
      <c r="B523" s="6">
        <f t="shared" si="40"/>
        <v>522</v>
      </c>
      <c r="C523" s="87">
        <v>11953</v>
      </c>
      <c r="D523" s="79" t="s">
        <v>632</v>
      </c>
      <c r="E523" s="79" t="s">
        <v>137</v>
      </c>
      <c r="F523" s="26">
        <v>31</v>
      </c>
      <c r="G523" s="14">
        <f>+VLOOKUP(C523,[19]ATTANDANCE!$A$4:$AO$32,41,0)</f>
        <v>31</v>
      </c>
      <c r="H523" s="14">
        <v>20060.885599999998</v>
      </c>
      <c r="I523" s="14">
        <v>1800</v>
      </c>
      <c r="J523" s="14">
        <v>139.35664199999997</v>
      </c>
      <c r="K523" s="14">
        <v>200</v>
      </c>
      <c r="L523" s="14">
        <v>2139.3566419999997</v>
      </c>
      <c r="M523" s="15">
        <v>17922</v>
      </c>
      <c r="N523" s="8">
        <v>1950</v>
      </c>
      <c r="O523" s="6"/>
      <c r="P523" s="6"/>
    </row>
    <row r="524" spans="1:16" x14ac:dyDescent="0.25">
      <c r="A524" s="2" t="s">
        <v>634</v>
      </c>
      <c r="B524" s="6">
        <f t="shared" si="40"/>
        <v>523</v>
      </c>
      <c r="C524" s="87">
        <v>2</v>
      </c>
      <c r="D524" s="79" t="s">
        <v>633</v>
      </c>
      <c r="E524" s="79" t="s">
        <v>137</v>
      </c>
      <c r="F524" s="26">
        <v>31</v>
      </c>
      <c r="G524" s="14">
        <f>+VLOOKUP(C524,[19]ATTANDANCE!$A$4:$AO$32,41,0)</f>
        <v>22</v>
      </c>
      <c r="H524" s="14">
        <v>14236.757522580643</v>
      </c>
      <c r="I524" s="14">
        <v>1582.3721930322579</v>
      </c>
      <c r="J524" s="14">
        <v>98.898262064516118</v>
      </c>
      <c r="K524" s="14">
        <v>0</v>
      </c>
      <c r="L524" s="14">
        <v>1681.270455096774</v>
      </c>
      <c r="M524" s="15">
        <v>12555</v>
      </c>
      <c r="N524" s="8">
        <v>1714.2365424516126</v>
      </c>
      <c r="O524" s="6"/>
      <c r="P524" s="6"/>
    </row>
    <row r="525" spans="1:16" x14ac:dyDescent="0.25">
      <c r="A525" s="2" t="s">
        <v>651</v>
      </c>
      <c r="B525" s="6">
        <f t="shared" si="40"/>
        <v>524</v>
      </c>
      <c r="C525" s="87">
        <v>2</v>
      </c>
      <c r="D525" s="79" t="s">
        <v>635</v>
      </c>
      <c r="E525" s="79" t="s">
        <v>143</v>
      </c>
      <c r="F525" s="26">
        <v>31</v>
      </c>
      <c r="G525" s="14">
        <f>VLOOKUP(C525,[20]ATTANDANCE!$A$6:$AO$33,41,0)</f>
        <v>30</v>
      </c>
      <c r="H525" s="14">
        <v>27302.648709677422</v>
      </c>
      <c r="I525" s="14">
        <v>1800</v>
      </c>
      <c r="J525" s="14">
        <v>0</v>
      </c>
      <c r="K525" s="14">
        <v>200</v>
      </c>
      <c r="L525" s="14">
        <v>2000</v>
      </c>
      <c r="M525" s="15">
        <v>25303</v>
      </c>
      <c r="N525" s="8">
        <v>1950</v>
      </c>
      <c r="O525" s="6"/>
      <c r="P525" s="6"/>
    </row>
    <row r="526" spans="1:16" x14ac:dyDescent="0.25">
      <c r="A526" s="2" t="s">
        <v>651</v>
      </c>
      <c r="B526" s="6">
        <f t="shared" si="40"/>
        <v>525</v>
      </c>
      <c r="C526" s="87">
        <v>12022</v>
      </c>
      <c r="D526" s="79" t="s">
        <v>636</v>
      </c>
      <c r="E526" s="79" t="s">
        <v>637</v>
      </c>
      <c r="F526" s="26">
        <v>31</v>
      </c>
      <c r="G526" s="14">
        <f>VLOOKUP(C526,[20]ATTANDANCE!$A$6:$AO$33,41,0)</f>
        <v>31</v>
      </c>
      <c r="H526" s="14">
        <v>52000.145400000001</v>
      </c>
      <c r="I526" s="14">
        <v>1800</v>
      </c>
      <c r="J526" s="14">
        <v>0</v>
      </c>
      <c r="K526" s="14">
        <v>200</v>
      </c>
      <c r="L526" s="14">
        <v>2000</v>
      </c>
      <c r="M526" s="15">
        <v>50000</v>
      </c>
      <c r="N526" s="8">
        <v>1950</v>
      </c>
      <c r="O526" s="6"/>
      <c r="P526" s="6"/>
    </row>
    <row r="527" spans="1:16" x14ac:dyDescent="0.25">
      <c r="A527" s="2" t="s">
        <v>651</v>
      </c>
      <c r="B527" s="6">
        <f t="shared" si="40"/>
        <v>526</v>
      </c>
      <c r="C527" s="87">
        <v>10605</v>
      </c>
      <c r="D527" s="79" t="s">
        <v>638</v>
      </c>
      <c r="E527" s="79" t="s">
        <v>51</v>
      </c>
      <c r="F527" s="26">
        <v>31</v>
      </c>
      <c r="G527" s="14">
        <f>VLOOKUP(C527,[20]ATTANDANCE!$A$6:$AO$33,41,0)</f>
        <v>30</v>
      </c>
      <c r="H527" s="14">
        <v>24333.580645161292</v>
      </c>
      <c r="I527" s="14">
        <v>1800</v>
      </c>
      <c r="J527" s="14">
        <v>140.33975806451613</v>
      </c>
      <c r="K527" s="14">
        <v>200</v>
      </c>
      <c r="L527" s="14">
        <v>2140.339758064516</v>
      </c>
      <c r="M527" s="15">
        <v>22193</v>
      </c>
      <c r="N527" s="8">
        <v>1950</v>
      </c>
      <c r="O527" s="6"/>
      <c r="P527" s="6"/>
    </row>
    <row r="528" spans="1:16" x14ac:dyDescent="0.25">
      <c r="A528" s="2" t="s">
        <v>651</v>
      </c>
      <c r="B528" s="6">
        <f t="shared" si="40"/>
        <v>527</v>
      </c>
      <c r="C528" s="87">
        <v>12034</v>
      </c>
      <c r="D528" s="79" t="s">
        <v>639</v>
      </c>
      <c r="E528" s="79" t="s">
        <v>640</v>
      </c>
      <c r="F528" s="26">
        <v>31</v>
      </c>
      <c r="G528" s="14">
        <f>VLOOKUP(C528,[20]ATTANDANCE!$A$6:$AO$33,41,0)</f>
        <v>29</v>
      </c>
      <c r="H528" s="14">
        <v>18756.51110967742</v>
      </c>
      <c r="I528" s="14">
        <v>1800</v>
      </c>
      <c r="J528" s="14">
        <v>130.28996235483871</v>
      </c>
      <c r="K528" s="14">
        <v>150</v>
      </c>
      <c r="L528" s="14">
        <v>2080.2899623548387</v>
      </c>
      <c r="M528" s="15">
        <v>16676</v>
      </c>
      <c r="N528" s="8">
        <v>1950</v>
      </c>
      <c r="O528" s="6"/>
      <c r="P528" s="6"/>
    </row>
    <row r="529" spans="1:16" x14ac:dyDescent="0.25">
      <c r="A529" s="2" t="s">
        <v>651</v>
      </c>
      <c r="B529" s="6">
        <f t="shared" si="40"/>
        <v>528</v>
      </c>
      <c r="C529" s="89">
        <v>12039</v>
      </c>
      <c r="D529" s="79" t="s">
        <v>641</v>
      </c>
      <c r="E529" s="79" t="s">
        <v>624</v>
      </c>
      <c r="F529" s="26">
        <v>31</v>
      </c>
      <c r="G529" s="14">
        <f>VLOOKUP(C529,[20]ATTANDANCE!$A$6:$AO$33,41,0)</f>
        <v>31</v>
      </c>
      <c r="H529" s="14">
        <v>20050.063600000001</v>
      </c>
      <c r="I529" s="14">
        <v>1800</v>
      </c>
      <c r="J529" s="14">
        <v>139.275477</v>
      </c>
      <c r="K529" s="14">
        <v>200</v>
      </c>
      <c r="L529" s="14">
        <v>2139.2754770000001</v>
      </c>
      <c r="M529" s="15">
        <v>17911</v>
      </c>
      <c r="N529" s="8">
        <v>1950</v>
      </c>
      <c r="O529" s="6"/>
      <c r="P529" s="6"/>
    </row>
    <row r="530" spans="1:16" x14ac:dyDescent="0.25">
      <c r="A530" s="2" t="s">
        <v>651</v>
      </c>
      <c r="B530" s="6">
        <f t="shared" si="40"/>
        <v>529</v>
      </c>
      <c r="C530" s="87">
        <v>10896</v>
      </c>
      <c r="D530" s="79" t="s">
        <v>642</v>
      </c>
      <c r="E530" s="79" t="s">
        <v>624</v>
      </c>
      <c r="F530" s="26">
        <v>31</v>
      </c>
      <c r="G530" s="14">
        <f>VLOOKUP(C530,[20]ATTANDANCE!$A$6:$AO$33,41,0)</f>
        <v>29</v>
      </c>
      <c r="H530" s="14">
        <v>18756.51110967742</v>
      </c>
      <c r="I530" s="14">
        <v>1800</v>
      </c>
      <c r="J530" s="14">
        <v>130.28996235483871</v>
      </c>
      <c r="K530" s="14">
        <v>150</v>
      </c>
      <c r="L530" s="14">
        <v>2080.2899623548387</v>
      </c>
      <c r="M530" s="15">
        <v>16676</v>
      </c>
      <c r="N530" s="8">
        <v>1950</v>
      </c>
      <c r="O530" s="6"/>
      <c r="P530" s="6"/>
    </row>
    <row r="531" spans="1:16" x14ac:dyDescent="0.25">
      <c r="A531" s="2" t="s">
        <v>651</v>
      </c>
      <c r="B531" s="6">
        <f t="shared" si="40"/>
        <v>530</v>
      </c>
      <c r="C531" s="88">
        <v>11997</v>
      </c>
      <c r="D531" s="12" t="s">
        <v>643</v>
      </c>
      <c r="E531" s="79" t="s">
        <v>624</v>
      </c>
      <c r="F531" s="26">
        <v>31</v>
      </c>
      <c r="G531" s="14">
        <f>VLOOKUP(C531,[20]ATTANDANCE!$A$6:$AO$33,41,0)</f>
        <v>29</v>
      </c>
      <c r="H531" s="14">
        <v>18756.51110967742</v>
      </c>
      <c r="I531" s="14">
        <v>1800</v>
      </c>
      <c r="J531" s="14">
        <v>130.28996235483871</v>
      </c>
      <c r="K531" s="14">
        <v>150</v>
      </c>
      <c r="L531" s="14">
        <v>2080.2899623548387</v>
      </c>
      <c r="M531" s="15">
        <v>16676</v>
      </c>
      <c r="N531" s="8">
        <v>1950</v>
      </c>
      <c r="O531" s="6"/>
      <c r="P531" s="6"/>
    </row>
    <row r="532" spans="1:16" x14ac:dyDescent="0.25">
      <c r="A532" s="2" t="s">
        <v>651</v>
      </c>
      <c r="B532" s="6">
        <f t="shared" si="40"/>
        <v>531</v>
      </c>
      <c r="C532" s="88">
        <v>12053</v>
      </c>
      <c r="D532" s="12" t="s">
        <v>644</v>
      </c>
      <c r="E532" s="79" t="s">
        <v>624</v>
      </c>
      <c r="F532" s="26">
        <v>31</v>
      </c>
      <c r="G532" s="14">
        <f>VLOOKUP(C532,[20]ATTANDANCE!$A$6:$AO$33,41,0)</f>
        <v>30</v>
      </c>
      <c r="H532" s="14">
        <v>19403.287354838711</v>
      </c>
      <c r="I532" s="14">
        <v>1800</v>
      </c>
      <c r="J532" s="14">
        <v>134.78271967741935</v>
      </c>
      <c r="K532" s="14">
        <v>150</v>
      </c>
      <c r="L532" s="14">
        <v>2084.7827196774197</v>
      </c>
      <c r="M532" s="15">
        <v>17319</v>
      </c>
      <c r="N532" s="8">
        <v>1950</v>
      </c>
      <c r="O532" s="6"/>
      <c r="P532" s="6"/>
    </row>
    <row r="533" spans="1:16" x14ac:dyDescent="0.25">
      <c r="A533" s="2" t="s">
        <v>651</v>
      </c>
      <c r="B533" s="6">
        <f t="shared" si="40"/>
        <v>532</v>
      </c>
      <c r="C533" s="88">
        <v>1</v>
      </c>
      <c r="D533" s="12" t="s">
        <v>645</v>
      </c>
      <c r="E533" s="79" t="s">
        <v>137</v>
      </c>
      <c r="F533" s="26">
        <v>31</v>
      </c>
      <c r="G533" s="14">
        <f>VLOOKUP(C533,[20]ATTANDANCE!$A$6:$AO$33,41,0)</f>
        <v>18</v>
      </c>
      <c r="H533" s="14">
        <v>11641.972412903226</v>
      </c>
      <c r="I533" s="14">
        <v>1293.9141089032257</v>
      </c>
      <c r="J533" s="14">
        <v>80.869631806451608</v>
      </c>
      <c r="K533" s="14">
        <v>0</v>
      </c>
      <c r="L533" s="14">
        <v>1374.7837407096774</v>
      </c>
      <c r="M533" s="15">
        <v>10267</v>
      </c>
      <c r="N533" s="8">
        <v>1401.7402846451612</v>
      </c>
      <c r="O533" s="6"/>
      <c r="P533" s="6"/>
    </row>
    <row r="534" spans="1:16" x14ac:dyDescent="0.25">
      <c r="A534" s="2" t="s">
        <v>651</v>
      </c>
      <c r="B534" s="6">
        <f t="shared" si="40"/>
        <v>533</v>
      </c>
      <c r="C534" s="88">
        <v>3</v>
      </c>
      <c r="D534" s="12" t="s">
        <v>646</v>
      </c>
      <c r="E534" s="79" t="s">
        <v>137</v>
      </c>
      <c r="F534" s="26">
        <v>31</v>
      </c>
      <c r="G534" s="14">
        <f>VLOOKUP(C534,[20]ATTANDANCE!$A$6:$AO$33,41,0)</f>
        <v>28</v>
      </c>
      <c r="H534" s="14">
        <v>18109.734864516129</v>
      </c>
      <c r="I534" s="14">
        <v>1800</v>
      </c>
      <c r="J534" s="14">
        <v>125.79720503225806</v>
      </c>
      <c r="K534" s="14">
        <v>150</v>
      </c>
      <c r="L534" s="14">
        <v>2075.7972050322578</v>
      </c>
      <c r="M534" s="15">
        <v>16034</v>
      </c>
      <c r="N534" s="8">
        <v>1950</v>
      </c>
      <c r="O534" s="6"/>
      <c r="P534" s="6"/>
    </row>
    <row r="535" spans="1:16" x14ac:dyDescent="0.25">
      <c r="A535" s="2" t="s">
        <v>651</v>
      </c>
      <c r="B535" s="6">
        <f t="shared" si="40"/>
        <v>534</v>
      </c>
      <c r="C535" s="88">
        <v>4</v>
      </c>
      <c r="D535" s="12" t="s">
        <v>647</v>
      </c>
      <c r="E535" s="79" t="s">
        <v>137</v>
      </c>
      <c r="F535" s="26">
        <v>31</v>
      </c>
      <c r="G535" s="14">
        <f>VLOOKUP(C535,[20]ATTANDANCE!$A$6:$AO$33,41,0)</f>
        <v>19</v>
      </c>
      <c r="H535" s="14">
        <v>12288.748658064516</v>
      </c>
      <c r="I535" s="14">
        <v>1365.798226064516</v>
      </c>
      <c r="J535" s="14">
        <v>85.362389129032252</v>
      </c>
      <c r="K535" s="14">
        <v>0</v>
      </c>
      <c r="L535" s="14">
        <v>1451.1606151935482</v>
      </c>
      <c r="M535" s="15">
        <v>10838</v>
      </c>
      <c r="N535" s="8">
        <v>1479.6147449032258</v>
      </c>
      <c r="O535" s="6"/>
      <c r="P535" s="6"/>
    </row>
    <row r="536" spans="1:16" x14ac:dyDescent="0.25">
      <c r="A536" s="2" t="s">
        <v>651</v>
      </c>
      <c r="B536" s="6">
        <f t="shared" si="40"/>
        <v>535</v>
      </c>
      <c r="C536" s="88">
        <v>5</v>
      </c>
      <c r="D536" s="12" t="s">
        <v>648</v>
      </c>
      <c r="E536" s="79" t="s">
        <v>137</v>
      </c>
      <c r="F536" s="26">
        <v>31</v>
      </c>
      <c r="G536" s="14">
        <f>VLOOKUP(C536,[20]ATTANDANCE!$A$6:$AO$33,41,0)</f>
        <v>10</v>
      </c>
      <c r="H536" s="14">
        <v>6467.7624516129017</v>
      </c>
      <c r="I536" s="14">
        <v>718.84117161290305</v>
      </c>
      <c r="J536" s="14">
        <v>44.927573225806441</v>
      </c>
      <c r="K536" s="14">
        <v>0</v>
      </c>
      <c r="L536" s="14">
        <v>763.76874483870949</v>
      </c>
      <c r="M536" s="15">
        <v>5704</v>
      </c>
      <c r="N536" s="8">
        <v>778.74460258064494</v>
      </c>
      <c r="O536" s="6"/>
      <c r="P536" s="6"/>
    </row>
    <row r="537" spans="1:16" x14ac:dyDescent="0.25">
      <c r="A537" s="2" t="s">
        <v>651</v>
      </c>
      <c r="B537" s="6">
        <f t="shared" si="40"/>
        <v>536</v>
      </c>
      <c r="C537" s="88">
        <v>12073</v>
      </c>
      <c r="D537" s="12" t="s">
        <v>649</v>
      </c>
      <c r="E537" s="79" t="s">
        <v>137</v>
      </c>
      <c r="F537" s="26">
        <v>31</v>
      </c>
      <c r="G537" s="14">
        <f>VLOOKUP(C537,[20]ATTANDANCE!$A$6:$AO$33,41,0)</f>
        <v>16</v>
      </c>
      <c r="H537" s="14">
        <v>10348.419922580644</v>
      </c>
      <c r="I537" s="14">
        <v>1150.1458745806449</v>
      </c>
      <c r="J537" s="14">
        <v>71.884117161290305</v>
      </c>
      <c r="K537" s="14">
        <v>0</v>
      </c>
      <c r="L537" s="14">
        <v>1222.0299917419352</v>
      </c>
      <c r="M537" s="15">
        <v>9126</v>
      </c>
      <c r="N537" s="8">
        <v>1245.991364129032</v>
      </c>
      <c r="O537" s="6"/>
      <c r="P537" s="6"/>
    </row>
    <row r="538" spans="1:16" x14ac:dyDescent="0.25">
      <c r="A538" s="2" t="s">
        <v>651</v>
      </c>
      <c r="B538" s="6">
        <f t="shared" si="40"/>
        <v>537</v>
      </c>
      <c r="C538" s="88">
        <v>12070</v>
      </c>
      <c r="D538" s="12" t="s">
        <v>650</v>
      </c>
      <c r="E538" s="79" t="s">
        <v>137</v>
      </c>
      <c r="F538" s="26">
        <v>31</v>
      </c>
      <c r="G538" s="14">
        <f>VLOOKUP(C538,[20]ATTANDANCE!$A$6:$AO$33,41,0)</f>
        <v>23</v>
      </c>
      <c r="H538" s="14">
        <v>14875.853638709676</v>
      </c>
      <c r="I538" s="14">
        <v>1653.3346947096773</v>
      </c>
      <c r="J538" s="14">
        <v>103.33341841935483</v>
      </c>
      <c r="K538" s="14">
        <v>0</v>
      </c>
      <c r="L538" s="14">
        <v>1756.668113129032</v>
      </c>
      <c r="M538" s="15">
        <v>13119</v>
      </c>
      <c r="N538" s="8">
        <v>1791.1125859354836</v>
      </c>
      <c r="O538" s="6"/>
      <c r="P538" s="6"/>
    </row>
    <row r="539" spans="1:16" x14ac:dyDescent="0.25">
      <c r="A539" s="2" t="s">
        <v>658</v>
      </c>
      <c r="B539" s="6">
        <f t="shared" si="40"/>
        <v>538</v>
      </c>
      <c r="C539" s="39">
        <v>10279</v>
      </c>
      <c r="D539" s="2" t="s">
        <v>652</v>
      </c>
      <c r="E539" s="2" t="s">
        <v>653</v>
      </c>
      <c r="F539" s="2">
        <v>30</v>
      </c>
      <c r="G539" s="8">
        <f ca="1">VLOOKUP(C539,[21]ATTANDANCE!$B$5:$AL$14,37,0)-H539</f>
        <v>30</v>
      </c>
      <c r="H539" s="14">
        <f ca="1">A539+B539+C539+D539+E539+F539+G539</f>
        <v>32000.220560000002</v>
      </c>
      <c r="I539" s="14">
        <f ca="1">IF((H539-C539)&lt;15000,(H539-C539)*12%,1800)</f>
        <v>1800</v>
      </c>
      <c r="J539" s="14">
        <v>0</v>
      </c>
      <c r="K539" s="14">
        <f t="shared" ref="K539:K543" ca="1" si="41">IF(H539&gt;20000,200,IF(H539&gt;15000,150,0))</f>
        <v>200</v>
      </c>
      <c r="L539" s="14">
        <f t="shared" ref="L539:L543" ca="1" si="42">I539+J539+K539</f>
        <v>2000</v>
      </c>
      <c r="M539" s="15">
        <v>30000.220560000002</v>
      </c>
      <c r="N539" s="8">
        <v>1950</v>
      </c>
      <c r="O539" s="6"/>
      <c r="P539" s="6"/>
    </row>
    <row r="540" spans="1:16" x14ac:dyDescent="0.25">
      <c r="A540" s="2" t="s">
        <v>658</v>
      </c>
      <c r="B540" s="6">
        <f t="shared" si="40"/>
        <v>539</v>
      </c>
      <c r="C540" s="39">
        <v>11585</v>
      </c>
      <c r="D540" s="2" t="s">
        <v>654</v>
      </c>
      <c r="E540" s="2" t="s">
        <v>51</v>
      </c>
      <c r="F540" s="2">
        <v>30</v>
      </c>
      <c r="G540" s="8">
        <f ca="1">VLOOKUP(C540,[21]ATTANDANCE!$B$5:$AL$14,37,0)-H540</f>
        <v>30</v>
      </c>
      <c r="H540" s="14">
        <f t="shared" ref="H540:H543" ca="1" si="43">A540+B540+C540+D540+E540+F540+G540</f>
        <v>27000.456559999999</v>
      </c>
      <c r="I540" s="14">
        <f ca="1">IF((H540-C540)&lt;15000,(H540-C540)*12%,1800)</f>
        <v>1800</v>
      </c>
      <c r="J540" s="14">
        <v>0</v>
      </c>
      <c r="K540" s="14">
        <f t="shared" ca="1" si="41"/>
        <v>200</v>
      </c>
      <c r="L540" s="14">
        <f t="shared" ca="1" si="42"/>
        <v>2000</v>
      </c>
      <c r="M540" s="15">
        <v>25000.456559999999</v>
      </c>
      <c r="N540" s="8">
        <v>1950</v>
      </c>
      <c r="O540" s="6"/>
      <c r="P540" s="6"/>
    </row>
    <row r="541" spans="1:16" x14ac:dyDescent="0.25">
      <c r="A541" s="2" t="s">
        <v>658</v>
      </c>
      <c r="B541" s="6">
        <f t="shared" si="40"/>
        <v>540</v>
      </c>
      <c r="C541" s="39">
        <v>11906</v>
      </c>
      <c r="D541" s="2" t="s">
        <v>655</v>
      </c>
      <c r="E541" s="2" t="s">
        <v>51</v>
      </c>
      <c r="F541" s="2">
        <v>30</v>
      </c>
      <c r="G541" s="8">
        <f ca="1">VLOOKUP(C541,[21]ATTANDANCE!$B$5:$AL$14,37,0)-H541</f>
        <v>30</v>
      </c>
      <c r="H541" s="14">
        <f t="shared" ca="1" si="43"/>
        <v>27000.456559999999</v>
      </c>
      <c r="I541" s="14">
        <f ca="1">IF((H541-C541)&lt;15000,(H541-C541)*12%,1800)</f>
        <v>1800</v>
      </c>
      <c r="J541" s="14">
        <v>0</v>
      </c>
      <c r="K541" s="14">
        <f t="shared" ca="1" si="41"/>
        <v>200</v>
      </c>
      <c r="L541" s="14">
        <f t="shared" ca="1" si="42"/>
        <v>2000</v>
      </c>
      <c r="M541" s="15">
        <v>25000.456559999999</v>
      </c>
      <c r="N541" s="8">
        <v>1950</v>
      </c>
      <c r="O541" s="6"/>
      <c r="P541" s="6"/>
    </row>
    <row r="542" spans="1:16" x14ac:dyDescent="0.25">
      <c r="A542" s="2" t="s">
        <v>658</v>
      </c>
      <c r="B542" s="6">
        <f t="shared" si="40"/>
        <v>541</v>
      </c>
      <c r="C542" s="39">
        <v>11590</v>
      </c>
      <c r="D542" s="12" t="s">
        <v>656</v>
      </c>
      <c r="E542" s="2" t="s">
        <v>51</v>
      </c>
      <c r="F542" s="2">
        <v>30</v>
      </c>
      <c r="G542" s="8">
        <f ca="1">VLOOKUP(C542,[21]ATTANDANCE!$B$5:$AL$14,37,0)-H542</f>
        <v>30</v>
      </c>
      <c r="H542" s="14">
        <f ca="1">A542+B542+C542+D542+E542+F542+G542</f>
        <v>27000.456559999999</v>
      </c>
      <c r="I542" s="14">
        <f ca="1">IF((H542-C542)&lt;15000,(H542-C542)*12%,1800)</f>
        <v>1800</v>
      </c>
      <c r="J542" s="14">
        <v>0</v>
      </c>
      <c r="K542" s="14">
        <f ca="1">IF(H542&gt;20000,200,IF(H542&gt;15000,150,0))</f>
        <v>200</v>
      </c>
      <c r="L542" s="14">
        <f ca="1">I542+J542+K542</f>
        <v>2000</v>
      </c>
      <c r="M542" s="15">
        <v>25000.456559999999</v>
      </c>
      <c r="N542" s="8">
        <v>1950</v>
      </c>
      <c r="O542" s="6"/>
      <c r="P542" s="6"/>
    </row>
    <row r="543" spans="1:16" x14ac:dyDescent="0.25">
      <c r="A543" s="2" t="s">
        <v>658</v>
      </c>
      <c r="B543" s="6">
        <f t="shared" si="40"/>
        <v>542</v>
      </c>
      <c r="C543" s="41">
        <v>12066</v>
      </c>
      <c r="D543" s="2" t="s">
        <v>657</v>
      </c>
      <c r="E543" s="90" t="s">
        <v>336</v>
      </c>
      <c r="F543" s="2">
        <v>30</v>
      </c>
      <c r="G543" s="8">
        <f ca="1">VLOOKUP(C543,[21]ATTANDANCE!$B$5:$AL$14,37,0)-H543</f>
        <v>30</v>
      </c>
      <c r="H543" s="91">
        <f t="shared" ca="1" si="43"/>
        <v>28500.385760000001</v>
      </c>
      <c r="I543" s="91">
        <f t="shared" ref="I543" ca="1" si="44">IF((H543-C543)&lt;15000,(H543-C543)*12%,1800)</f>
        <v>1800</v>
      </c>
      <c r="J543" s="91">
        <v>0</v>
      </c>
      <c r="K543" s="91">
        <f t="shared" ca="1" si="41"/>
        <v>200</v>
      </c>
      <c r="L543" s="91">
        <f t="shared" ca="1" si="42"/>
        <v>2000</v>
      </c>
      <c r="M543" s="92">
        <v>26500.385760000001</v>
      </c>
      <c r="N543" s="8">
        <v>1950</v>
      </c>
      <c r="O543" s="6"/>
      <c r="P543" s="6"/>
    </row>
    <row r="544" spans="1:16" x14ac:dyDescent="0.25">
      <c r="A544" s="2" t="s">
        <v>666</v>
      </c>
      <c r="B544" s="6">
        <f t="shared" si="40"/>
        <v>543</v>
      </c>
      <c r="C544" s="13">
        <v>11693</v>
      </c>
      <c r="D544" s="2" t="s">
        <v>659</v>
      </c>
      <c r="E544" s="79" t="s">
        <v>51</v>
      </c>
      <c r="F544" s="26">
        <v>31</v>
      </c>
      <c r="G544" s="14">
        <f>VLOOKUP($C544,[22]ATTANDANCE!$B$6:$AR$21,42,0)</f>
        <v>31</v>
      </c>
      <c r="H544" s="14">
        <v>30129.605800000001</v>
      </c>
      <c r="I544" s="14">
        <v>1800</v>
      </c>
      <c r="J544" s="14">
        <v>0</v>
      </c>
      <c r="K544" s="14">
        <v>200</v>
      </c>
      <c r="L544" s="14">
        <v>2000</v>
      </c>
      <c r="M544" s="15">
        <v>28130</v>
      </c>
      <c r="N544" s="8">
        <v>1950</v>
      </c>
      <c r="O544" s="14">
        <v>1200</v>
      </c>
      <c r="P544" s="14">
        <v>400</v>
      </c>
    </row>
    <row r="545" spans="1:16" x14ac:dyDescent="0.25">
      <c r="A545" s="2" t="s">
        <v>666</v>
      </c>
      <c r="B545" s="6">
        <f t="shared" si="40"/>
        <v>544</v>
      </c>
      <c r="C545" s="16">
        <v>11728</v>
      </c>
      <c r="D545" s="2" t="s">
        <v>660</v>
      </c>
      <c r="E545" s="79" t="s">
        <v>114</v>
      </c>
      <c r="F545" s="26">
        <v>31</v>
      </c>
      <c r="G545" s="14">
        <f>VLOOKUP($C545,[22]ATTANDANCE!$B$6:$AR$21,42,0)</f>
        <v>30</v>
      </c>
      <c r="H545" s="14">
        <v>21638.138516129031</v>
      </c>
      <c r="I545" s="14">
        <v>1800</v>
      </c>
      <c r="J545" s="14">
        <v>0</v>
      </c>
      <c r="K545" s="14">
        <v>200</v>
      </c>
      <c r="L545" s="14">
        <v>2000</v>
      </c>
      <c r="M545" s="15">
        <v>19638</v>
      </c>
      <c r="N545" s="8">
        <v>1950</v>
      </c>
      <c r="O545" s="14">
        <v>1200</v>
      </c>
      <c r="P545" s="14">
        <v>400</v>
      </c>
    </row>
    <row r="546" spans="1:16" x14ac:dyDescent="0.25">
      <c r="A546" s="2" t="s">
        <v>666</v>
      </c>
      <c r="B546" s="6">
        <f t="shared" si="40"/>
        <v>545</v>
      </c>
      <c r="C546" s="16">
        <v>11820</v>
      </c>
      <c r="D546" s="2" t="s">
        <v>661</v>
      </c>
      <c r="E546" s="79" t="s">
        <v>114</v>
      </c>
      <c r="F546" s="26">
        <v>31</v>
      </c>
      <c r="G546" s="14">
        <f>VLOOKUP($C546,[22]ATTANDANCE!$B$6:$AR$21,42,0)</f>
        <v>31</v>
      </c>
      <c r="H546" s="14">
        <v>22499.918760573477</v>
      </c>
      <c r="I546" s="14">
        <v>1800</v>
      </c>
      <c r="J546" s="14">
        <v>0</v>
      </c>
      <c r="K546" s="14">
        <v>200</v>
      </c>
      <c r="L546" s="14">
        <v>2000</v>
      </c>
      <c r="M546" s="15">
        <v>20500</v>
      </c>
      <c r="N546" s="8">
        <v>1950</v>
      </c>
      <c r="O546" s="14">
        <v>1200</v>
      </c>
      <c r="P546" s="14">
        <v>400</v>
      </c>
    </row>
    <row r="547" spans="1:16" x14ac:dyDescent="0.25">
      <c r="A547" s="2" t="s">
        <v>666</v>
      </c>
      <c r="B547" s="6">
        <f t="shared" si="40"/>
        <v>546</v>
      </c>
      <c r="C547" s="16">
        <v>11653</v>
      </c>
      <c r="D547" s="2" t="s">
        <v>87</v>
      </c>
      <c r="E547" s="79" t="s">
        <v>15</v>
      </c>
      <c r="F547" s="26">
        <v>31</v>
      </c>
      <c r="G547" s="14">
        <f>VLOOKUP($C547,[22]ATTANDANCE!$B$6:$AR$21,42,0)</f>
        <v>30</v>
      </c>
      <c r="H547" s="14">
        <v>19988.656258064519</v>
      </c>
      <c r="I547" s="14">
        <v>1800</v>
      </c>
      <c r="J547" s="14">
        <v>149.91492193548387</v>
      </c>
      <c r="K547" s="14">
        <v>150</v>
      </c>
      <c r="L547" s="14">
        <v>2099.914921935484</v>
      </c>
      <c r="M547" s="15">
        <v>17889</v>
      </c>
      <c r="N547" s="8">
        <v>1950</v>
      </c>
      <c r="O547" s="14">
        <v>649.6313283870968</v>
      </c>
      <c r="P547" s="14">
        <v>400</v>
      </c>
    </row>
    <row r="548" spans="1:16" x14ac:dyDescent="0.25">
      <c r="A548" s="2" t="s">
        <v>666</v>
      </c>
      <c r="B548" s="6">
        <f t="shared" si="40"/>
        <v>547</v>
      </c>
      <c r="C548" s="16">
        <v>11255</v>
      </c>
      <c r="D548" s="2" t="s">
        <v>662</v>
      </c>
      <c r="E548" s="79" t="s">
        <v>15</v>
      </c>
      <c r="F548" s="26">
        <v>31</v>
      </c>
      <c r="G548" s="14">
        <f>VLOOKUP($C548,[22]ATTANDANCE!$B$6:$AR$21,42,0)</f>
        <v>31</v>
      </c>
      <c r="H548" s="14">
        <v>20654.944800000001</v>
      </c>
      <c r="I548" s="14">
        <v>1800</v>
      </c>
      <c r="J548" s="14">
        <v>154.91208600000002</v>
      </c>
      <c r="K548" s="14">
        <v>200</v>
      </c>
      <c r="L548" s="14">
        <v>2154.9120860000003</v>
      </c>
      <c r="M548" s="15">
        <v>18500</v>
      </c>
      <c r="N548" s="8">
        <v>1950</v>
      </c>
      <c r="O548" s="14">
        <v>671.285706</v>
      </c>
      <c r="P548" s="14">
        <v>400</v>
      </c>
    </row>
    <row r="549" spans="1:16" x14ac:dyDescent="0.25">
      <c r="A549" s="2" t="s">
        <v>666</v>
      </c>
      <c r="B549" s="6">
        <f t="shared" si="40"/>
        <v>548</v>
      </c>
      <c r="C549" s="16">
        <v>11321</v>
      </c>
      <c r="D549" s="2" t="s">
        <v>663</v>
      </c>
      <c r="E549" s="79" t="s">
        <v>15</v>
      </c>
      <c r="F549" s="26">
        <v>31</v>
      </c>
      <c r="G549" s="14">
        <f>VLOOKUP($C549,[22]ATTANDANCE!$B$6:$AR$21,42,0)</f>
        <v>31</v>
      </c>
      <c r="H549" s="14">
        <v>20784.163437992833</v>
      </c>
      <c r="I549" s="14">
        <v>1800</v>
      </c>
      <c r="J549" s="14">
        <v>155.88122578494625</v>
      </c>
      <c r="K549" s="14">
        <v>200</v>
      </c>
      <c r="L549" s="14">
        <v>2155.8812257849463</v>
      </c>
      <c r="M549" s="15">
        <v>18628</v>
      </c>
      <c r="N549" s="8">
        <v>1950</v>
      </c>
      <c r="O549" s="14">
        <v>675.48531173476715</v>
      </c>
      <c r="P549" s="14">
        <v>400</v>
      </c>
    </row>
    <row r="550" spans="1:16" x14ac:dyDescent="0.25">
      <c r="A550" s="2" t="s">
        <v>666</v>
      </c>
      <c r="B550" s="6">
        <f t="shared" si="40"/>
        <v>549</v>
      </c>
      <c r="C550" s="16">
        <v>12042</v>
      </c>
      <c r="D550" s="2" t="s">
        <v>664</v>
      </c>
      <c r="E550" s="79" t="s">
        <v>15</v>
      </c>
      <c r="F550" s="26">
        <v>31</v>
      </c>
      <c r="G550" s="14">
        <f>VLOOKUP($C550,[22]ATTANDANCE!$B$6:$AR$21,42,0)</f>
        <v>31</v>
      </c>
      <c r="H550" s="14">
        <v>20654.944800000001</v>
      </c>
      <c r="I550" s="14">
        <v>1800</v>
      </c>
      <c r="J550" s="14">
        <v>154.91208600000002</v>
      </c>
      <c r="K550" s="14">
        <v>200</v>
      </c>
      <c r="L550" s="14">
        <v>2154.9120860000003</v>
      </c>
      <c r="M550" s="15">
        <v>18500</v>
      </c>
      <c r="N550" s="8">
        <v>1950</v>
      </c>
      <c r="O550" s="14">
        <v>671.285706</v>
      </c>
      <c r="P550" s="14">
        <v>400</v>
      </c>
    </row>
    <row r="551" spans="1:16" x14ac:dyDescent="0.25">
      <c r="A551" s="2" t="s">
        <v>666</v>
      </c>
      <c r="B551" s="6">
        <f t="shared" si="40"/>
        <v>550</v>
      </c>
      <c r="C551" s="16">
        <v>1</v>
      </c>
      <c r="D551" s="2" t="s">
        <v>665</v>
      </c>
      <c r="E551" s="79" t="s">
        <v>15</v>
      </c>
      <c r="F551" s="26">
        <v>31</v>
      </c>
      <c r="G551" s="14">
        <f>VLOOKUP($C551,[22]ATTANDANCE!$B$6:$AR$21,42,0)</f>
        <v>31</v>
      </c>
      <c r="H551" s="14">
        <v>20848.772756989249</v>
      </c>
      <c r="I551" s="14">
        <v>1800</v>
      </c>
      <c r="J551" s="14">
        <v>156.36579567741936</v>
      </c>
      <c r="K551" s="14">
        <v>200</v>
      </c>
      <c r="L551" s="14">
        <v>2156.3657956774196</v>
      </c>
      <c r="M551" s="15">
        <v>18692</v>
      </c>
      <c r="N551" s="8">
        <v>1950</v>
      </c>
      <c r="O551" s="14">
        <v>677.58511460215061</v>
      </c>
      <c r="P551" s="14">
        <v>400</v>
      </c>
    </row>
    <row r="552" spans="1:16" x14ac:dyDescent="0.25">
      <c r="A552" s="2" t="s">
        <v>676</v>
      </c>
      <c r="B552" s="6">
        <f t="shared" si="40"/>
        <v>551</v>
      </c>
      <c r="C552" s="7">
        <v>11119</v>
      </c>
      <c r="D552" s="6" t="s">
        <v>667</v>
      </c>
      <c r="E552" s="6" t="s">
        <v>143</v>
      </c>
      <c r="F552" s="2">
        <v>31</v>
      </c>
      <c r="G552" s="2">
        <f>+VLOOKUP(C552,[23]ATTENDANCE!$B$7:$AR$24,43,0)</f>
        <v>31</v>
      </c>
      <c r="H552" s="27">
        <v>32105.880316129034</v>
      </c>
      <c r="I552" s="27">
        <v>1800</v>
      </c>
      <c r="J552" s="27">
        <v>0</v>
      </c>
      <c r="K552" s="27">
        <v>200</v>
      </c>
      <c r="L552" s="27">
        <v>4000</v>
      </c>
      <c r="M552" s="27">
        <v>28105.880316129034</v>
      </c>
      <c r="N552" s="8">
        <v>1950</v>
      </c>
      <c r="O552" s="1">
        <v>1800</v>
      </c>
      <c r="P552" s="81">
        <v>600</v>
      </c>
    </row>
    <row r="553" spans="1:16" x14ac:dyDescent="0.25">
      <c r="A553" s="2" t="s">
        <v>676</v>
      </c>
      <c r="B553" s="6">
        <f t="shared" si="40"/>
        <v>552</v>
      </c>
      <c r="C553" s="93">
        <v>11731</v>
      </c>
      <c r="D553" s="94" t="s">
        <v>668</v>
      </c>
      <c r="E553" s="6" t="s">
        <v>143</v>
      </c>
      <c r="F553" s="2">
        <v>31</v>
      </c>
      <c r="G553" s="2">
        <f>+VLOOKUP(C553,[23]ATTENDANCE!$B$7:$AR$24,43,0)</f>
        <v>31</v>
      </c>
      <c r="H553" s="27">
        <v>23119.9038</v>
      </c>
      <c r="I553" s="27">
        <v>1800</v>
      </c>
      <c r="J553" s="27">
        <v>0</v>
      </c>
      <c r="K553" s="27">
        <v>200</v>
      </c>
      <c r="L553" s="27">
        <v>2000</v>
      </c>
      <c r="M553" s="27">
        <v>21119.9038</v>
      </c>
      <c r="N553" s="8">
        <v>1950</v>
      </c>
      <c r="O553" s="1">
        <v>1800</v>
      </c>
      <c r="P553" s="81">
        <v>600</v>
      </c>
    </row>
    <row r="554" spans="1:16" x14ac:dyDescent="0.25">
      <c r="A554" s="2" t="s">
        <v>676</v>
      </c>
      <c r="B554" s="6">
        <f t="shared" si="40"/>
        <v>553</v>
      </c>
      <c r="C554" s="95">
        <v>11655</v>
      </c>
      <c r="D554" s="20" t="s">
        <v>669</v>
      </c>
      <c r="E554" s="6" t="s">
        <v>670</v>
      </c>
      <c r="F554" s="2">
        <v>31</v>
      </c>
      <c r="G554" s="2">
        <f>+VLOOKUP(C554,[23]ATTENDANCE!$B$7:$AR$24,43,0)</f>
        <v>31</v>
      </c>
      <c r="H554" s="27">
        <v>22999.779600000002</v>
      </c>
      <c r="I554" s="27">
        <v>1800</v>
      </c>
      <c r="J554" s="27">
        <v>0</v>
      </c>
      <c r="K554" s="27">
        <v>200</v>
      </c>
      <c r="L554" s="27">
        <v>2000</v>
      </c>
      <c r="M554" s="27">
        <v>20999.779600000002</v>
      </c>
      <c r="N554" s="8">
        <v>1950</v>
      </c>
      <c r="O554" s="1">
        <v>1800</v>
      </c>
      <c r="P554" s="81">
        <v>600</v>
      </c>
    </row>
    <row r="555" spans="1:16" x14ac:dyDescent="0.25">
      <c r="A555" s="2" t="s">
        <v>676</v>
      </c>
      <c r="B555" s="6">
        <f t="shared" si="40"/>
        <v>554</v>
      </c>
      <c r="C555" s="7">
        <v>11117</v>
      </c>
      <c r="D555" s="6" t="s">
        <v>671</v>
      </c>
      <c r="E555" s="6" t="s">
        <v>15</v>
      </c>
      <c r="F555" s="2">
        <v>31</v>
      </c>
      <c r="G555" s="2">
        <f>+VLOOKUP(C555,[23]ATTENDANCE!$B$7:$AR$24,43,0)</f>
        <v>31</v>
      </c>
      <c r="H555" s="27">
        <v>22808.56056129032</v>
      </c>
      <c r="I555" s="27">
        <v>1800</v>
      </c>
      <c r="J555" s="27">
        <v>171.0642042096774</v>
      </c>
      <c r="K555" s="27">
        <v>200</v>
      </c>
      <c r="L555" s="27">
        <v>2171.0642042096774</v>
      </c>
      <c r="M555" s="27">
        <v>20637.496357080643</v>
      </c>
      <c r="N555" s="8">
        <v>1950</v>
      </c>
      <c r="O555" s="1">
        <v>741.27821824193541</v>
      </c>
      <c r="P555" s="81">
        <v>600</v>
      </c>
    </row>
    <row r="556" spans="1:16" x14ac:dyDescent="0.25">
      <c r="A556" s="2" t="s">
        <v>676</v>
      </c>
      <c r="B556" s="6">
        <f t="shared" si="40"/>
        <v>555</v>
      </c>
      <c r="C556" s="7">
        <v>11118</v>
      </c>
      <c r="D556" s="6" t="s">
        <v>672</v>
      </c>
      <c r="E556" s="6" t="s">
        <v>15</v>
      </c>
      <c r="F556" s="2">
        <v>31</v>
      </c>
      <c r="G556" s="2">
        <f>+VLOOKUP(C556,[23]ATTENDANCE!$B$7:$AR$24,43,0)</f>
        <v>31</v>
      </c>
      <c r="H556" s="27">
        <v>23436.205722580642</v>
      </c>
      <c r="I556" s="27">
        <v>1800</v>
      </c>
      <c r="J556" s="27">
        <v>175.7715429193548</v>
      </c>
      <c r="K556" s="27">
        <v>200</v>
      </c>
      <c r="L556" s="27">
        <v>2175.7715429193549</v>
      </c>
      <c r="M556" s="27">
        <v>21260.434179661286</v>
      </c>
      <c r="N556" s="8">
        <v>1950</v>
      </c>
      <c r="O556" s="1">
        <v>761.67668598387093</v>
      </c>
      <c r="P556" s="81">
        <v>600</v>
      </c>
    </row>
    <row r="557" spans="1:16" x14ac:dyDescent="0.25">
      <c r="A557" s="2" t="s">
        <v>676</v>
      </c>
      <c r="B557" s="6">
        <f t="shared" si="40"/>
        <v>556</v>
      </c>
      <c r="C557" s="7">
        <v>11123</v>
      </c>
      <c r="D557" s="6" t="s">
        <v>673</v>
      </c>
      <c r="E557" s="6" t="s">
        <v>15</v>
      </c>
      <c r="F557" s="2">
        <v>31</v>
      </c>
      <c r="G557" s="2">
        <f>+VLOOKUP(C557,[23]ATTENDANCE!$B$7:$AR$24,43,0)</f>
        <v>31</v>
      </c>
      <c r="H557" s="27">
        <v>22808.56056129032</v>
      </c>
      <c r="I557" s="27">
        <v>1800</v>
      </c>
      <c r="J557" s="27">
        <v>171.0642042096774</v>
      </c>
      <c r="K557" s="27">
        <v>200</v>
      </c>
      <c r="L557" s="27">
        <v>2171.0642042096774</v>
      </c>
      <c r="M557" s="27">
        <v>20637.496357080643</v>
      </c>
      <c r="N557" s="8">
        <v>1950</v>
      </c>
      <c r="O557" s="1">
        <v>741.27821824193541</v>
      </c>
      <c r="P557" s="81">
        <v>600</v>
      </c>
    </row>
    <row r="558" spans="1:16" x14ac:dyDescent="0.25">
      <c r="A558" s="2" t="s">
        <v>676</v>
      </c>
      <c r="B558" s="6">
        <f t="shared" si="40"/>
        <v>557</v>
      </c>
      <c r="C558" s="7">
        <v>10723</v>
      </c>
      <c r="D558" s="6" t="s">
        <v>674</v>
      </c>
      <c r="E558" s="6" t="s">
        <v>15</v>
      </c>
      <c r="F558" s="2">
        <v>31</v>
      </c>
      <c r="G558" s="2">
        <f>+VLOOKUP(C558,[23]ATTENDANCE!$B$7:$AR$24,43,0)</f>
        <v>12</v>
      </c>
      <c r="H558" s="27">
        <v>8586.1607999999997</v>
      </c>
      <c r="I558" s="27">
        <v>779.5005863225806</v>
      </c>
      <c r="J558" s="27">
        <v>64.396205999999992</v>
      </c>
      <c r="K558" s="27">
        <v>0</v>
      </c>
      <c r="L558" s="27">
        <v>843.89679232258061</v>
      </c>
      <c r="M558" s="27">
        <v>7742.2640076774187</v>
      </c>
      <c r="N558" s="8">
        <v>844.45896851612906</v>
      </c>
      <c r="O558" s="1">
        <v>279.05022600000001</v>
      </c>
      <c r="P558" s="81">
        <v>600</v>
      </c>
    </row>
    <row r="559" spans="1:16" x14ac:dyDescent="0.25">
      <c r="A559" s="2" t="s">
        <v>676</v>
      </c>
      <c r="B559" s="6">
        <f t="shared" si="40"/>
        <v>558</v>
      </c>
      <c r="C559" s="7">
        <v>11124</v>
      </c>
      <c r="D559" s="6" t="s">
        <v>675</v>
      </c>
      <c r="E559" s="6" t="s">
        <v>15</v>
      </c>
      <c r="F559" s="2">
        <v>31</v>
      </c>
      <c r="G559" s="2">
        <f>+VLOOKUP(C559,[23]ATTENDANCE!$B$7:$AR$24,43,0)</f>
        <v>31</v>
      </c>
      <c r="H559" s="27">
        <v>23436.205722580642</v>
      </c>
      <c r="I559" s="27">
        <v>1800</v>
      </c>
      <c r="J559" s="27">
        <v>175.7715429193548</v>
      </c>
      <c r="K559" s="27">
        <v>200</v>
      </c>
      <c r="L559" s="27">
        <v>2175.7715429193549</v>
      </c>
      <c r="M559" s="27">
        <v>21260.434179661286</v>
      </c>
      <c r="N559" s="8">
        <v>1950</v>
      </c>
      <c r="O559" s="1">
        <v>761.67668598387093</v>
      </c>
      <c r="P559" s="81">
        <v>600</v>
      </c>
    </row>
    <row r="560" spans="1:16" x14ac:dyDescent="0.25">
      <c r="A560" s="2" t="s">
        <v>686</v>
      </c>
      <c r="B560" s="6">
        <f t="shared" si="40"/>
        <v>559</v>
      </c>
      <c r="C560" s="4">
        <v>1</v>
      </c>
      <c r="D560" s="2" t="s">
        <v>677</v>
      </c>
      <c r="E560" s="3" t="s">
        <v>678</v>
      </c>
      <c r="F560" s="2">
        <v>31</v>
      </c>
      <c r="G560" s="8">
        <v>17</v>
      </c>
      <c r="H560" s="1">
        <v>16451.70086451613</v>
      </c>
      <c r="I560" s="1">
        <v>1567.3886198709677</v>
      </c>
      <c r="J560" s="1">
        <v>0</v>
      </c>
      <c r="K560" s="1">
        <v>150</v>
      </c>
      <c r="L560" s="1">
        <v>1717.3886198709677</v>
      </c>
      <c r="M560" s="1">
        <v>14734</v>
      </c>
      <c r="N560" s="8">
        <v>1698.0043381935484</v>
      </c>
      <c r="O560" s="1">
        <v>534.68027809677426</v>
      </c>
      <c r="P560" s="1">
        <v>400</v>
      </c>
    </row>
    <row r="561" spans="1:16" x14ac:dyDescent="0.25">
      <c r="A561" s="2" t="s">
        <v>686</v>
      </c>
      <c r="B561" s="6">
        <f t="shared" si="40"/>
        <v>560</v>
      </c>
      <c r="C561" s="4">
        <v>10561</v>
      </c>
      <c r="D561" s="2" t="s">
        <v>679</v>
      </c>
      <c r="E561" s="3" t="s">
        <v>680</v>
      </c>
      <c r="F561" s="2">
        <v>31</v>
      </c>
      <c r="G561" s="8">
        <v>31</v>
      </c>
      <c r="H561" s="1">
        <v>26975.012183225808</v>
      </c>
      <c r="I561" s="1">
        <v>1800</v>
      </c>
      <c r="J561" s="1">
        <v>202.31259137419354</v>
      </c>
      <c r="K561" s="1">
        <v>200</v>
      </c>
      <c r="L561" s="1">
        <v>2202.3125913741933</v>
      </c>
      <c r="M561" s="1">
        <v>24773</v>
      </c>
      <c r="N561" s="8">
        <v>1950</v>
      </c>
      <c r="O561" s="1">
        <v>876.68789595483884</v>
      </c>
      <c r="P561" s="1">
        <v>400</v>
      </c>
    </row>
    <row r="562" spans="1:16" x14ac:dyDescent="0.25">
      <c r="A562" s="2" t="s">
        <v>686</v>
      </c>
      <c r="B562" s="6">
        <f t="shared" si="40"/>
        <v>561</v>
      </c>
      <c r="C562" s="4">
        <v>11888</v>
      </c>
      <c r="D562" s="2" t="s">
        <v>681</v>
      </c>
      <c r="E562" s="3" t="s">
        <v>682</v>
      </c>
      <c r="F562" s="2">
        <v>31</v>
      </c>
      <c r="G562" s="8">
        <v>27</v>
      </c>
      <c r="H562" s="1">
        <v>17390.285748387094</v>
      </c>
      <c r="I562" s="1">
        <v>1800</v>
      </c>
      <c r="J562" s="1">
        <v>130.4271431129032</v>
      </c>
      <c r="K562" s="1">
        <v>150</v>
      </c>
      <c r="L562" s="1">
        <v>2080.4271431129032</v>
      </c>
      <c r="M562" s="1">
        <v>15310</v>
      </c>
      <c r="N562" s="8">
        <v>1950</v>
      </c>
      <c r="O562" s="1">
        <v>565.18428682258059</v>
      </c>
      <c r="P562" s="1">
        <v>400</v>
      </c>
    </row>
    <row r="563" spans="1:16" x14ac:dyDescent="0.25">
      <c r="A563" s="2" t="s">
        <v>686</v>
      </c>
      <c r="B563" s="6">
        <f t="shared" si="40"/>
        <v>562</v>
      </c>
      <c r="C563" s="4">
        <v>11910</v>
      </c>
      <c r="D563" s="2" t="s">
        <v>683</v>
      </c>
      <c r="E563" s="3" t="s">
        <v>682</v>
      </c>
      <c r="F563" s="2">
        <v>31</v>
      </c>
      <c r="G563" s="8">
        <v>29</v>
      </c>
      <c r="H563" s="1">
        <v>21451.309780645162</v>
      </c>
      <c r="I563" s="1">
        <v>1800</v>
      </c>
      <c r="J563" s="1">
        <v>160.88482335483872</v>
      </c>
      <c r="K563" s="1">
        <v>200</v>
      </c>
      <c r="L563" s="1">
        <v>2160.8848233548388</v>
      </c>
      <c r="M563" s="1">
        <v>19290</v>
      </c>
      <c r="N563" s="8">
        <v>1950</v>
      </c>
      <c r="O563" s="1">
        <v>697.16756787096779</v>
      </c>
      <c r="P563" s="1">
        <v>400</v>
      </c>
    </row>
    <row r="564" spans="1:16" x14ac:dyDescent="0.25">
      <c r="A564" s="2" t="s">
        <v>686</v>
      </c>
      <c r="B564" s="6">
        <f t="shared" si="40"/>
        <v>563</v>
      </c>
      <c r="C564" s="4">
        <v>11756</v>
      </c>
      <c r="D564" s="2" t="s">
        <v>684</v>
      </c>
      <c r="E564" s="3" t="s">
        <v>682</v>
      </c>
      <c r="F564" s="2">
        <v>31</v>
      </c>
      <c r="G564" s="8">
        <v>29</v>
      </c>
      <c r="H564" s="1">
        <v>18964.978064516126</v>
      </c>
      <c r="I564" s="1">
        <v>1800</v>
      </c>
      <c r="J564" s="1">
        <v>142.23733548387094</v>
      </c>
      <c r="K564" s="1">
        <v>150</v>
      </c>
      <c r="L564" s="1">
        <v>2092.237335483871</v>
      </c>
      <c r="M564" s="1">
        <v>16873</v>
      </c>
      <c r="N564" s="8">
        <v>1950</v>
      </c>
      <c r="O564" s="1">
        <v>616.36178709677415</v>
      </c>
      <c r="P564" s="1">
        <v>400</v>
      </c>
    </row>
    <row r="565" spans="1:16" x14ac:dyDescent="0.25">
      <c r="A565" s="2" t="s">
        <v>698</v>
      </c>
      <c r="B565" s="6">
        <f t="shared" si="40"/>
        <v>564</v>
      </c>
      <c r="C565" s="16">
        <v>10569</v>
      </c>
      <c r="D565" s="6" t="s">
        <v>687</v>
      </c>
      <c r="E565" s="6" t="s">
        <v>688</v>
      </c>
      <c r="F565" s="8">
        <v>31</v>
      </c>
      <c r="G565" s="8">
        <v>31</v>
      </c>
      <c r="H565" s="27">
        <v>35999.83296</v>
      </c>
      <c r="I565" s="27">
        <v>1800</v>
      </c>
      <c r="J565" s="27">
        <v>0</v>
      </c>
      <c r="K565" s="27">
        <v>200</v>
      </c>
      <c r="L565" s="28">
        <v>2000</v>
      </c>
      <c r="M565" s="29">
        <v>34000</v>
      </c>
      <c r="N565" s="8">
        <v>1950</v>
      </c>
      <c r="O565" s="1">
        <v>1800</v>
      </c>
      <c r="P565" s="1">
        <v>400</v>
      </c>
    </row>
    <row r="566" spans="1:16" x14ac:dyDescent="0.25">
      <c r="A566" s="2" t="s">
        <v>698</v>
      </c>
      <c r="B566" s="6">
        <f t="shared" si="40"/>
        <v>565</v>
      </c>
      <c r="C566" s="16">
        <v>11272</v>
      </c>
      <c r="D566" s="6" t="s">
        <v>689</v>
      </c>
      <c r="E566" s="3" t="s">
        <v>690</v>
      </c>
      <c r="F566" s="8">
        <v>31</v>
      </c>
      <c r="G566" s="8">
        <v>28</v>
      </c>
      <c r="H566" s="27">
        <v>21841.017718709671</v>
      </c>
      <c r="I566" s="27">
        <v>1800</v>
      </c>
      <c r="J566" s="27">
        <v>163.80763289032254</v>
      </c>
      <c r="K566" s="27">
        <v>200</v>
      </c>
      <c r="L566" s="28">
        <v>2163.8076328903226</v>
      </c>
      <c r="M566" s="29">
        <v>19677</v>
      </c>
      <c r="N566" s="8">
        <v>1950</v>
      </c>
      <c r="O566" s="1">
        <v>709.83307585806426</v>
      </c>
      <c r="P566" s="1">
        <v>400</v>
      </c>
    </row>
    <row r="567" spans="1:16" x14ac:dyDescent="0.25">
      <c r="A567" s="2" t="s">
        <v>698</v>
      </c>
      <c r="B567" s="6">
        <f t="shared" si="40"/>
        <v>566</v>
      </c>
      <c r="C567" s="16">
        <v>11665</v>
      </c>
      <c r="D567" s="6" t="s">
        <v>691</v>
      </c>
      <c r="E567" s="6" t="s">
        <v>690</v>
      </c>
      <c r="F567" s="8">
        <v>31</v>
      </c>
      <c r="G567" s="8">
        <v>30</v>
      </c>
      <c r="H567" s="27">
        <v>20151.230399999997</v>
      </c>
      <c r="I567" s="27">
        <v>1800</v>
      </c>
      <c r="J567" s="27">
        <v>151.13422799999998</v>
      </c>
      <c r="K567" s="27">
        <v>200</v>
      </c>
      <c r="L567" s="28">
        <v>2151.1342279999999</v>
      </c>
      <c r="M567" s="29">
        <v>18000</v>
      </c>
      <c r="N567" s="8">
        <v>1950</v>
      </c>
      <c r="O567" s="1">
        <v>654.91498799999988</v>
      </c>
      <c r="P567" s="1">
        <v>400</v>
      </c>
    </row>
    <row r="568" spans="1:16" x14ac:dyDescent="0.25">
      <c r="A568" s="2" t="s">
        <v>698</v>
      </c>
      <c r="B568" s="6">
        <f t="shared" si="40"/>
        <v>567</v>
      </c>
      <c r="C568" s="16">
        <v>11770</v>
      </c>
      <c r="D568" s="6" t="s">
        <v>692</v>
      </c>
      <c r="E568" s="6" t="s">
        <v>690</v>
      </c>
      <c r="F568" s="8">
        <v>31</v>
      </c>
      <c r="G568" s="8">
        <v>31</v>
      </c>
      <c r="H568" s="1">
        <v>20801.270090322581</v>
      </c>
      <c r="I568" s="1">
        <v>1800</v>
      </c>
      <c r="J568" s="1">
        <v>156.00952567741936</v>
      </c>
      <c r="K568" s="1">
        <v>200</v>
      </c>
      <c r="L568" s="96">
        <v>2156.0095256774193</v>
      </c>
      <c r="M568" s="97">
        <v>18645</v>
      </c>
      <c r="N568" s="8">
        <v>1950</v>
      </c>
      <c r="O568" s="1">
        <v>676.04127793548389</v>
      </c>
      <c r="P568" s="1">
        <v>400</v>
      </c>
    </row>
    <row r="569" spans="1:16" x14ac:dyDescent="0.25">
      <c r="A569" s="2" t="s">
        <v>698</v>
      </c>
      <c r="B569" s="6">
        <f t="shared" si="40"/>
        <v>568</v>
      </c>
      <c r="C569" s="16">
        <v>11946</v>
      </c>
      <c r="D569" s="6" t="s">
        <v>693</v>
      </c>
      <c r="E569" s="6" t="s">
        <v>690</v>
      </c>
      <c r="F569" s="8">
        <v>31</v>
      </c>
      <c r="G569" s="8">
        <v>27</v>
      </c>
      <c r="H569" s="1">
        <v>22645.615412903226</v>
      </c>
      <c r="I569" s="1">
        <v>1800</v>
      </c>
      <c r="J569" s="1">
        <v>169.84211559677419</v>
      </c>
      <c r="K569" s="1">
        <v>200</v>
      </c>
      <c r="L569" s="96">
        <v>2169.8421155967744</v>
      </c>
      <c r="M569" s="97">
        <v>20476</v>
      </c>
      <c r="N569" s="8">
        <v>1950</v>
      </c>
      <c r="O569" s="1">
        <v>735.98250091935483</v>
      </c>
      <c r="P569" s="1">
        <v>400</v>
      </c>
    </row>
    <row r="570" spans="1:16" x14ac:dyDescent="0.25">
      <c r="A570" s="2" t="s">
        <v>698</v>
      </c>
      <c r="B570" s="6">
        <f t="shared" si="40"/>
        <v>569</v>
      </c>
      <c r="C570" s="16">
        <v>10850</v>
      </c>
      <c r="D570" s="3" t="s">
        <v>694</v>
      </c>
      <c r="E570" s="6" t="s">
        <v>362</v>
      </c>
      <c r="F570" s="8">
        <v>31</v>
      </c>
      <c r="G570" s="8">
        <v>30</v>
      </c>
      <c r="H570" s="27">
        <v>21158.758600000001</v>
      </c>
      <c r="I570" s="27">
        <v>1800</v>
      </c>
      <c r="J570" s="27">
        <v>158.69068949999999</v>
      </c>
      <c r="K570" s="27">
        <v>200</v>
      </c>
      <c r="L570" s="28">
        <v>2158.6906895000002</v>
      </c>
      <c r="M570" s="29">
        <v>19000</v>
      </c>
      <c r="N570" s="8">
        <v>1950</v>
      </c>
      <c r="O570" s="1">
        <v>687.6596545000001</v>
      </c>
      <c r="P570" s="1">
        <v>400</v>
      </c>
    </row>
    <row r="571" spans="1:16" x14ac:dyDescent="0.25">
      <c r="A571" s="2" t="s">
        <v>698</v>
      </c>
      <c r="B571" s="6">
        <f t="shared" si="40"/>
        <v>570</v>
      </c>
      <c r="C571" s="16">
        <v>10557</v>
      </c>
      <c r="D571" s="6" t="s">
        <v>695</v>
      </c>
      <c r="E571" s="3" t="s">
        <v>362</v>
      </c>
      <c r="F571" s="8">
        <v>31</v>
      </c>
      <c r="G571" s="8">
        <v>31</v>
      </c>
      <c r="H571" s="27">
        <v>23677.903760000001</v>
      </c>
      <c r="I571" s="27">
        <v>1800</v>
      </c>
      <c r="J571" s="27">
        <v>177.5842782</v>
      </c>
      <c r="K571" s="27">
        <v>200</v>
      </c>
      <c r="L571" s="28">
        <v>2177.5842782</v>
      </c>
      <c r="M571" s="29">
        <v>21500</v>
      </c>
      <c r="N571" s="8">
        <v>1950</v>
      </c>
      <c r="O571" s="1">
        <v>769.53187220000007</v>
      </c>
      <c r="P571" s="1">
        <v>400</v>
      </c>
    </row>
    <row r="572" spans="1:16" x14ac:dyDescent="0.25">
      <c r="A572" s="2" t="s">
        <v>698</v>
      </c>
      <c r="B572" s="6">
        <f t="shared" si="40"/>
        <v>571</v>
      </c>
      <c r="C572" s="16">
        <v>10567</v>
      </c>
      <c r="D572" s="6" t="s">
        <v>696</v>
      </c>
      <c r="E572" s="6" t="s">
        <v>362</v>
      </c>
      <c r="F572" s="8">
        <v>31</v>
      </c>
      <c r="G572" s="8">
        <v>31</v>
      </c>
      <c r="H572" s="27">
        <v>24961.163107096774</v>
      </c>
      <c r="I572" s="27">
        <v>1800</v>
      </c>
      <c r="J572" s="27">
        <v>187.20872330322581</v>
      </c>
      <c r="K572" s="27">
        <v>200</v>
      </c>
      <c r="L572" s="28">
        <v>2187.2087233032257</v>
      </c>
      <c r="M572" s="29">
        <v>22774</v>
      </c>
      <c r="N572" s="8">
        <v>1950</v>
      </c>
      <c r="O572" s="1">
        <v>811.23780098064515</v>
      </c>
      <c r="P572" s="1">
        <v>400</v>
      </c>
    </row>
    <row r="573" spans="1:16" x14ac:dyDescent="0.25">
      <c r="A573" s="2" t="s">
        <v>698</v>
      </c>
      <c r="B573" s="6">
        <f t="shared" si="40"/>
        <v>572</v>
      </c>
      <c r="C573" s="16">
        <v>11666</v>
      </c>
      <c r="D573" s="6" t="s">
        <v>697</v>
      </c>
      <c r="E573" s="6" t="s">
        <v>362</v>
      </c>
      <c r="F573" s="8">
        <v>31</v>
      </c>
      <c r="G573" s="8">
        <v>31</v>
      </c>
      <c r="H573" s="27">
        <v>20801.270090322581</v>
      </c>
      <c r="I573" s="27">
        <v>1800</v>
      </c>
      <c r="J573" s="27">
        <v>156.00952567741936</v>
      </c>
      <c r="K573" s="27">
        <v>200</v>
      </c>
      <c r="L573" s="28">
        <v>2156.0095256774193</v>
      </c>
      <c r="M573" s="29">
        <v>18645</v>
      </c>
      <c r="N573" s="8">
        <v>1950</v>
      </c>
      <c r="O573" s="1">
        <v>676.04127793548389</v>
      </c>
      <c r="P573" s="1">
        <v>400</v>
      </c>
    </row>
    <row r="574" spans="1:16" x14ac:dyDescent="0.25">
      <c r="A574" s="2" t="s">
        <v>698</v>
      </c>
      <c r="B574" s="6">
        <f t="shared" si="40"/>
        <v>573</v>
      </c>
      <c r="C574" s="16">
        <v>10563</v>
      </c>
      <c r="D574" s="6" t="s">
        <v>685</v>
      </c>
      <c r="E574" s="6" t="s">
        <v>336</v>
      </c>
      <c r="F574" s="8">
        <v>31</v>
      </c>
      <c r="G574" s="8">
        <v>30</v>
      </c>
      <c r="H574" s="27">
        <v>27580.826090322578</v>
      </c>
      <c r="I574" s="27">
        <v>1800</v>
      </c>
      <c r="J574" s="27">
        <v>0</v>
      </c>
      <c r="K574" s="27">
        <v>200</v>
      </c>
      <c r="L574" s="28">
        <v>2000</v>
      </c>
      <c r="M574" s="29">
        <v>25581</v>
      </c>
      <c r="N574" s="8">
        <v>1950</v>
      </c>
      <c r="O574" s="1">
        <v>1800</v>
      </c>
      <c r="P574" s="1">
        <v>400</v>
      </c>
    </row>
    <row r="575" spans="1:16" x14ac:dyDescent="0.25">
      <c r="A575" s="2" t="s">
        <v>704</v>
      </c>
      <c r="B575" s="6">
        <f t="shared" si="40"/>
        <v>574</v>
      </c>
      <c r="C575" s="16">
        <v>10907</v>
      </c>
      <c r="D575" s="6" t="s">
        <v>699</v>
      </c>
      <c r="E575" s="6" t="s">
        <v>360</v>
      </c>
      <c r="F575" s="2">
        <v>31</v>
      </c>
      <c r="G575" s="8">
        <v>28</v>
      </c>
      <c r="H575" s="14">
        <v>30709.611809032252</v>
      </c>
      <c r="I575" s="14">
        <v>1800</v>
      </c>
      <c r="J575" s="14">
        <v>0</v>
      </c>
      <c r="K575" s="14">
        <v>200</v>
      </c>
      <c r="L575" s="14">
        <v>2000</v>
      </c>
      <c r="M575" s="15">
        <v>28709.611809032252</v>
      </c>
      <c r="N575" s="8">
        <v>1950</v>
      </c>
      <c r="O575" s="14">
        <v>1800</v>
      </c>
      <c r="P575" s="6">
        <v>400</v>
      </c>
    </row>
    <row r="576" spans="1:16" x14ac:dyDescent="0.25">
      <c r="A576" s="2" t="s">
        <v>704</v>
      </c>
      <c r="B576" s="6">
        <f t="shared" si="40"/>
        <v>575</v>
      </c>
      <c r="C576" s="16">
        <v>11806</v>
      </c>
      <c r="D576" s="6" t="s">
        <v>700</v>
      </c>
      <c r="E576" s="6" t="s">
        <v>37</v>
      </c>
      <c r="F576" s="2">
        <v>31</v>
      </c>
      <c r="G576" s="8">
        <v>25</v>
      </c>
      <c r="H576" s="14">
        <v>18866.887200000001</v>
      </c>
      <c r="I576" s="14">
        <v>1777.9296898064517</v>
      </c>
      <c r="J576" s="14">
        <v>141.501654</v>
      </c>
      <c r="K576" s="14">
        <v>150</v>
      </c>
      <c r="L576" s="14">
        <v>2069.4313438064519</v>
      </c>
      <c r="M576" s="15">
        <v>16797.455856193548</v>
      </c>
      <c r="N576" s="8">
        <v>1926.0904972903227</v>
      </c>
      <c r="O576" s="14">
        <v>613.17383400000006</v>
      </c>
      <c r="P576" s="6">
        <v>400</v>
      </c>
    </row>
    <row r="577" spans="1:16" x14ac:dyDescent="0.25">
      <c r="A577" s="2" t="s">
        <v>704</v>
      </c>
      <c r="B577" s="6">
        <f t="shared" si="40"/>
        <v>576</v>
      </c>
      <c r="C577" s="16">
        <v>11648</v>
      </c>
      <c r="D577" s="6" t="s">
        <v>701</v>
      </c>
      <c r="E577" s="6" t="s">
        <v>37</v>
      </c>
      <c r="F577" s="2">
        <v>31</v>
      </c>
      <c r="G577" s="8">
        <v>30</v>
      </c>
      <c r="H577" s="14">
        <v>22751.389161290317</v>
      </c>
      <c r="I577" s="14">
        <v>1800</v>
      </c>
      <c r="J577" s="14">
        <v>170.63541870967737</v>
      </c>
      <c r="K577" s="14">
        <v>200</v>
      </c>
      <c r="L577" s="14">
        <v>2170.6354187096777</v>
      </c>
      <c r="M577" s="15">
        <v>20580.75374258064</v>
      </c>
      <c r="N577" s="8">
        <v>1950</v>
      </c>
      <c r="O577" s="14">
        <v>739.42014774193535</v>
      </c>
      <c r="P577" s="6">
        <v>400</v>
      </c>
    </row>
    <row r="578" spans="1:16" x14ac:dyDescent="0.25">
      <c r="A578" s="2" t="s">
        <v>704</v>
      </c>
      <c r="B578" s="6">
        <f t="shared" si="40"/>
        <v>577</v>
      </c>
      <c r="C578" s="16">
        <v>11885</v>
      </c>
      <c r="D578" s="6" t="s">
        <v>702</v>
      </c>
      <c r="E578" s="6" t="s">
        <v>37</v>
      </c>
      <c r="F578" s="2">
        <v>31</v>
      </c>
      <c r="G578" s="8">
        <v>31</v>
      </c>
      <c r="H578" s="14">
        <v>23319.544161290323</v>
      </c>
      <c r="I578" s="14">
        <v>1800</v>
      </c>
      <c r="J578" s="14">
        <v>174.89658120967741</v>
      </c>
      <c r="K578" s="14">
        <v>200</v>
      </c>
      <c r="L578" s="14">
        <v>2174.8965812096776</v>
      </c>
      <c r="M578" s="15">
        <v>21144.647580080644</v>
      </c>
      <c r="N578" s="8">
        <v>1950</v>
      </c>
      <c r="O578" s="14">
        <v>757.88518524193557</v>
      </c>
      <c r="P578" s="6">
        <v>400</v>
      </c>
    </row>
    <row r="579" spans="1:16" x14ac:dyDescent="0.25">
      <c r="A579" s="2" t="s">
        <v>704</v>
      </c>
      <c r="B579" s="6">
        <f t="shared" ref="B579" si="45">B578+1</f>
        <v>578</v>
      </c>
      <c r="C579" s="16">
        <v>11929</v>
      </c>
      <c r="D579" s="6" t="s">
        <v>703</v>
      </c>
      <c r="E579" s="6" t="s">
        <v>37</v>
      </c>
      <c r="F579" s="2">
        <v>31</v>
      </c>
      <c r="G579" s="8">
        <v>24</v>
      </c>
      <c r="H579" s="14">
        <v>16250.992258064516</v>
      </c>
      <c r="I579" s="14">
        <v>1613.1590709677419</v>
      </c>
      <c r="J579" s="14">
        <v>121.88244193548387</v>
      </c>
      <c r="K579" s="14">
        <v>150</v>
      </c>
      <c r="L579" s="14">
        <v>1885.0415129032258</v>
      </c>
      <c r="M579" s="15">
        <v>14365.95074516129</v>
      </c>
      <c r="N579" s="8">
        <v>1747.5889935483872</v>
      </c>
      <c r="O579" s="14">
        <v>528.15724838709684</v>
      </c>
      <c r="P579" s="6">
        <v>400</v>
      </c>
    </row>
  </sheetData>
  <phoneticPr fontId="7" type="noConversion"/>
  <conditionalFormatting sqref="C4">
    <cfRule type="duplicateValues" dxfId="76" priority="85"/>
  </conditionalFormatting>
  <conditionalFormatting sqref="C15">
    <cfRule type="duplicateValues" dxfId="75" priority="81"/>
    <cfRule type="duplicateValues" dxfId="74" priority="80"/>
  </conditionalFormatting>
  <conditionalFormatting sqref="C16:C17">
    <cfRule type="duplicateValues" dxfId="73" priority="82"/>
  </conditionalFormatting>
  <conditionalFormatting sqref="C18">
    <cfRule type="duplicateValues" dxfId="72" priority="83"/>
  </conditionalFormatting>
  <conditionalFormatting sqref="C23">
    <cfRule type="duplicateValues" dxfId="71" priority="84"/>
  </conditionalFormatting>
  <conditionalFormatting sqref="C24:C72">
    <cfRule type="duplicateValues" dxfId="70" priority="78"/>
    <cfRule type="duplicateValues" dxfId="69" priority="77"/>
  </conditionalFormatting>
  <conditionalFormatting sqref="C97:C101">
    <cfRule type="duplicateValues" dxfId="68" priority="74"/>
  </conditionalFormatting>
  <conditionalFormatting sqref="C115:C121">
    <cfRule type="duplicateValues" dxfId="67" priority="67"/>
  </conditionalFormatting>
  <conditionalFormatting sqref="C154:C199">
    <cfRule type="duplicateValues" dxfId="66" priority="154"/>
  </conditionalFormatting>
  <conditionalFormatting sqref="C197:C200 C154:C192 C195">
    <cfRule type="duplicateValues" dxfId="65" priority="65"/>
    <cfRule type="duplicateValues" dxfId="64" priority="64"/>
  </conditionalFormatting>
  <conditionalFormatting sqref="C197:C200">
    <cfRule type="duplicateValues" dxfId="63" priority="63"/>
  </conditionalFormatting>
  <conditionalFormatting sqref="C239">
    <cfRule type="duplicateValues" dxfId="62" priority="56"/>
  </conditionalFormatting>
  <conditionalFormatting sqref="C242:C243">
    <cfRule type="duplicateValues" dxfId="61" priority="54"/>
  </conditionalFormatting>
  <conditionalFormatting sqref="C257">
    <cfRule type="duplicateValues" dxfId="60" priority="55"/>
  </conditionalFormatting>
  <conditionalFormatting sqref="C265:C266">
    <cfRule type="duplicateValues" dxfId="59" priority="57"/>
    <cfRule type="duplicateValues" dxfId="58" priority="58"/>
  </conditionalFormatting>
  <conditionalFormatting sqref="C271">
    <cfRule type="duplicateValues" dxfId="57" priority="53"/>
    <cfRule type="duplicateValues" dxfId="56" priority="52"/>
  </conditionalFormatting>
  <conditionalFormatting sqref="C272">
    <cfRule type="duplicateValues" dxfId="55" priority="51"/>
    <cfRule type="duplicateValues" dxfId="54" priority="50"/>
  </conditionalFormatting>
  <conditionalFormatting sqref="C315">
    <cfRule type="duplicateValues" dxfId="53" priority="45"/>
  </conditionalFormatting>
  <conditionalFormatting sqref="C316 C302:C314 C318:C321">
    <cfRule type="duplicateValues" dxfId="52" priority="103"/>
  </conditionalFormatting>
  <conditionalFormatting sqref="C325 C302:C314 C316:C321">
    <cfRule type="duplicateValues" dxfId="51" priority="102"/>
  </conditionalFormatting>
  <conditionalFormatting sqref="C325 C317">
    <cfRule type="duplicateValues" dxfId="50" priority="48"/>
  </conditionalFormatting>
  <conditionalFormatting sqref="C327">
    <cfRule type="duplicateValues" dxfId="49" priority="46"/>
  </conditionalFormatting>
  <conditionalFormatting sqref="C365:C366">
    <cfRule type="duplicateValues" dxfId="48" priority="114"/>
  </conditionalFormatting>
  <conditionalFormatting sqref="C369 C365:C366 C328:C332 C344:C357">
    <cfRule type="duplicateValues" dxfId="47" priority="115"/>
  </conditionalFormatting>
  <conditionalFormatting sqref="C370:C371 C373:C377">
    <cfRule type="duplicateValues" dxfId="46" priority="136"/>
  </conditionalFormatting>
  <conditionalFormatting sqref="C370:C399">
    <cfRule type="duplicateValues" dxfId="45" priority="152"/>
  </conditionalFormatting>
  <conditionalFormatting sqref="C370:C400">
    <cfRule type="duplicateValues" dxfId="44" priority="153"/>
  </conditionalFormatting>
  <conditionalFormatting sqref="C378:C384">
    <cfRule type="duplicateValues" dxfId="43" priority="28"/>
  </conditionalFormatting>
  <conditionalFormatting sqref="C385:C390">
    <cfRule type="duplicateValues" dxfId="42" priority="29"/>
  </conditionalFormatting>
  <conditionalFormatting sqref="C391:C397 C372">
    <cfRule type="duplicateValues" dxfId="41" priority="22"/>
  </conditionalFormatting>
  <conditionalFormatting sqref="C398:C399">
    <cfRule type="duplicateValues" dxfId="40" priority="21"/>
  </conditionalFormatting>
  <conditionalFormatting sqref="C400">
    <cfRule type="duplicateValues" dxfId="39" priority="30"/>
    <cfRule type="duplicateValues" dxfId="38" priority="31"/>
    <cfRule type="duplicateValues" dxfId="37" priority="32"/>
  </conditionalFormatting>
  <conditionalFormatting sqref="C401:C404 C407:C448">
    <cfRule type="duplicateValues" dxfId="36" priority="19"/>
  </conditionalFormatting>
  <conditionalFormatting sqref="C403:C404 C407:C446">
    <cfRule type="duplicateValues" dxfId="35" priority="20"/>
  </conditionalFormatting>
  <conditionalFormatting sqref="C454">
    <cfRule type="duplicateValues" dxfId="34" priority="13"/>
  </conditionalFormatting>
  <conditionalFormatting sqref="C460 C450 C453 C455:C456 C458">
    <cfRule type="duplicateValues" dxfId="33" priority="17"/>
  </conditionalFormatting>
  <conditionalFormatting sqref="C460 C450 C453:C456 C458">
    <cfRule type="duplicateValues" dxfId="32" priority="18"/>
  </conditionalFormatting>
  <conditionalFormatting sqref="C471:C472">
    <cfRule type="duplicateValues" dxfId="31" priority="6"/>
  </conditionalFormatting>
  <conditionalFormatting sqref="C475">
    <cfRule type="duplicateValues" dxfId="30" priority="9"/>
  </conditionalFormatting>
  <conditionalFormatting sqref="C481">
    <cfRule type="duplicateValues" dxfId="29" priority="7"/>
  </conditionalFormatting>
  <conditionalFormatting sqref="C483">
    <cfRule type="duplicateValues" dxfId="28" priority="8"/>
  </conditionalFormatting>
  <conditionalFormatting sqref="C487:C494 C498 C500:C511">
    <cfRule type="duplicateValues" dxfId="27" priority="3"/>
  </conditionalFormatting>
  <conditionalFormatting sqref="C495:C497">
    <cfRule type="duplicateValues" dxfId="26" priority="4"/>
  </conditionalFormatting>
  <conditionalFormatting sqref="C518">
    <cfRule type="duplicateValues" dxfId="25" priority="2"/>
  </conditionalFormatting>
  <conditionalFormatting sqref="C566">
    <cfRule type="duplicateValues" dxfId="24" priority="1"/>
  </conditionalFormatting>
  <conditionalFormatting sqref="C105:D105 C107 C97:C104">
    <cfRule type="duplicateValues" dxfId="23" priority="75"/>
  </conditionalFormatting>
  <conditionalFormatting sqref="C106:D106">
    <cfRule type="duplicateValues" dxfId="22" priority="72"/>
  </conditionalFormatting>
  <conditionalFormatting sqref="C108:D109">
    <cfRule type="duplicateValues" dxfId="21" priority="76"/>
  </conditionalFormatting>
  <conditionalFormatting sqref="C110:D110">
    <cfRule type="duplicateValues" dxfId="20" priority="73"/>
  </conditionalFormatting>
  <conditionalFormatting sqref="C111:D111">
    <cfRule type="duplicateValues" dxfId="19" priority="70"/>
  </conditionalFormatting>
  <conditionalFormatting sqref="C112:D113">
    <cfRule type="duplicateValues" dxfId="18" priority="71"/>
  </conditionalFormatting>
  <conditionalFormatting sqref="C195:D195 C154:D192">
    <cfRule type="duplicateValues" dxfId="17" priority="60"/>
  </conditionalFormatting>
  <conditionalFormatting sqref="C315:D315">
    <cfRule type="cellIs" dxfId="16" priority="40" operator="equal">
      <formula>"PH"</formula>
    </cfRule>
    <cfRule type="cellIs" dxfId="15" priority="37" operator="equal">
      <formula>"W/O"</formula>
    </cfRule>
    <cfRule type="cellIs" dxfId="14" priority="39" operator="equal">
      <formula>"L"</formula>
    </cfRule>
    <cfRule type="cellIs" dxfId="13" priority="38" operator="equal">
      <formula>"W/O"</formula>
    </cfRule>
  </conditionalFormatting>
  <conditionalFormatting sqref="D24:D72">
    <cfRule type="duplicateValues" dxfId="12" priority="79" stopIfTrue="1"/>
  </conditionalFormatting>
  <conditionalFormatting sqref="D107">
    <cfRule type="duplicateValues" dxfId="11" priority="69"/>
  </conditionalFormatting>
  <conditionalFormatting sqref="D115:D121">
    <cfRule type="duplicateValues" dxfId="10" priority="68"/>
  </conditionalFormatting>
  <conditionalFormatting sqref="D122">
    <cfRule type="duplicateValues" dxfId="9" priority="66"/>
  </conditionalFormatting>
  <conditionalFormatting sqref="D197:D200">
    <cfRule type="duplicateValues" dxfId="8" priority="61"/>
  </conditionalFormatting>
  <conditionalFormatting sqref="D219:D272">
    <cfRule type="duplicateValues" dxfId="7" priority="98"/>
  </conditionalFormatting>
  <conditionalFormatting sqref="D451:D452">
    <cfRule type="duplicateValues" dxfId="6" priority="15"/>
  </conditionalFormatting>
  <conditionalFormatting sqref="D455">
    <cfRule type="duplicateValues" dxfId="5" priority="11"/>
  </conditionalFormatting>
  <conditionalFormatting sqref="D457">
    <cfRule type="duplicateValues" dxfId="4" priority="12"/>
  </conditionalFormatting>
  <conditionalFormatting sqref="D467 D459 D461:D465">
    <cfRule type="duplicateValues" dxfId="3" priority="14"/>
  </conditionalFormatting>
  <conditionalFormatting sqref="D468:D469 D466">
    <cfRule type="duplicateValues" dxfId="2" priority="16"/>
  </conditionalFormatting>
  <conditionalFormatting sqref="D471:D483">
    <cfRule type="duplicateValues" dxfId="1" priority="10"/>
  </conditionalFormatting>
  <conditionalFormatting sqref="D499">
    <cfRule type="duplicateValues" dxfId="0" priority="5"/>
  </conditionalFormatting>
  <dataValidations count="1">
    <dataValidation type="list" allowBlank="1" showErrorMessage="1" sqref="E6:E14" xr:uid="{C82A5D77-A3FB-407C-ACD5-9025D59EA483}">
      <formula1>"HK Supervisor,Housekeeping,Care taker"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24Sips</dc:creator>
  <cp:lastModifiedBy>24Sips</cp:lastModifiedBy>
  <dcterms:created xsi:type="dcterms:W3CDTF">2026-03-17T12:13:55Z</dcterms:created>
  <dcterms:modified xsi:type="dcterms:W3CDTF">2026-08-11T09:40:30Z</dcterms:modified>
</cp:coreProperties>
</file>