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24Sips\Desktop\24 SIPS\FY 2026-27\JUL-2026\"/>
    </mc:Choice>
  </mc:AlternateContent>
  <xr:revisionPtr revIDLastSave="0" documentId="13_ncr:1_{11DE01DB-ABC6-4F12-B1C3-2CDB74B0AE51}" xr6:coauthVersionLast="47" xr6:coauthVersionMax="47" xr10:uidLastSave="{00000000-0000-0000-0000-000000000000}"/>
  <bookViews>
    <workbookView xWindow="-120" yWindow="-120" windowWidth="29040" windowHeight="15840" tabRatio="890" activeTab="4" xr2:uid="{C75C6C79-BF0E-40EF-9210-46AF0257AEAE}"/>
  </bookViews>
  <sheets>
    <sheet name="INVOICE" sheetId="6" r:id="rId1"/>
    <sheet name="ATTENDANCE" sheetId="2" r:id="rId2"/>
    <sheet name="PAYSHEET" sheetId="1" r:id="rId3"/>
    <sheet name="FULL" sheetId="8" state="hidden" r:id="rId4"/>
    <sheet name="BANK STATEMENT" sheetId="3" r:id="rId5"/>
    <sheet name="PF ESI SUMMARY" sheetId="4" r:id="rId6"/>
    <sheet name="Sheet1" sheetId="7" r:id="rId7"/>
    <sheet name="INVOICE BREAKUP" sheetId="5" r:id="rId8"/>
  </sheets>
  <externalReferences>
    <externalReference r:id="rId9"/>
    <externalReference r:id="rId10"/>
    <externalReference r:id="rId11"/>
  </externalReferences>
  <definedNames>
    <definedName name="_xlnm._FilterDatabase" localSheetId="1" hidden="1">ATTENDANCE!$A$3:$AT$3</definedName>
    <definedName name="_xlnm._FilterDatabase" localSheetId="4" hidden="1">'BANK STATEMENT'!$D$6:$I$6</definedName>
    <definedName name="_xlnm._FilterDatabase" localSheetId="2" hidden="1">PAYSHEET!$A$4:$AL$71</definedName>
    <definedName name="_xlnm._FilterDatabase" localSheetId="5" hidden="1">'PF ESI SUMMARY'!$C$4:$P$50</definedName>
    <definedName name="_xlnm.Print_Area" localSheetId="0">INVOICE!$A$1:$D$47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6" i="3" l="1"/>
  <c r="I44" i="3" l="1"/>
  <c r="AF71" i="1"/>
  <c r="I34" i="3"/>
  <c r="I35" i="3"/>
  <c r="I36" i="3"/>
  <c r="I37" i="3"/>
  <c r="I38" i="3"/>
  <c r="I56" i="3"/>
  <c r="I39" i="3"/>
  <c r="I40" i="3"/>
  <c r="I41" i="3"/>
  <c r="I42" i="3"/>
  <c r="I69" i="3"/>
  <c r="I70" i="3" s="1"/>
  <c r="I43" i="3"/>
  <c r="I45" i="3"/>
  <c r="I46" i="3"/>
  <c r="I47" i="3"/>
  <c r="I48" i="3"/>
  <c r="I49" i="3"/>
  <c r="M58" i="1"/>
  <c r="H58" i="1"/>
  <c r="P58" i="1" s="1"/>
  <c r="H57" i="1"/>
  <c r="N57" i="1" s="1"/>
  <c r="M57" i="1"/>
  <c r="M32" i="1"/>
  <c r="H32" i="1"/>
  <c r="M46" i="1"/>
  <c r="M47" i="1"/>
  <c r="H46" i="1"/>
  <c r="H47" i="1"/>
  <c r="O47" i="1" s="1"/>
  <c r="M45" i="1"/>
  <c r="H45" i="1"/>
  <c r="P45" i="1" s="1"/>
  <c r="H19" i="1"/>
  <c r="M19" i="1"/>
  <c r="H20" i="1"/>
  <c r="N20" i="1" s="1"/>
  <c r="M20" i="1"/>
  <c r="H21" i="1"/>
  <c r="N21" i="1" s="1"/>
  <c r="M21" i="1"/>
  <c r="H22" i="1"/>
  <c r="P22" i="1" s="1"/>
  <c r="M22" i="1"/>
  <c r="H23" i="1"/>
  <c r="N23" i="1" s="1"/>
  <c r="M23" i="1"/>
  <c r="H24" i="1"/>
  <c r="O24" i="1" s="1"/>
  <c r="M24" i="1"/>
  <c r="H25" i="1"/>
  <c r="M25" i="1"/>
  <c r="H26" i="1"/>
  <c r="N26" i="1" s="1"/>
  <c r="M26" i="1"/>
  <c r="H27" i="1"/>
  <c r="N27" i="1" s="1"/>
  <c r="M27" i="1"/>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AR112" i="2"/>
  <c r="AQ112" i="2"/>
  <c r="AP112" i="2"/>
  <c r="AO112" i="2"/>
  <c r="AN112" i="2"/>
  <c r="AM112" i="2"/>
  <c r="AL112" i="2"/>
  <c r="AR110" i="2"/>
  <c r="AQ110" i="2"/>
  <c r="AP110" i="2"/>
  <c r="AO110" i="2"/>
  <c r="AN110" i="2"/>
  <c r="AM110" i="2"/>
  <c r="AL110" i="2"/>
  <c r="AR108" i="2"/>
  <c r="AQ108" i="2"/>
  <c r="AP108" i="2"/>
  <c r="AO108" i="2"/>
  <c r="AN108" i="2"/>
  <c r="AM108" i="2"/>
  <c r="AL108" i="2"/>
  <c r="AR106" i="2"/>
  <c r="AQ106" i="2"/>
  <c r="AP106" i="2"/>
  <c r="AO106" i="2"/>
  <c r="AN106" i="2"/>
  <c r="AM106" i="2"/>
  <c r="AL106" i="2"/>
  <c r="AR104" i="2"/>
  <c r="AQ104" i="2"/>
  <c r="AP104" i="2"/>
  <c r="AO104" i="2"/>
  <c r="AN104" i="2"/>
  <c r="AM104" i="2"/>
  <c r="AL104" i="2"/>
  <c r="AR102" i="2"/>
  <c r="AQ102" i="2"/>
  <c r="AP102" i="2"/>
  <c r="AO102" i="2"/>
  <c r="AN102" i="2"/>
  <c r="AM102" i="2"/>
  <c r="AL102" i="2"/>
  <c r="AR100" i="2"/>
  <c r="AQ100" i="2"/>
  <c r="AP100" i="2"/>
  <c r="AO100" i="2"/>
  <c r="AN100" i="2"/>
  <c r="AM100" i="2"/>
  <c r="AL100" i="2"/>
  <c r="AR98" i="2"/>
  <c r="AQ98" i="2"/>
  <c r="AP98" i="2"/>
  <c r="AO98" i="2"/>
  <c r="AN98" i="2"/>
  <c r="AM98" i="2"/>
  <c r="AL98" i="2"/>
  <c r="AR96" i="2"/>
  <c r="AQ96" i="2"/>
  <c r="AP96" i="2"/>
  <c r="AO96" i="2"/>
  <c r="AN96" i="2"/>
  <c r="AM96" i="2"/>
  <c r="AL96" i="2"/>
  <c r="AR94" i="2"/>
  <c r="AQ94" i="2"/>
  <c r="AP94" i="2"/>
  <c r="AO94" i="2"/>
  <c r="AN94" i="2"/>
  <c r="AM94" i="2"/>
  <c r="AL94" i="2"/>
  <c r="AR92" i="2"/>
  <c r="AQ92" i="2"/>
  <c r="AP92" i="2"/>
  <c r="AO92" i="2"/>
  <c r="AN92" i="2"/>
  <c r="AM92" i="2"/>
  <c r="AL92" i="2"/>
  <c r="AR90" i="2"/>
  <c r="AQ90" i="2"/>
  <c r="AP90" i="2"/>
  <c r="AO90" i="2"/>
  <c r="AN90" i="2"/>
  <c r="AM90" i="2"/>
  <c r="AL90" i="2"/>
  <c r="AR88" i="2"/>
  <c r="AQ88" i="2"/>
  <c r="AP88" i="2"/>
  <c r="AO88" i="2"/>
  <c r="AN88" i="2"/>
  <c r="AM88" i="2"/>
  <c r="AL88" i="2"/>
  <c r="AR84" i="2"/>
  <c r="AQ84" i="2"/>
  <c r="AP84" i="2"/>
  <c r="AO84" i="2"/>
  <c r="AN84" i="2"/>
  <c r="AM84" i="2"/>
  <c r="AL84" i="2"/>
  <c r="AR82" i="2"/>
  <c r="AQ82" i="2"/>
  <c r="AP82" i="2"/>
  <c r="AO82" i="2"/>
  <c r="AN82" i="2"/>
  <c r="AM82" i="2"/>
  <c r="AL82" i="2"/>
  <c r="AR80" i="2"/>
  <c r="AQ80" i="2"/>
  <c r="AP80" i="2"/>
  <c r="AO80" i="2"/>
  <c r="AN80" i="2"/>
  <c r="AM80" i="2"/>
  <c r="AL80" i="2"/>
  <c r="AR78" i="2"/>
  <c r="AQ78" i="2"/>
  <c r="AP78" i="2"/>
  <c r="AO78" i="2"/>
  <c r="AN78" i="2"/>
  <c r="AM78" i="2"/>
  <c r="AL78" i="2"/>
  <c r="AR76" i="2"/>
  <c r="AQ76" i="2"/>
  <c r="AP76" i="2"/>
  <c r="AO76" i="2"/>
  <c r="AN76" i="2"/>
  <c r="AM76" i="2"/>
  <c r="AL76" i="2"/>
  <c r="AR74" i="2"/>
  <c r="AQ74" i="2"/>
  <c r="AP74" i="2"/>
  <c r="AO74" i="2"/>
  <c r="AN74" i="2"/>
  <c r="AM74" i="2"/>
  <c r="AL74" i="2"/>
  <c r="AR72" i="2"/>
  <c r="AQ72" i="2"/>
  <c r="AP72" i="2"/>
  <c r="AO72" i="2"/>
  <c r="AN72" i="2"/>
  <c r="AM72" i="2"/>
  <c r="AL72" i="2"/>
  <c r="AR70" i="2"/>
  <c r="AQ70" i="2"/>
  <c r="AP70" i="2"/>
  <c r="AO70" i="2"/>
  <c r="AN70" i="2"/>
  <c r="AM70" i="2"/>
  <c r="AL70" i="2"/>
  <c r="AR68" i="2"/>
  <c r="AQ68" i="2"/>
  <c r="AP68" i="2"/>
  <c r="AO68" i="2"/>
  <c r="AN68" i="2"/>
  <c r="AM68" i="2"/>
  <c r="AL68" i="2"/>
  <c r="AR66" i="2"/>
  <c r="AQ66" i="2"/>
  <c r="AP66" i="2"/>
  <c r="AO66" i="2"/>
  <c r="AN66" i="2"/>
  <c r="AM66" i="2"/>
  <c r="AL66" i="2"/>
  <c r="AR64" i="2"/>
  <c r="AQ64" i="2"/>
  <c r="AP64" i="2"/>
  <c r="AO64" i="2"/>
  <c r="AN64" i="2"/>
  <c r="AM64" i="2"/>
  <c r="AL64" i="2"/>
  <c r="AR62" i="2"/>
  <c r="AQ62" i="2"/>
  <c r="AP62" i="2"/>
  <c r="AO62" i="2"/>
  <c r="AN62" i="2"/>
  <c r="AM62" i="2"/>
  <c r="AL62" i="2"/>
  <c r="AR60" i="2"/>
  <c r="AQ60" i="2"/>
  <c r="AP60" i="2"/>
  <c r="AO60" i="2"/>
  <c r="AN60" i="2"/>
  <c r="AM60" i="2"/>
  <c r="AL60" i="2"/>
  <c r="AR58" i="2"/>
  <c r="AQ58" i="2"/>
  <c r="AP58" i="2"/>
  <c r="AO58" i="2"/>
  <c r="AN58" i="2"/>
  <c r="AM58" i="2"/>
  <c r="AL58" i="2"/>
  <c r="AR56" i="2"/>
  <c r="AQ56" i="2"/>
  <c r="AP56" i="2"/>
  <c r="AO56" i="2"/>
  <c r="AN56" i="2"/>
  <c r="AM56" i="2"/>
  <c r="AL56" i="2"/>
  <c r="AR54" i="2"/>
  <c r="AQ54" i="2"/>
  <c r="AP54" i="2"/>
  <c r="AO54" i="2"/>
  <c r="AN54" i="2"/>
  <c r="AM54" i="2"/>
  <c r="AL54" i="2"/>
  <c r="AR52" i="2"/>
  <c r="AQ52" i="2"/>
  <c r="AP52" i="2"/>
  <c r="AO52" i="2"/>
  <c r="AN52" i="2"/>
  <c r="AM52" i="2"/>
  <c r="AL52" i="2"/>
  <c r="AR50" i="2"/>
  <c r="AQ50" i="2"/>
  <c r="AP50" i="2"/>
  <c r="AO50" i="2"/>
  <c r="AN50" i="2"/>
  <c r="AM50" i="2"/>
  <c r="AL50" i="2"/>
  <c r="AR48" i="2"/>
  <c r="AQ48" i="2"/>
  <c r="AP48" i="2"/>
  <c r="AO48" i="2"/>
  <c r="AN48" i="2"/>
  <c r="AM48" i="2"/>
  <c r="AL48" i="2"/>
  <c r="AR46" i="2"/>
  <c r="AQ46" i="2"/>
  <c r="AP46" i="2"/>
  <c r="AO46" i="2"/>
  <c r="AN46" i="2"/>
  <c r="AM46" i="2"/>
  <c r="AL46" i="2"/>
  <c r="AR44" i="2"/>
  <c r="AQ44" i="2"/>
  <c r="AP44" i="2"/>
  <c r="AO44" i="2"/>
  <c r="AN44" i="2"/>
  <c r="AM44" i="2"/>
  <c r="AL44" i="2"/>
  <c r="AR42" i="2"/>
  <c r="AQ42" i="2"/>
  <c r="AP42" i="2"/>
  <c r="AO42" i="2"/>
  <c r="AN42" i="2"/>
  <c r="AM42" i="2"/>
  <c r="AL42" i="2"/>
  <c r="AR40" i="2"/>
  <c r="AQ40" i="2"/>
  <c r="AP40" i="2"/>
  <c r="AO40" i="2"/>
  <c r="AN40" i="2"/>
  <c r="AM40" i="2"/>
  <c r="AL40" i="2"/>
  <c r="AR38" i="2"/>
  <c r="AQ38" i="2"/>
  <c r="AP38" i="2"/>
  <c r="AO38" i="2"/>
  <c r="AN38" i="2"/>
  <c r="AM38" i="2"/>
  <c r="AL38" i="2"/>
  <c r="AR36" i="2"/>
  <c r="AQ36" i="2"/>
  <c r="AP36" i="2"/>
  <c r="AO36" i="2"/>
  <c r="AN36" i="2"/>
  <c r="AM36" i="2"/>
  <c r="AL36" i="2"/>
  <c r="AR34" i="2"/>
  <c r="AQ34" i="2"/>
  <c r="AP34" i="2"/>
  <c r="AO34" i="2"/>
  <c r="AN34" i="2"/>
  <c r="AM34" i="2"/>
  <c r="AL34" i="2"/>
  <c r="AR32" i="2"/>
  <c r="AQ32" i="2"/>
  <c r="AP32" i="2"/>
  <c r="AO32" i="2"/>
  <c r="AN32" i="2"/>
  <c r="AM32" i="2"/>
  <c r="AL32" i="2"/>
  <c r="AR30" i="2"/>
  <c r="AQ30" i="2"/>
  <c r="AP30" i="2"/>
  <c r="AO30" i="2"/>
  <c r="AN30" i="2"/>
  <c r="AM30" i="2"/>
  <c r="AL30" i="2"/>
  <c r="AR28" i="2"/>
  <c r="AQ28" i="2"/>
  <c r="AP28" i="2"/>
  <c r="AO28" i="2"/>
  <c r="AN28" i="2"/>
  <c r="AM28" i="2"/>
  <c r="AL28" i="2"/>
  <c r="AR26" i="2"/>
  <c r="AQ26" i="2"/>
  <c r="AP26" i="2"/>
  <c r="AO26" i="2"/>
  <c r="AN26" i="2"/>
  <c r="AM26" i="2"/>
  <c r="AL26" i="2"/>
  <c r="AR24" i="2"/>
  <c r="AQ24" i="2"/>
  <c r="AP24" i="2"/>
  <c r="AO24" i="2"/>
  <c r="AN24" i="2"/>
  <c r="AM24" i="2"/>
  <c r="AL24" i="2"/>
  <c r="AR22" i="2"/>
  <c r="AQ22" i="2"/>
  <c r="AP22" i="2"/>
  <c r="AO22" i="2"/>
  <c r="AN22" i="2"/>
  <c r="AM22" i="2"/>
  <c r="AL22" i="2"/>
  <c r="AR20" i="2"/>
  <c r="AQ20" i="2"/>
  <c r="AP20" i="2"/>
  <c r="AO20" i="2"/>
  <c r="AN20" i="2"/>
  <c r="AM20" i="2"/>
  <c r="AL20" i="2"/>
  <c r="AR18" i="2"/>
  <c r="AQ18" i="2"/>
  <c r="AP18" i="2"/>
  <c r="AO18" i="2"/>
  <c r="AN18" i="2"/>
  <c r="AM18" i="2"/>
  <c r="AL18" i="2"/>
  <c r="AR16" i="2"/>
  <c r="AQ16" i="2"/>
  <c r="AP16" i="2"/>
  <c r="AO16" i="2"/>
  <c r="AN16" i="2"/>
  <c r="AM16" i="2"/>
  <c r="AL16" i="2"/>
  <c r="AR14" i="2"/>
  <c r="AQ14" i="2"/>
  <c r="AP14" i="2"/>
  <c r="AO14" i="2"/>
  <c r="AN14" i="2"/>
  <c r="AM14" i="2"/>
  <c r="AL14" i="2"/>
  <c r="AR12" i="2"/>
  <c r="AQ12" i="2"/>
  <c r="AP12" i="2"/>
  <c r="AO12" i="2"/>
  <c r="AN12" i="2"/>
  <c r="AM12" i="2"/>
  <c r="AL12" i="2"/>
  <c r="AR10" i="2"/>
  <c r="AQ10" i="2"/>
  <c r="AP10" i="2"/>
  <c r="AO10" i="2"/>
  <c r="AN10" i="2"/>
  <c r="AM10" i="2"/>
  <c r="AL10" i="2"/>
  <c r="AR8" i="2"/>
  <c r="AQ8" i="2"/>
  <c r="AP8" i="2"/>
  <c r="AO8" i="2"/>
  <c r="AN8" i="2"/>
  <c r="AM8" i="2"/>
  <c r="AL8" i="2"/>
  <c r="AR6" i="2"/>
  <c r="AQ6" i="2"/>
  <c r="AP6" i="2"/>
  <c r="AO6" i="2"/>
  <c r="AN6" i="2"/>
  <c r="AM6" i="2"/>
  <c r="AL6" i="2"/>
  <c r="AR4" i="2"/>
  <c r="AQ4" i="2"/>
  <c r="AP4" i="2"/>
  <c r="AO4" i="2"/>
  <c r="AN4" i="2"/>
  <c r="AM4" i="2"/>
  <c r="AL4" i="2"/>
  <c r="F45" i="1" l="1"/>
  <c r="S45" i="1" s="1"/>
  <c r="F50" i="1"/>
  <c r="F10" i="1"/>
  <c r="F41" i="1"/>
  <c r="F52" i="1"/>
  <c r="F37" i="1"/>
  <c r="F55" i="1"/>
  <c r="F69" i="1"/>
  <c r="F7" i="1"/>
  <c r="F27" i="1"/>
  <c r="AJ27" i="1" s="1"/>
  <c r="F31" i="1"/>
  <c r="AM115" i="2"/>
  <c r="U27" i="1"/>
  <c r="U19" i="1"/>
  <c r="N58" i="1"/>
  <c r="O58" i="1"/>
  <c r="N47" i="1"/>
  <c r="P57" i="1"/>
  <c r="O57" i="1"/>
  <c r="P27" i="1"/>
  <c r="O27" i="1"/>
  <c r="P32" i="1"/>
  <c r="O32" i="1"/>
  <c r="N32" i="1"/>
  <c r="P46" i="1"/>
  <c r="O46" i="1"/>
  <c r="P47" i="1"/>
  <c r="N46" i="1"/>
  <c r="N45" i="1"/>
  <c r="O45" i="1"/>
  <c r="P21" i="1"/>
  <c r="O21" i="1"/>
  <c r="O22" i="1"/>
  <c r="P23" i="1"/>
  <c r="O23" i="1"/>
  <c r="N22" i="1"/>
  <c r="P24" i="1"/>
  <c r="N24" i="1"/>
  <c r="P25" i="1"/>
  <c r="P19" i="1"/>
  <c r="P26" i="1"/>
  <c r="O25" i="1"/>
  <c r="P20" i="1"/>
  <c r="O19" i="1"/>
  <c r="W19" i="1" s="1"/>
  <c r="O26" i="1"/>
  <c r="N25" i="1"/>
  <c r="O20" i="1"/>
  <c r="N19" i="1"/>
  <c r="AN115" i="2"/>
  <c r="AS6" i="2"/>
  <c r="F9" i="1" s="1"/>
  <c r="AS8" i="2"/>
  <c r="AS18" i="2"/>
  <c r="F12" i="1" s="1"/>
  <c r="AS20" i="2"/>
  <c r="F13" i="1" s="1"/>
  <c r="AS30" i="2"/>
  <c r="F19" i="1" s="1"/>
  <c r="R19" i="1" s="1"/>
  <c r="AS32" i="2"/>
  <c r="F20" i="1" s="1"/>
  <c r="AS42" i="2"/>
  <c r="F25" i="1" s="1"/>
  <c r="R25" i="1" s="1"/>
  <c r="AS44" i="2"/>
  <c r="AS54" i="2"/>
  <c r="F43" i="1" s="1"/>
  <c r="AS56" i="2"/>
  <c r="F42" i="1" s="1"/>
  <c r="AS66" i="2"/>
  <c r="AS68" i="2"/>
  <c r="F36" i="1" s="1"/>
  <c r="AS78" i="2"/>
  <c r="F30" i="1" s="1"/>
  <c r="AS80" i="2"/>
  <c r="AS92" i="2"/>
  <c r="AS94" i="2"/>
  <c r="F56" i="1" s="1"/>
  <c r="AS104" i="2"/>
  <c r="F63" i="1" s="1"/>
  <c r="AS106" i="2"/>
  <c r="F61" i="1" s="1"/>
  <c r="AO115" i="2"/>
  <c r="AS10" i="2"/>
  <c r="F8" i="1" s="1"/>
  <c r="AS22" i="2"/>
  <c r="F16" i="1" s="1"/>
  <c r="AS34" i="2"/>
  <c r="F21" i="1" s="1"/>
  <c r="AS46" i="2"/>
  <c r="F26" i="1" s="1"/>
  <c r="AS58" i="2"/>
  <c r="F48" i="1" s="1"/>
  <c r="AS70" i="2"/>
  <c r="F38" i="1" s="1"/>
  <c r="AS82" i="2"/>
  <c r="AS96" i="2"/>
  <c r="F59" i="1" s="1"/>
  <c r="AS108" i="2"/>
  <c r="F65" i="1" s="1"/>
  <c r="AP115" i="2"/>
  <c r="AQ115" i="2"/>
  <c r="AS12" i="2"/>
  <c r="F14" i="1" s="1"/>
  <c r="AS14" i="2"/>
  <c r="AS24" i="2"/>
  <c r="F17" i="1" s="1"/>
  <c r="AS26" i="2"/>
  <c r="F28" i="1" s="1"/>
  <c r="AS36" i="2"/>
  <c r="F22" i="1" s="1"/>
  <c r="AS38" i="2"/>
  <c r="F23" i="1" s="1"/>
  <c r="AS48" i="2"/>
  <c r="F40" i="1" s="1"/>
  <c r="AS50" i="2"/>
  <c r="AS60" i="2"/>
  <c r="AS62" i="2"/>
  <c r="F46" i="1" s="1"/>
  <c r="AS72" i="2"/>
  <c r="F35" i="1" s="1"/>
  <c r="AS74" i="2"/>
  <c r="F33" i="1" s="1"/>
  <c r="AS84" i="2"/>
  <c r="F51" i="1" s="1"/>
  <c r="AS88" i="2"/>
  <c r="AS98" i="2"/>
  <c r="F53" i="1" s="1"/>
  <c r="AS100" i="2"/>
  <c r="F57" i="1" s="1"/>
  <c r="AS110" i="2"/>
  <c r="AS112" i="2"/>
  <c r="F67" i="1" s="1"/>
  <c r="AS4" i="2"/>
  <c r="F5" i="1" s="1"/>
  <c r="AR115" i="2"/>
  <c r="AS16" i="2"/>
  <c r="F11" i="1" s="1"/>
  <c r="AS28" i="2"/>
  <c r="F18" i="1" s="1"/>
  <c r="AS40" i="2"/>
  <c r="F24" i="1" s="1"/>
  <c r="AS52" i="2"/>
  <c r="F44" i="1" s="1"/>
  <c r="AS64" i="2"/>
  <c r="F47" i="1" s="1"/>
  <c r="AS76" i="2"/>
  <c r="F32" i="1" s="1"/>
  <c r="S32" i="1" s="1"/>
  <c r="AS90" i="2"/>
  <c r="F54" i="1" s="1"/>
  <c r="AS102" i="2"/>
  <c r="F58" i="1" s="1"/>
  <c r="AL115" i="2"/>
  <c r="V27" i="1" l="1"/>
  <c r="T27" i="1"/>
  <c r="T19" i="1"/>
  <c r="Q19" i="1"/>
  <c r="X27" i="1"/>
  <c r="R27" i="1"/>
  <c r="AA27" i="1"/>
  <c r="AG27" i="1" s="1"/>
  <c r="AJ25" i="1"/>
  <c r="S27" i="1"/>
  <c r="S19" i="1"/>
  <c r="W32" i="1"/>
  <c r="Q32" i="1"/>
  <c r="X32" i="1"/>
  <c r="U32" i="1"/>
  <c r="T32" i="1"/>
  <c r="AJ32" i="1"/>
  <c r="R32" i="1"/>
  <c r="W27" i="1"/>
  <c r="Q27" i="1"/>
  <c r="AA32" i="1"/>
  <c r="AG32" i="1" s="1"/>
  <c r="AJ24" i="1"/>
  <c r="T24" i="1"/>
  <c r="W24" i="1"/>
  <c r="S24" i="1"/>
  <c r="R24" i="1"/>
  <c r="Q24" i="1"/>
  <c r="U24" i="1"/>
  <c r="AA24" i="1"/>
  <c r="AG24" i="1" s="1"/>
  <c r="R22" i="1"/>
  <c r="X22" i="1"/>
  <c r="Q22" i="1"/>
  <c r="S22" i="1"/>
  <c r="T22" i="1"/>
  <c r="AJ22" i="1"/>
  <c r="U22" i="1"/>
  <c r="AA22" i="1"/>
  <c r="AG22" i="1" s="1"/>
  <c r="V26" i="1"/>
  <c r="R26" i="1"/>
  <c r="AJ26" i="1"/>
  <c r="T26" i="1"/>
  <c r="U26" i="1"/>
  <c r="Q26" i="1"/>
  <c r="AA26" i="1"/>
  <c r="AG26" i="1" s="1"/>
  <c r="S26" i="1"/>
  <c r="Q47" i="1"/>
  <c r="W47" i="1"/>
  <c r="AJ47" i="1"/>
  <c r="S47" i="1"/>
  <c r="AA47" i="1"/>
  <c r="AG47" i="1" s="1"/>
  <c r="R47" i="1"/>
  <c r="U47" i="1"/>
  <c r="T47" i="1"/>
  <c r="AJ23" i="1"/>
  <c r="AA23" i="1"/>
  <c r="AG23" i="1" s="1"/>
  <c r="T23" i="1"/>
  <c r="Q23" i="1"/>
  <c r="U23" i="1"/>
  <c r="V23" i="1"/>
  <c r="S23" i="1"/>
  <c r="R23" i="1"/>
  <c r="Q20" i="1"/>
  <c r="R20" i="1"/>
  <c r="V20" i="1"/>
  <c r="AJ20" i="1"/>
  <c r="AA20" i="1"/>
  <c r="AG20" i="1" s="1"/>
  <c r="U20" i="1"/>
  <c r="T20" i="1"/>
  <c r="S20" i="1"/>
  <c r="Q58" i="1"/>
  <c r="U58" i="1"/>
  <c r="R58" i="1"/>
  <c r="AJ58" i="1"/>
  <c r="S58" i="1"/>
  <c r="X58" i="1"/>
  <c r="AA58" i="1"/>
  <c r="AG58" i="1" s="1"/>
  <c r="T58" i="1"/>
  <c r="Q57" i="1"/>
  <c r="R57" i="1"/>
  <c r="AJ57" i="1"/>
  <c r="V57" i="1"/>
  <c r="S57" i="1"/>
  <c r="U57" i="1"/>
  <c r="T57" i="1"/>
  <c r="AA57" i="1"/>
  <c r="AG57" i="1" s="1"/>
  <c r="R46" i="1"/>
  <c r="Q46" i="1"/>
  <c r="AJ46" i="1"/>
  <c r="S46" i="1"/>
  <c r="U46" i="1"/>
  <c r="AA46" i="1"/>
  <c r="AG46" i="1" s="1"/>
  <c r="T46" i="1"/>
  <c r="R21" i="1"/>
  <c r="Q21" i="1"/>
  <c r="S21" i="1"/>
  <c r="T21" i="1"/>
  <c r="U21" i="1"/>
  <c r="AJ21" i="1"/>
  <c r="V21" i="1"/>
  <c r="AA21" i="1"/>
  <c r="AG21" i="1" s="1"/>
  <c r="V24" i="1"/>
  <c r="V25" i="1"/>
  <c r="X19" i="1"/>
  <c r="X24" i="1"/>
  <c r="X21" i="1"/>
  <c r="X46" i="1"/>
  <c r="W58" i="1"/>
  <c r="AJ19" i="1"/>
  <c r="S25" i="1"/>
  <c r="U45" i="1"/>
  <c r="R45" i="1"/>
  <c r="W26" i="1"/>
  <c r="X25" i="1"/>
  <c r="V22" i="1"/>
  <c r="W45" i="1"/>
  <c r="V32" i="1"/>
  <c r="X45" i="1"/>
  <c r="T45" i="1"/>
  <c r="X26" i="1"/>
  <c r="V47" i="1"/>
  <c r="W23" i="1"/>
  <c r="V45" i="1"/>
  <c r="AA25" i="1"/>
  <c r="AG25" i="1" s="1"/>
  <c r="AJ45" i="1"/>
  <c r="W21" i="1"/>
  <c r="X20" i="1"/>
  <c r="X23" i="1"/>
  <c r="W57" i="1"/>
  <c r="Q25" i="1"/>
  <c r="T25" i="1"/>
  <c r="Q45" i="1"/>
  <c r="W20" i="1"/>
  <c r="W46" i="1"/>
  <c r="V46" i="1"/>
  <c r="V19" i="1"/>
  <c r="W25" i="1"/>
  <c r="W22" i="1"/>
  <c r="X47" i="1"/>
  <c r="X57" i="1"/>
  <c r="AA19" i="1"/>
  <c r="AG19" i="1" s="1"/>
  <c r="U25" i="1"/>
  <c r="AA45" i="1"/>
  <c r="AG45" i="1" s="1"/>
  <c r="Y27" i="1"/>
  <c r="V58" i="1"/>
  <c r="Y58" i="1"/>
  <c r="Y57" i="1"/>
  <c r="Y32" i="1"/>
  <c r="Y46" i="1"/>
  <c r="Y47" i="1"/>
  <c r="Y45" i="1"/>
  <c r="Y23" i="1"/>
  <c r="Y21" i="1"/>
  <c r="Y22" i="1"/>
  <c r="Y24" i="1"/>
  <c r="Y25" i="1"/>
  <c r="Y19" i="1"/>
  <c r="Y20" i="1"/>
  <c r="Y26" i="1"/>
  <c r="AS115" i="2"/>
  <c r="AQ117" i="2" s="1"/>
  <c r="Z26" i="1" l="1"/>
  <c r="AB26" i="1" s="1"/>
  <c r="AH26" i="1" s="1"/>
  <c r="Z21" i="1"/>
  <c r="AC21" i="1" s="1"/>
  <c r="Z47" i="1"/>
  <c r="AB47" i="1" s="1"/>
  <c r="AH47" i="1" s="1"/>
  <c r="Z24" i="1"/>
  <c r="AC24" i="1" s="1"/>
  <c r="Z27" i="1"/>
  <c r="AI27" i="1" s="1"/>
  <c r="AK27" i="1" s="1"/>
  <c r="Z20" i="1"/>
  <c r="AB20" i="1" s="1"/>
  <c r="AH20" i="1" s="1"/>
  <c r="Z23" i="1"/>
  <c r="AC23" i="1" s="1"/>
  <c r="AE23" i="1" s="1"/>
  <c r="AF23" i="1" s="1"/>
  <c r="Z57" i="1"/>
  <c r="AC57" i="1" s="1"/>
  <c r="AE57" i="1" s="1"/>
  <c r="AF57" i="1" s="1"/>
  <c r="Z19" i="1"/>
  <c r="AB19" i="1" s="1"/>
  <c r="AH19" i="1" s="1"/>
  <c r="Z45" i="1"/>
  <c r="AI45" i="1" s="1"/>
  <c r="AK45" i="1" s="1"/>
  <c r="Z25" i="1"/>
  <c r="AB25" i="1" s="1"/>
  <c r="AH25" i="1" s="1"/>
  <c r="Z46" i="1"/>
  <c r="AB46" i="1" s="1"/>
  <c r="AH46" i="1" s="1"/>
  <c r="Z22" i="1"/>
  <c r="AC22" i="1" s="1"/>
  <c r="Z32" i="1"/>
  <c r="AC32" i="1" s="1"/>
  <c r="AE32" i="1" s="1"/>
  <c r="Z58" i="1"/>
  <c r="AF32" i="1"/>
  <c r="AB21" i="1"/>
  <c r="AH21" i="1" s="1"/>
  <c r="AI21" i="1" s="1"/>
  <c r="AK21" i="1" s="1"/>
  <c r="AI19" i="1"/>
  <c r="AK19" i="1" s="1"/>
  <c r="AC19" i="1"/>
  <c r="AE19" i="1" s="1"/>
  <c r="AF19" i="1" s="1"/>
  <c r="AI25" i="1"/>
  <c r="AK25" i="1" s="1"/>
  <c r="AC25" i="1"/>
  <c r="AE25" i="1" s="1"/>
  <c r="AF25" i="1" s="1"/>
  <c r="AI26" i="1"/>
  <c r="AK26" i="1" s="1"/>
  <c r="AC26" i="1"/>
  <c r="AE26" i="1" s="1"/>
  <c r="AF26" i="1" s="1"/>
  <c r="AB24" i="1" l="1"/>
  <c r="AH24" i="1" s="1"/>
  <c r="AI24" i="1" s="1"/>
  <c r="AK24" i="1" s="1"/>
  <c r="AC47" i="1"/>
  <c r="AE47" i="1" s="1"/>
  <c r="AF47" i="1" s="1"/>
  <c r="AC27" i="1"/>
  <c r="AE27" i="1" s="1"/>
  <c r="AF27" i="1" s="1"/>
  <c r="AC45" i="1"/>
  <c r="AE45" i="1" s="1"/>
  <c r="AF45" i="1" s="1"/>
  <c r="AC46" i="1"/>
  <c r="AE46" i="1" s="1"/>
  <c r="AF46" i="1" s="1"/>
  <c r="AI20" i="1"/>
  <c r="AK20" i="1" s="1"/>
  <c r="AI47" i="1"/>
  <c r="AK47" i="1" s="1"/>
  <c r="AI32" i="1"/>
  <c r="AK32" i="1" s="1"/>
  <c r="AI57" i="1"/>
  <c r="AK57" i="1" s="1"/>
  <c r="AI46" i="1"/>
  <c r="AK46" i="1" s="1"/>
  <c r="AB22" i="1"/>
  <c r="AH22" i="1" s="1"/>
  <c r="AI22" i="1" s="1"/>
  <c r="AK22" i="1" s="1"/>
  <c r="AC20" i="1"/>
  <c r="AE20" i="1" s="1"/>
  <c r="AF20" i="1" s="1"/>
  <c r="AI23" i="1"/>
  <c r="AK23" i="1" s="1"/>
  <c r="AI58" i="1"/>
  <c r="AK58" i="1" s="1"/>
  <c r="AC58" i="1"/>
  <c r="AE58" i="1" s="1"/>
  <c r="AF58" i="1" s="1"/>
  <c r="AE24" i="1"/>
  <c r="AF24" i="1" s="1"/>
  <c r="AE21" i="1"/>
  <c r="AF21" i="1" s="1"/>
  <c r="AE22" i="1" l="1"/>
  <c r="AF22" i="1" s="1"/>
  <c r="AL70" i="1" l="1"/>
  <c r="AJ69" i="1"/>
  <c r="AJ67" i="1"/>
  <c r="F66" i="1"/>
  <c r="F64" i="1"/>
  <c r="F62" i="1"/>
  <c r="AJ59" i="1"/>
  <c r="AJ56" i="1"/>
  <c r="AJ55" i="1"/>
  <c r="AJ54" i="1"/>
  <c r="AJ53" i="1"/>
  <c r="AJ52" i="1"/>
  <c r="AJ51" i="1"/>
  <c r="AJ50" i="1"/>
  <c r="AJ48" i="1"/>
  <c r="AJ44" i="1"/>
  <c r="AJ43" i="1"/>
  <c r="AJ42" i="1"/>
  <c r="AJ41" i="1"/>
  <c r="AJ40" i="1"/>
  <c r="AJ38" i="1"/>
  <c r="AJ37" i="1"/>
  <c r="AJ36" i="1"/>
  <c r="AJ35" i="1"/>
  <c r="AJ33" i="1"/>
  <c r="AJ31" i="1"/>
  <c r="AJ30" i="1"/>
  <c r="AJ28" i="1"/>
  <c r="AJ18" i="1"/>
  <c r="AJ17" i="1"/>
  <c r="AJ16" i="1"/>
  <c r="AJ14" i="1"/>
  <c r="AJ13" i="1"/>
  <c r="AJ11" i="1"/>
  <c r="AA10" i="1"/>
  <c r="AA9" i="1"/>
  <c r="AA8" i="1"/>
  <c r="F6" i="1"/>
  <c r="H69" i="1"/>
  <c r="AD70" i="1"/>
  <c r="L70" i="1"/>
  <c r="K70" i="1"/>
  <c r="J70" i="1"/>
  <c r="I70" i="1"/>
  <c r="E70" i="1"/>
  <c r="AL66" i="1"/>
  <c r="AD66" i="1"/>
  <c r="AB66" i="1"/>
  <c r="L66" i="1"/>
  <c r="K66" i="1"/>
  <c r="J66" i="1"/>
  <c r="I66" i="1"/>
  <c r="E66" i="1"/>
  <c r="AL60" i="1"/>
  <c r="AH60" i="1"/>
  <c r="AD60" i="1"/>
  <c r="AB60" i="1"/>
  <c r="L60" i="1"/>
  <c r="K60" i="1"/>
  <c r="J60" i="1"/>
  <c r="I60" i="1"/>
  <c r="E60" i="1"/>
  <c r="M61" i="1"/>
  <c r="M62" i="1" s="1"/>
  <c r="AL64" i="1"/>
  <c r="AH64" i="1"/>
  <c r="AD64" i="1"/>
  <c r="AB64" i="1"/>
  <c r="L64" i="1"/>
  <c r="K64" i="1"/>
  <c r="J64" i="1"/>
  <c r="I64" i="1"/>
  <c r="AL62" i="1"/>
  <c r="AH62" i="1"/>
  <c r="AD62" i="1"/>
  <c r="AB62" i="1"/>
  <c r="L62" i="1"/>
  <c r="K62" i="1"/>
  <c r="J62" i="1"/>
  <c r="I62" i="1"/>
  <c r="AL49" i="1"/>
  <c r="AH49" i="1"/>
  <c r="AD49" i="1"/>
  <c r="AB49" i="1"/>
  <c r="L49" i="1"/>
  <c r="K49" i="1"/>
  <c r="J49" i="1"/>
  <c r="I49" i="1"/>
  <c r="AL39" i="1"/>
  <c r="AH39" i="1"/>
  <c r="AD39" i="1"/>
  <c r="AB39" i="1"/>
  <c r="L39" i="1"/>
  <c r="K39" i="1"/>
  <c r="J39" i="1"/>
  <c r="I39" i="1"/>
  <c r="AL34" i="1"/>
  <c r="AH34" i="1"/>
  <c r="AD34" i="1"/>
  <c r="AB34" i="1"/>
  <c r="L34" i="1"/>
  <c r="K34" i="1"/>
  <c r="J34" i="1"/>
  <c r="I34" i="1"/>
  <c r="AL29" i="1"/>
  <c r="AH29" i="1"/>
  <c r="AD29" i="1"/>
  <c r="AB29" i="1"/>
  <c r="L29" i="1"/>
  <c r="K29" i="1"/>
  <c r="J29" i="1"/>
  <c r="I29" i="1"/>
  <c r="AL15" i="1"/>
  <c r="AH15" i="1"/>
  <c r="AD15" i="1"/>
  <c r="AB15" i="1"/>
  <c r="L15" i="1"/>
  <c r="J15" i="1"/>
  <c r="I15" i="1"/>
  <c r="AL6" i="1"/>
  <c r="AH6" i="1"/>
  <c r="AD6" i="1"/>
  <c r="AB6" i="1"/>
  <c r="L6" i="1"/>
  <c r="J6" i="1"/>
  <c r="I6" i="1"/>
  <c r="I68" i="1"/>
  <c r="J68" i="1"/>
  <c r="K68" i="1"/>
  <c r="L68" i="1"/>
  <c r="AB68" i="1"/>
  <c r="AD68" i="1"/>
  <c r="AH68" i="1"/>
  <c r="AL68" i="1"/>
  <c r="E68" i="1"/>
  <c r="H65" i="1"/>
  <c r="H66" i="1" s="1"/>
  <c r="H67" i="1"/>
  <c r="H68" i="1" s="1"/>
  <c r="H63" i="1"/>
  <c r="H64" i="1" s="1"/>
  <c r="H59" i="1"/>
  <c r="H53" i="1"/>
  <c r="H54" i="1"/>
  <c r="H48" i="1"/>
  <c r="P48" i="1" s="1"/>
  <c r="M48" i="1"/>
  <c r="H43" i="1"/>
  <c r="H42" i="1"/>
  <c r="H41" i="1"/>
  <c r="H40" i="1"/>
  <c r="H37" i="1"/>
  <c r="H38" i="1"/>
  <c r="H36" i="1"/>
  <c r="H35" i="1"/>
  <c r="H33" i="1"/>
  <c r="H31" i="1"/>
  <c r="N31" i="1" s="1"/>
  <c r="H30" i="1"/>
  <c r="M31" i="1"/>
  <c r="M28" i="1"/>
  <c r="H28" i="1"/>
  <c r="P28" i="1" s="1"/>
  <c r="M18" i="1"/>
  <c r="H18" i="1"/>
  <c r="O18" i="1" s="1"/>
  <c r="M17" i="1"/>
  <c r="H17" i="1"/>
  <c r="P17" i="1" s="1"/>
  <c r="M16" i="1"/>
  <c r="H16" i="1"/>
  <c r="P16" i="1" s="1"/>
  <c r="AA36" i="1" l="1"/>
  <c r="AA43" i="1"/>
  <c r="AA53" i="1"/>
  <c r="AA61" i="1"/>
  <c r="L71" i="1"/>
  <c r="AA16" i="1"/>
  <c r="AL71" i="1"/>
  <c r="AJ9" i="1"/>
  <c r="AA28" i="1"/>
  <c r="AJ7" i="1"/>
  <c r="AA7" i="1"/>
  <c r="AJ12" i="1"/>
  <c r="AA12" i="1"/>
  <c r="AJ8" i="1"/>
  <c r="AA5" i="1"/>
  <c r="AA11" i="1"/>
  <c r="AA17" i="1"/>
  <c r="AA37" i="1"/>
  <c r="AA44" i="1"/>
  <c r="AA54" i="1"/>
  <c r="AA63" i="1"/>
  <c r="AD71" i="1"/>
  <c r="AJ5" i="1"/>
  <c r="AJ6" i="1" s="1"/>
  <c r="AA18" i="1"/>
  <c r="AA30" i="1"/>
  <c r="AA38" i="1"/>
  <c r="AA48" i="1"/>
  <c r="AA55" i="1"/>
  <c r="AA65" i="1"/>
  <c r="I71" i="1"/>
  <c r="AA13" i="1"/>
  <c r="AA31" i="1"/>
  <c r="AA40" i="1"/>
  <c r="AA50" i="1"/>
  <c r="AA56" i="1"/>
  <c r="AA67" i="1"/>
  <c r="J71" i="1"/>
  <c r="AA33" i="1"/>
  <c r="AA41" i="1"/>
  <c r="AA51" i="1"/>
  <c r="AJ10" i="1"/>
  <c r="AA14" i="1"/>
  <c r="AA35" i="1"/>
  <c r="AA42" i="1"/>
  <c r="AA52" i="1"/>
  <c r="AA59" i="1"/>
  <c r="AA69" i="1"/>
  <c r="AJ70" i="1"/>
  <c r="AJ61" i="1"/>
  <c r="AJ63" i="1"/>
  <c r="AJ65" i="1"/>
  <c r="G60" i="1"/>
  <c r="F29" i="1"/>
  <c r="F49" i="1"/>
  <c r="F70" i="1"/>
  <c r="G70" i="1"/>
  <c r="F68" i="1"/>
  <c r="G68" i="1"/>
  <c r="G66" i="1"/>
  <c r="F60" i="1"/>
  <c r="S48" i="1"/>
  <c r="Q48" i="1"/>
  <c r="T48" i="1"/>
  <c r="R48" i="1"/>
  <c r="U48" i="1"/>
  <c r="F39" i="1"/>
  <c r="Q31" i="1"/>
  <c r="R31" i="1"/>
  <c r="S31" i="1"/>
  <c r="T31" i="1"/>
  <c r="F34" i="1"/>
  <c r="U31" i="1"/>
  <c r="F15" i="1"/>
  <c r="M29" i="1"/>
  <c r="H39" i="1"/>
  <c r="H34" i="1"/>
  <c r="H29" i="1"/>
  <c r="O48" i="1"/>
  <c r="W48" i="1" s="1"/>
  <c r="N48" i="1"/>
  <c r="V48" i="1" s="1"/>
  <c r="X48" i="1"/>
  <c r="O31" i="1"/>
  <c r="W31" i="1" s="1"/>
  <c r="P31" i="1"/>
  <c r="X31" i="1" s="1"/>
  <c r="V31" i="1"/>
  <c r="N18" i="1"/>
  <c r="P18" i="1"/>
  <c r="N17" i="1"/>
  <c r="N16" i="1"/>
  <c r="O17" i="1"/>
  <c r="N28" i="1"/>
  <c r="O16" i="1"/>
  <c r="O28" i="1"/>
  <c r="F71" i="1" l="1"/>
  <c r="AG48" i="1"/>
  <c r="AG31" i="1"/>
  <c r="P29" i="1"/>
  <c r="O29" i="1"/>
  <c r="N29" i="1"/>
  <c r="Y48" i="1"/>
  <c r="Z48" i="1" s="1"/>
  <c r="AC48" i="1" s="1"/>
  <c r="Y31" i="1"/>
  <c r="Z31" i="1" s="1"/>
  <c r="AE48" i="1" l="1"/>
  <c r="AF48" i="1" s="1"/>
  <c r="I29" i="3" s="1"/>
  <c r="AI48" i="1"/>
  <c r="AK48" i="1" s="1"/>
  <c r="AI31" i="1"/>
  <c r="AK31" i="1" s="1"/>
  <c r="AC31" i="1"/>
  <c r="AE31" i="1" s="1"/>
  <c r="AF31" i="1" s="1"/>
  <c r="I28" i="3" s="1"/>
  <c r="Q42" i="1" l="1"/>
  <c r="R42" i="1"/>
  <c r="S42" i="1"/>
  <c r="T42" i="1"/>
  <c r="Q43" i="1"/>
  <c r="R43" i="1"/>
  <c r="S43" i="1"/>
  <c r="T43" i="1"/>
  <c r="Q44" i="1"/>
  <c r="R44" i="1"/>
  <c r="S44" i="1"/>
  <c r="T44" i="1"/>
  <c r="Q36" i="1"/>
  <c r="R36" i="1"/>
  <c r="S36" i="1"/>
  <c r="T36" i="1"/>
  <c r="Q37" i="1"/>
  <c r="R37" i="1"/>
  <c r="S37" i="1"/>
  <c r="T37" i="1"/>
  <c r="Q38" i="1"/>
  <c r="R38" i="1"/>
  <c r="S38" i="1"/>
  <c r="T38" i="1"/>
  <c r="Q33" i="1"/>
  <c r="R33" i="1"/>
  <c r="S33" i="1"/>
  <c r="T33" i="1"/>
  <c r="Q28" i="1"/>
  <c r="AG28" i="1" s="1"/>
  <c r="R28" i="1"/>
  <c r="S28" i="1"/>
  <c r="T28" i="1"/>
  <c r="U28" i="1"/>
  <c r="V28" i="1"/>
  <c r="W28" i="1"/>
  <c r="X28" i="1"/>
  <c r="Y28" i="1"/>
  <c r="Q12" i="1"/>
  <c r="R12" i="1"/>
  <c r="S12" i="1"/>
  <c r="T12" i="1"/>
  <c r="Q13" i="1"/>
  <c r="R13" i="1"/>
  <c r="S13" i="1"/>
  <c r="T13" i="1"/>
  <c r="Q14" i="1"/>
  <c r="R14" i="1"/>
  <c r="S14" i="1"/>
  <c r="T14" i="1"/>
  <c r="AG38" i="1" l="1"/>
  <c r="AG44" i="1"/>
  <c r="AG37" i="1"/>
  <c r="AG12" i="1"/>
  <c r="AG42" i="1"/>
  <c r="AG43" i="1"/>
  <c r="AG36" i="1"/>
  <c r="AG33" i="1"/>
  <c r="AG13" i="1"/>
  <c r="Z28" i="1"/>
  <c r="AG14" i="1"/>
  <c r="AI28" i="1" l="1"/>
  <c r="AC28" i="1"/>
  <c r="AE28" i="1" s="1"/>
  <c r="AF28" i="1" s="1"/>
  <c r="K8" i="1" l="1"/>
  <c r="K15" i="1" s="1"/>
  <c r="H11" i="1"/>
  <c r="N11" i="1" s="1"/>
  <c r="M11" i="1"/>
  <c r="M12" i="1"/>
  <c r="U12" i="1" s="1"/>
  <c r="M13" i="1"/>
  <c r="U13" i="1" s="1"/>
  <c r="M14" i="1"/>
  <c r="U14" i="1" s="1"/>
  <c r="H12" i="1"/>
  <c r="H13" i="1"/>
  <c r="H14" i="1"/>
  <c r="K5" i="1"/>
  <c r="S67" i="1"/>
  <c r="S68" i="1" s="1"/>
  <c r="T67" i="1"/>
  <c r="T68" i="1" s="1"/>
  <c r="R67" i="1"/>
  <c r="R68" i="1" s="1"/>
  <c r="Q67" i="1"/>
  <c r="M67" i="1"/>
  <c r="N67" i="1"/>
  <c r="N68" i="1" s="1"/>
  <c r="AJ66" i="1"/>
  <c r="AJ64" i="1"/>
  <c r="AJ62" i="1"/>
  <c r="Q68" i="1" l="1"/>
  <c r="AJ68" i="1"/>
  <c r="AJ34" i="1"/>
  <c r="AJ60" i="1"/>
  <c r="K6" i="1"/>
  <c r="K71" i="1" s="1"/>
  <c r="H5" i="1"/>
  <c r="AJ49" i="1"/>
  <c r="AJ39" i="1"/>
  <c r="U67" i="1"/>
  <c r="U68" i="1" s="1"/>
  <c r="M68" i="1"/>
  <c r="AJ29" i="1"/>
  <c r="O14" i="1"/>
  <c r="W14" i="1" s="1"/>
  <c r="N13" i="1"/>
  <c r="V13" i="1" s="1"/>
  <c r="O12" i="1"/>
  <c r="W12" i="1" s="1"/>
  <c r="N14" i="1"/>
  <c r="V14" i="1" s="1"/>
  <c r="P12" i="1"/>
  <c r="X12" i="1" s="1"/>
  <c r="N12" i="1"/>
  <c r="V12" i="1" s="1"/>
  <c r="P13" i="1"/>
  <c r="X13" i="1" s="1"/>
  <c r="O13" i="1"/>
  <c r="W13" i="1" s="1"/>
  <c r="P11" i="1"/>
  <c r="O11" i="1"/>
  <c r="P14" i="1"/>
  <c r="X14" i="1" s="1"/>
  <c r="V67" i="1"/>
  <c r="V68" i="1" s="1"/>
  <c r="O67" i="1"/>
  <c r="O68" i="1" s="1"/>
  <c r="P67" i="1"/>
  <c r="P68" i="1" s="1"/>
  <c r="H6" i="1" l="1"/>
  <c r="AG67" i="1"/>
  <c r="AG68" i="1" s="1"/>
  <c r="AA68" i="1"/>
  <c r="Y12" i="1"/>
  <c r="Z12" i="1" s="1"/>
  <c r="AC12" i="1" s="1"/>
  <c r="Y14" i="1"/>
  <c r="Z14" i="1" s="1"/>
  <c r="AC14" i="1" s="1"/>
  <c r="Y13" i="1"/>
  <c r="Z13" i="1" s="1"/>
  <c r="AC13" i="1" s="1"/>
  <c r="Y67" i="1"/>
  <c r="Y68" i="1" s="1"/>
  <c r="X67" i="1"/>
  <c r="X68" i="1" s="1"/>
  <c r="W67" i="1"/>
  <c r="W68" i="1" s="1"/>
  <c r="AI12" i="1" l="1"/>
  <c r="AI14" i="1"/>
  <c r="AK14" i="1" s="1"/>
  <c r="AE13" i="1"/>
  <c r="AI13" i="1"/>
  <c r="Z67" i="1"/>
  <c r="Z68" i="1" s="1"/>
  <c r="AF13" i="1" l="1"/>
  <c r="I27" i="3" s="1"/>
  <c r="AI67" i="1"/>
  <c r="AC67" i="1"/>
  <c r="AK13" i="1"/>
  <c r="G6" i="5"/>
  <c r="AI68" i="1" l="1"/>
  <c r="AK67" i="1"/>
  <c r="AK68" i="1" s="1"/>
  <c r="AJ15" i="1"/>
  <c r="AJ71" i="1" s="1"/>
  <c r="AE67" i="1"/>
  <c r="AE68" i="1" s="1"/>
  <c r="AC68" i="1"/>
  <c r="AF67" i="1" l="1"/>
  <c r="I30" i="3" s="1"/>
  <c r="AF68" i="1" l="1"/>
  <c r="Q11" i="1" l="1"/>
  <c r="R11" i="1"/>
  <c r="S11" i="1"/>
  <c r="T11" i="1"/>
  <c r="U11" i="1"/>
  <c r="V11" i="1"/>
  <c r="W11" i="1"/>
  <c r="X11" i="1"/>
  <c r="Y11" i="1"/>
  <c r="G29" i="1"/>
  <c r="E29" i="1"/>
  <c r="E15" i="1"/>
  <c r="M69" i="1"/>
  <c r="AG11" i="1" l="1"/>
  <c r="Z11" i="1"/>
  <c r="AC11" i="1" s="1"/>
  <c r="G15" i="1"/>
  <c r="Q69" i="1"/>
  <c r="R69" i="1"/>
  <c r="T69" i="1"/>
  <c r="S69" i="1"/>
  <c r="U69" i="1"/>
  <c r="P69" i="1"/>
  <c r="X69" i="1" s="1"/>
  <c r="O69" i="1"/>
  <c r="W69" i="1" s="1"/>
  <c r="N69" i="1"/>
  <c r="V69" i="1" s="1"/>
  <c r="AG69" i="1" l="1"/>
  <c r="AE11" i="1"/>
  <c r="AI11" i="1"/>
  <c r="AK11" i="1" s="1"/>
  <c r="Y69" i="1"/>
  <c r="Z69" i="1" s="1"/>
  <c r="AC69" i="1" s="1"/>
  <c r="AF11" i="1" l="1"/>
  <c r="I25" i="3" s="1"/>
  <c r="AE69" i="1"/>
  <c r="AF69" i="1" s="1"/>
  <c r="I31" i="3" s="1"/>
  <c r="AI69" i="1"/>
  <c r="AK69" i="1" s="1"/>
  <c r="AE12" i="1" l="1"/>
  <c r="AK12" i="1"/>
  <c r="AF12" i="1" l="1"/>
  <c r="I26" i="3" s="1"/>
  <c r="M36" i="1" l="1"/>
  <c r="E64" i="1"/>
  <c r="E62" i="1"/>
  <c r="E49" i="1"/>
  <c r="E39" i="1"/>
  <c r="E34" i="1"/>
  <c r="E6" i="1"/>
  <c r="A8" i="1"/>
  <c r="M70" i="1"/>
  <c r="H70" i="1"/>
  <c r="G6" i="1"/>
  <c r="A9" i="1" l="1"/>
  <c r="A10" i="1" s="1"/>
  <c r="A11" i="1" s="1"/>
  <c r="A12" i="1" s="1"/>
  <c r="A13" i="1" s="1"/>
  <c r="A14" i="1" s="1"/>
  <c r="A16" i="1" s="1"/>
  <c r="A17" i="1" s="1"/>
  <c r="E71" i="1"/>
  <c r="U36" i="1"/>
  <c r="P36" i="1"/>
  <c r="X36" i="1" s="1"/>
  <c r="O36" i="1"/>
  <c r="W36" i="1" s="1"/>
  <c r="N36" i="1"/>
  <c r="V36" i="1" s="1"/>
  <c r="G62" i="1"/>
  <c r="G64" i="1"/>
  <c r="P70" i="1"/>
  <c r="O70" i="1"/>
  <c r="N70" i="1"/>
  <c r="A18" i="1" l="1"/>
  <c r="A19" i="1" s="1"/>
  <c r="A20" i="1" s="1"/>
  <c r="A21" i="1" s="1"/>
  <c r="A22" i="1" s="1"/>
  <c r="A23" i="1" s="1"/>
  <c r="A24" i="1" s="1"/>
  <c r="A25" i="1" s="1"/>
  <c r="A26" i="1" s="1"/>
  <c r="A27" i="1" s="1"/>
  <c r="A28" i="1" s="1"/>
  <c r="A30" i="1" s="1"/>
  <c r="A31" i="1" s="1"/>
  <c r="A32" i="1" s="1"/>
  <c r="A33" i="1" s="1"/>
  <c r="A35" i="1" s="1"/>
  <c r="A36" i="1" s="1"/>
  <c r="Y36" i="1"/>
  <c r="Z36" i="1" s="1"/>
  <c r="AC36" i="1" s="1"/>
  <c r="AE36" i="1" s="1"/>
  <c r="AF36" i="1" s="1"/>
  <c r="I22" i="3" s="1"/>
  <c r="G39" i="1"/>
  <c r="G34" i="1"/>
  <c r="G49" i="1"/>
  <c r="T10" i="1"/>
  <c r="U70" i="1"/>
  <c r="R70" i="1"/>
  <c r="S70" i="1"/>
  <c r="T70" i="1"/>
  <c r="X70" i="1"/>
  <c r="W70" i="1"/>
  <c r="S56" i="1"/>
  <c r="T18" i="1"/>
  <c r="V70" i="1"/>
  <c r="Y70" i="1"/>
  <c r="T40" i="1"/>
  <c r="S16" i="1"/>
  <c r="T8" i="1"/>
  <c r="I17" i="5"/>
  <c r="S55" i="1"/>
  <c r="T7" i="1"/>
  <c r="S59" i="1"/>
  <c r="S54" i="1"/>
  <c r="S53" i="1"/>
  <c r="S50" i="1"/>
  <c r="S41" i="1"/>
  <c r="S40" i="1"/>
  <c r="S17" i="1"/>
  <c r="S9" i="1"/>
  <c r="S7" i="1"/>
  <c r="T59" i="1"/>
  <c r="T54" i="1"/>
  <c r="T53" i="1"/>
  <c r="T50" i="1"/>
  <c r="T41" i="1"/>
  <c r="T17" i="1"/>
  <c r="T9" i="1"/>
  <c r="H61" i="1"/>
  <c r="H56" i="1"/>
  <c r="H55" i="1"/>
  <c r="H52" i="1"/>
  <c r="H51" i="1"/>
  <c r="H50" i="1"/>
  <c r="H44" i="1"/>
  <c r="H49" i="1" s="1"/>
  <c r="H10" i="1"/>
  <c r="H9" i="1"/>
  <c r="H8" i="1"/>
  <c r="H7" i="1"/>
  <c r="P7" i="1" s="1"/>
  <c r="M42" i="1"/>
  <c r="A37" i="1" l="1"/>
  <c r="A38" i="1" s="1"/>
  <c r="A40" i="1" s="1"/>
  <c r="A41" i="1" s="1"/>
  <c r="G71" i="1"/>
  <c r="Q70" i="1"/>
  <c r="S49" i="1"/>
  <c r="H60" i="1"/>
  <c r="H15" i="1"/>
  <c r="T49" i="1"/>
  <c r="T15" i="1"/>
  <c r="P61" i="1"/>
  <c r="P62" i="1" s="1"/>
  <c r="H62" i="1"/>
  <c r="O61" i="1"/>
  <c r="O62" i="1" s="1"/>
  <c r="N61" i="1"/>
  <c r="N62" i="1" s="1"/>
  <c r="U42" i="1"/>
  <c r="S35" i="1"/>
  <c r="S39" i="1" s="1"/>
  <c r="T61" i="1"/>
  <c r="T62" i="1" s="1"/>
  <c r="I11" i="5"/>
  <c r="S63" i="1"/>
  <c r="S64" i="1" s="1"/>
  <c r="T35" i="1"/>
  <c r="T39" i="1" s="1"/>
  <c r="S52" i="1"/>
  <c r="S10" i="1"/>
  <c r="S30" i="1"/>
  <c r="S34" i="1" s="1"/>
  <c r="T30" i="1"/>
  <c r="T34" i="1" s="1"/>
  <c r="AB70" i="1"/>
  <c r="AB71" i="1" s="1"/>
  <c r="AH70" i="1"/>
  <c r="S5" i="1"/>
  <c r="S6" i="1" s="1"/>
  <c r="I13" i="5"/>
  <c r="T65" i="1"/>
  <c r="T66" i="1" s="1"/>
  <c r="S65" i="1"/>
  <c r="S66" i="1" s="1"/>
  <c r="T63" i="1"/>
  <c r="T64" i="1" s="1"/>
  <c r="T56" i="1"/>
  <c r="T52" i="1"/>
  <c r="T16" i="1"/>
  <c r="T29" i="1" s="1"/>
  <c r="S61" i="1"/>
  <c r="S62" i="1" s="1"/>
  <c r="T51" i="1"/>
  <c r="T55" i="1"/>
  <c r="S51" i="1"/>
  <c r="S18" i="1"/>
  <c r="S29" i="1" s="1"/>
  <c r="S8" i="1"/>
  <c r="T5" i="1"/>
  <c r="T6" i="1" s="1"/>
  <c r="O35" i="1"/>
  <c r="N42" i="1"/>
  <c r="V42" i="1" s="1"/>
  <c r="M35" i="1"/>
  <c r="A42" i="1" l="1"/>
  <c r="A43" i="1" s="1"/>
  <c r="A44" i="1" s="1"/>
  <c r="A45" i="1" s="1"/>
  <c r="A46" i="1" s="1"/>
  <c r="A47" i="1" s="1"/>
  <c r="A48" i="1" s="1"/>
  <c r="A50" i="1" s="1"/>
  <c r="A51" i="1" s="1"/>
  <c r="A52" i="1" s="1"/>
  <c r="A53" i="1" s="1"/>
  <c r="A54" i="1" s="1"/>
  <c r="A55" i="1" s="1"/>
  <c r="A56" i="1" s="1"/>
  <c r="A57" i="1" s="1"/>
  <c r="A58" i="1" s="1"/>
  <c r="A59" i="1" s="1"/>
  <c r="A61" i="1" s="1"/>
  <c r="A63" i="1" s="1"/>
  <c r="A65" i="1" s="1"/>
  <c r="A67" i="1" s="1"/>
  <c r="A69" i="1" s="1"/>
  <c r="S60" i="1"/>
  <c r="H71" i="1"/>
  <c r="AG70" i="1"/>
  <c r="AA70" i="1"/>
  <c r="Z70" i="1"/>
  <c r="AC70" i="1"/>
  <c r="S15" i="1"/>
  <c r="T60" i="1"/>
  <c r="T71" i="1" s="1"/>
  <c r="AI36" i="1"/>
  <c r="AK36" i="1" s="1"/>
  <c r="P42" i="1"/>
  <c r="X42" i="1" s="1"/>
  <c r="O42" i="1"/>
  <c r="W42" i="1" s="1"/>
  <c r="R35" i="1"/>
  <c r="R39" i="1" s="1"/>
  <c r="Q35" i="1"/>
  <c r="W35" i="1"/>
  <c r="U35" i="1"/>
  <c r="P35" i="1"/>
  <c r="N35" i="1"/>
  <c r="S71" i="1" l="1"/>
  <c r="AK70" i="1"/>
  <c r="Q39" i="1"/>
  <c r="Y42" i="1"/>
  <c r="Z42" i="1" s="1"/>
  <c r="AC42" i="1" s="1"/>
  <c r="AE42" i="1" s="1"/>
  <c r="AF42" i="1" s="1"/>
  <c r="I57" i="3" s="1"/>
  <c r="X35" i="1"/>
  <c r="V35" i="1"/>
  <c r="AE70" i="1"/>
  <c r="Y35" i="1"/>
  <c r="AI70" i="1" l="1"/>
  <c r="AA39" i="1"/>
  <c r="AG35" i="1"/>
  <c r="AG39" i="1" s="1"/>
  <c r="Z35" i="1"/>
  <c r="O13" i="5"/>
  <c r="N13" i="5"/>
  <c r="O17" i="5"/>
  <c r="N17" i="5"/>
  <c r="L17" i="5"/>
  <c r="AF70" i="1" l="1"/>
  <c r="AC35" i="1"/>
  <c r="AE35" i="1" s="1"/>
  <c r="AI35" i="1"/>
  <c r="AI42" i="1"/>
  <c r="I9" i="5"/>
  <c r="I10" i="5"/>
  <c r="I7" i="5"/>
  <c r="I16" i="5"/>
  <c r="AK35" i="1" l="1"/>
  <c r="AF35" i="1"/>
  <c r="I55" i="3" s="1"/>
  <c r="J17" i="5"/>
  <c r="R17" i="5" s="1"/>
  <c r="AK42" i="1"/>
  <c r="L13" i="5"/>
  <c r="Q17" i="5"/>
  <c r="P17" i="5"/>
  <c r="I6" i="5"/>
  <c r="J13" i="5" l="1"/>
  <c r="R13" i="5" s="1"/>
  <c r="Q13" i="5"/>
  <c r="P13" i="5"/>
  <c r="P44" i="1"/>
  <c r="X44" i="1" s="1"/>
  <c r="M44" i="1"/>
  <c r="U44" i="1" l="1"/>
  <c r="O44" i="1"/>
  <c r="W44" i="1" s="1"/>
  <c r="N44" i="1"/>
  <c r="V44" i="1" s="1"/>
  <c r="Y44" i="1" l="1"/>
  <c r="Z44" i="1" s="1"/>
  <c r="AC44" i="1" s="1"/>
  <c r="AE44" i="1" s="1"/>
  <c r="AF44" i="1" s="1"/>
  <c r="I52" i="3" s="1"/>
  <c r="K17" i="5"/>
  <c r="M17" i="5"/>
  <c r="K13" i="5"/>
  <c r="M13" i="5"/>
  <c r="AI44" i="1" l="1"/>
  <c r="AK44" i="1" s="1"/>
  <c r="M10" i="1" l="1"/>
  <c r="N10" i="1"/>
  <c r="I14" i="5" l="1"/>
  <c r="O10" i="1"/>
  <c r="P10" i="1"/>
  <c r="Y10" i="1" l="1"/>
  <c r="Q10" i="1" l="1"/>
  <c r="W10" i="1"/>
  <c r="R10" i="1"/>
  <c r="U10" i="1"/>
  <c r="V10" i="1"/>
  <c r="X10" i="1"/>
  <c r="AG10" i="1" l="1"/>
  <c r="Z10" i="1"/>
  <c r="AC10" i="1" s="1"/>
  <c r="P43" i="1"/>
  <c r="X43" i="1" s="1"/>
  <c r="M43" i="1"/>
  <c r="AI10" i="1" l="1"/>
  <c r="AK10" i="1" s="1"/>
  <c r="U43" i="1"/>
  <c r="AE10" i="1"/>
  <c r="AF10" i="1" s="1"/>
  <c r="I51" i="3" s="1"/>
  <c r="O43" i="1"/>
  <c r="W43" i="1" s="1"/>
  <c r="N43" i="1"/>
  <c r="V43" i="1" s="1"/>
  <c r="Y43" i="1" l="1"/>
  <c r="Z43" i="1" s="1"/>
  <c r="AC43" i="1" l="1"/>
  <c r="AE43" i="1" s="1"/>
  <c r="AF43" i="1" s="1"/>
  <c r="I53" i="3" s="1"/>
  <c r="AI43" i="1"/>
  <c r="AK43" i="1" s="1"/>
  <c r="I15" i="5" l="1"/>
  <c r="Q18" i="1" l="1"/>
  <c r="R18" i="1"/>
  <c r="V18" i="1"/>
  <c r="U18" i="1"/>
  <c r="W18" i="1"/>
  <c r="X18" i="1"/>
  <c r="AG18" i="1" l="1"/>
  <c r="Y18" i="1"/>
  <c r="Z18" i="1" s="1"/>
  <c r="AI18" i="1" l="1"/>
  <c r="AK18" i="1" s="1"/>
  <c r="AC18" i="1"/>
  <c r="AE18" i="1" s="1"/>
  <c r="AF18" i="1" s="1"/>
  <c r="R65" i="1" l="1"/>
  <c r="R66" i="1" s="1"/>
  <c r="M65" i="1"/>
  <c r="M66" i="1" s="1"/>
  <c r="Q65" i="1"/>
  <c r="Q66" i="1" l="1"/>
  <c r="N65" i="1"/>
  <c r="N66" i="1" s="1"/>
  <c r="O65" i="1"/>
  <c r="O66" i="1" s="1"/>
  <c r="U65" i="1"/>
  <c r="U66" i="1" s="1"/>
  <c r="P65" i="1"/>
  <c r="P66" i="1" s="1"/>
  <c r="AG65" i="1" l="1"/>
  <c r="AG66" i="1" s="1"/>
  <c r="AA66" i="1"/>
  <c r="N16" i="5" s="1"/>
  <c r="X65" i="1"/>
  <c r="X66" i="1" s="1"/>
  <c r="W65" i="1"/>
  <c r="W66" i="1" s="1"/>
  <c r="V65" i="1"/>
  <c r="V66" i="1" s="1"/>
  <c r="AH66" i="1"/>
  <c r="AH71" i="1" s="1"/>
  <c r="Y65" i="1"/>
  <c r="Y66" i="1" s="1"/>
  <c r="O16" i="5" l="1"/>
  <c r="Z65" i="1"/>
  <c r="AK28" i="1"/>
  <c r="L16" i="5" l="1"/>
  <c r="Z66" i="1"/>
  <c r="AC65" i="1"/>
  <c r="AC66" i="1" s="1"/>
  <c r="AI65" i="1"/>
  <c r="AI66" i="1" l="1"/>
  <c r="J16" i="5" s="1"/>
  <c r="R16" i="5" s="1"/>
  <c r="AK65" i="1"/>
  <c r="AK66" i="1" s="1"/>
  <c r="Q16" i="5"/>
  <c r="P16" i="5"/>
  <c r="AE65" i="1"/>
  <c r="AE66" i="1" s="1"/>
  <c r="AF65" i="1" l="1"/>
  <c r="I50" i="3" s="1"/>
  <c r="AF66" i="1" l="1"/>
  <c r="K16" i="5" s="1"/>
  <c r="M16" i="5"/>
  <c r="N38" i="1" l="1"/>
  <c r="V38" i="1" s="1"/>
  <c r="M38" i="1"/>
  <c r="U38" i="1" l="1"/>
  <c r="P38" i="1"/>
  <c r="X38" i="1" s="1"/>
  <c r="O38" i="1"/>
  <c r="W38" i="1" s="1"/>
  <c r="Y38" i="1" l="1"/>
  <c r="Z38" i="1" s="1"/>
  <c r="AC38" i="1" s="1"/>
  <c r="AE38" i="1" s="1"/>
  <c r="AF38" i="1" s="1"/>
  <c r="I54" i="3" s="1"/>
  <c r="AI38" i="1" l="1"/>
  <c r="AK38" i="1" s="1"/>
  <c r="R61" i="1" l="1"/>
  <c r="R62" i="1" s="1"/>
  <c r="Q61" i="1"/>
  <c r="Q62" i="1" l="1"/>
  <c r="AE14" i="1"/>
  <c r="AF14" i="1" s="1"/>
  <c r="U61" i="1"/>
  <c r="U62" i="1" s="1"/>
  <c r="AA62" i="1" l="1"/>
  <c r="N14" i="5" s="1"/>
  <c r="AG61" i="1"/>
  <c r="AG62" i="1" s="1"/>
  <c r="O14" i="5" s="1"/>
  <c r="V61" i="1"/>
  <c r="V62" i="1" s="1"/>
  <c r="W61" i="1"/>
  <c r="W62" i="1" s="1"/>
  <c r="X61" i="1"/>
  <c r="X62" i="1" s="1"/>
  <c r="Y61" i="1"/>
  <c r="Y62" i="1" s="1"/>
  <c r="Z61" i="1" l="1"/>
  <c r="Z62" i="1" l="1"/>
  <c r="L14" i="5" s="1"/>
  <c r="AI61" i="1"/>
  <c r="AI62" i="1" s="1"/>
  <c r="AC61" i="1"/>
  <c r="AC62" i="1" s="1"/>
  <c r="AK61" i="1" l="1"/>
  <c r="AK62" i="1" s="1"/>
  <c r="J14" i="5"/>
  <c r="R14" i="5" s="1"/>
  <c r="Q14" i="5"/>
  <c r="P14" i="5"/>
  <c r="AE61" i="1"/>
  <c r="AE62" i="1" s="1"/>
  <c r="AF61" i="1" l="1"/>
  <c r="M53" i="1"/>
  <c r="O53" i="1"/>
  <c r="R41" i="1"/>
  <c r="M63" i="1"/>
  <c r="M64" i="1" s="1"/>
  <c r="M41" i="1"/>
  <c r="P41" i="1"/>
  <c r="I32" i="3" l="1"/>
  <c r="AF62" i="1"/>
  <c r="K14" i="5" s="1"/>
  <c r="M14" i="5"/>
  <c r="U53" i="1"/>
  <c r="R53" i="1"/>
  <c r="Q53" i="1"/>
  <c r="N53" i="1"/>
  <c r="V53" i="1" s="1"/>
  <c r="W53" i="1"/>
  <c r="P53" i="1"/>
  <c r="X53" i="1" s="1"/>
  <c r="Q41" i="1"/>
  <c r="AG41" i="1" s="1"/>
  <c r="X41" i="1"/>
  <c r="N41" i="1"/>
  <c r="V41" i="1" s="1"/>
  <c r="U41" i="1"/>
  <c r="O41" i="1"/>
  <c r="W41" i="1" s="1"/>
  <c r="AG53" i="1" l="1"/>
  <c r="Y53" i="1"/>
  <c r="Z53" i="1" s="1"/>
  <c r="Y41" i="1"/>
  <c r="Z41" i="1" s="1"/>
  <c r="AI53" i="1" l="1"/>
  <c r="AK53" i="1" s="1"/>
  <c r="AC53" i="1"/>
  <c r="AE53" i="1" s="1"/>
  <c r="AF53" i="1" s="1"/>
  <c r="I33" i="3" s="1"/>
  <c r="AC41" i="1"/>
  <c r="AE41" i="1" s="1"/>
  <c r="AF41" i="1" s="1"/>
  <c r="AI41" i="1"/>
  <c r="AK41" i="1" s="1"/>
  <c r="M48" i="4" l="1"/>
  <c r="N48" i="4"/>
  <c r="H48" i="4" s="1"/>
  <c r="G29" i="4"/>
  <c r="G31" i="4"/>
  <c r="G32" i="4"/>
  <c r="G35" i="4"/>
  <c r="G36" i="4"/>
  <c r="G38" i="4"/>
  <c r="G39" i="4"/>
  <c r="G40" i="4"/>
  <c r="G41" i="4"/>
  <c r="G42" i="4"/>
  <c r="G47" i="4"/>
  <c r="F50"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5" i="4"/>
  <c r="O48" i="4" l="1"/>
  <c r="H18" i="5" l="1"/>
  <c r="E18" i="5"/>
  <c r="G17" i="5"/>
  <c r="D8" i="7"/>
  <c r="D9" i="7" s="1"/>
  <c r="D10" i="7" s="1"/>
  <c r="D11" i="7" s="1"/>
  <c r="D12" i="7" s="1"/>
  <c r="D13" i="7" s="1"/>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T68" i="8"/>
  <c r="AH61" i="8"/>
  <c r="AF61" i="8"/>
  <c r="AB61" i="8"/>
  <c r="Z61" i="8"/>
  <c r="K61" i="8"/>
  <c r="J61" i="8"/>
  <c r="I61" i="8"/>
  <c r="E61" i="8"/>
  <c r="L60" i="8"/>
  <c r="L61" i="8" s="1"/>
  <c r="H60" i="8"/>
  <c r="H61" i="8" s="1"/>
  <c r="G61" i="8"/>
  <c r="A60" i="8"/>
  <c r="AH59" i="8"/>
  <c r="AF59" i="8"/>
  <c r="AB59" i="8"/>
  <c r="Z59" i="8"/>
  <c r="K59" i="8"/>
  <c r="J59" i="8"/>
  <c r="I59" i="8"/>
  <c r="E59" i="8"/>
  <c r="L58" i="8"/>
  <c r="L59" i="8" s="1"/>
  <c r="H58" i="8"/>
  <c r="H59" i="8" s="1"/>
  <c r="G59" i="8"/>
  <c r="AH57" i="8"/>
  <c r="AF57" i="8"/>
  <c r="AB57" i="8"/>
  <c r="Z57" i="8"/>
  <c r="K57" i="8"/>
  <c r="J57" i="8"/>
  <c r="I57" i="8"/>
  <c r="E57" i="8"/>
  <c r="L56" i="8"/>
  <c r="L57" i="8" s="1"/>
  <c r="H56" i="8"/>
  <c r="M56" i="8" s="1"/>
  <c r="AH55" i="8"/>
  <c r="AF55" i="8"/>
  <c r="AB55" i="8"/>
  <c r="Z55" i="8"/>
  <c r="K55" i="8"/>
  <c r="J55" i="8"/>
  <c r="I55" i="8"/>
  <c r="E55" i="8"/>
  <c r="M54" i="8"/>
  <c r="L54" i="8"/>
  <c r="L55" i="8" s="1"/>
  <c r="H54" i="8"/>
  <c r="H55" i="8" s="1"/>
  <c r="G55" i="8"/>
  <c r="AH53" i="8"/>
  <c r="AB53" i="8"/>
  <c r="K53" i="8"/>
  <c r="J53" i="8"/>
  <c r="I53" i="8"/>
  <c r="E53" i="8"/>
  <c r="L52" i="8"/>
  <c r="H52" i="8"/>
  <c r="N52" i="8" s="1"/>
  <c r="L51" i="8"/>
  <c r="S51" i="8" s="1"/>
  <c r="H51" i="8"/>
  <c r="M51" i="8" s="1"/>
  <c r="P50" i="8"/>
  <c r="L50" i="8"/>
  <c r="H50" i="8"/>
  <c r="N50" i="8" s="1"/>
  <c r="R50" i="8"/>
  <c r="L49" i="8"/>
  <c r="H49" i="8"/>
  <c r="N49" i="8" s="1"/>
  <c r="Q48" i="8"/>
  <c r="L48" i="8"/>
  <c r="H48" i="8"/>
  <c r="N48" i="8" s="1"/>
  <c r="U48" i="8" s="1"/>
  <c r="L47" i="8"/>
  <c r="H47" i="8"/>
  <c r="L46" i="8"/>
  <c r="H46" i="8"/>
  <c r="A46" i="8"/>
  <c r="A47" i="8" s="1"/>
  <c r="A48" i="8" s="1"/>
  <c r="A49" i="8" s="1"/>
  <c r="A50" i="8" s="1"/>
  <c r="A51" i="8" s="1"/>
  <c r="A52" i="8" s="1"/>
  <c r="A54" i="8" s="1"/>
  <c r="L45" i="8"/>
  <c r="H45" i="8"/>
  <c r="O45" i="8" s="1"/>
  <c r="G53" i="8"/>
  <c r="AH44" i="8"/>
  <c r="AB44" i="8"/>
  <c r="K44" i="8"/>
  <c r="J44" i="8"/>
  <c r="I44" i="8"/>
  <c r="E44" i="8"/>
  <c r="M43" i="8"/>
  <c r="T43" i="8" s="1"/>
  <c r="L43" i="8"/>
  <c r="H43" i="8"/>
  <c r="R43" i="8"/>
  <c r="Q42" i="8"/>
  <c r="L42" i="8"/>
  <c r="H42" i="8"/>
  <c r="M42" i="8" s="1"/>
  <c r="T42" i="8" s="1"/>
  <c r="R42" i="8"/>
  <c r="L41" i="8"/>
  <c r="H41" i="8"/>
  <c r="M41" i="8" s="1"/>
  <c r="N40" i="8"/>
  <c r="L40" i="8"/>
  <c r="H40" i="8"/>
  <c r="M40" i="8" s="1"/>
  <c r="T40" i="8" s="1"/>
  <c r="R40" i="8"/>
  <c r="L39" i="8"/>
  <c r="H39" i="8"/>
  <c r="N39" i="8" s="1"/>
  <c r="P38" i="8"/>
  <c r="M38" i="8"/>
  <c r="T38" i="8" s="1"/>
  <c r="L38" i="8"/>
  <c r="H38" i="8"/>
  <c r="N38" i="8" s="1"/>
  <c r="U38" i="8" s="1"/>
  <c r="R38" i="8"/>
  <c r="N37" i="8"/>
  <c r="L37" i="8"/>
  <c r="H37" i="8"/>
  <c r="M37" i="8" s="1"/>
  <c r="G44" i="8"/>
  <c r="AH36" i="8"/>
  <c r="AB36" i="8"/>
  <c r="K36" i="8"/>
  <c r="J36" i="8"/>
  <c r="I36" i="8"/>
  <c r="F36" i="8"/>
  <c r="E36" i="8"/>
  <c r="L35" i="8"/>
  <c r="H35" i="8"/>
  <c r="M35" i="8" s="1"/>
  <c r="S34" i="8"/>
  <c r="L34" i="8"/>
  <c r="H34" i="8"/>
  <c r="O34" i="8" s="1"/>
  <c r="V34" i="8" s="1"/>
  <c r="R34" i="8"/>
  <c r="L33" i="8"/>
  <c r="S33" i="8" s="1"/>
  <c r="H33" i="8"/>
  <c r="O33" i="8" s="1"/>
  <c r="V33" i="8" s="1"/>
  <c r="R33" i="8"/>
  <c r="L32" i="8"/>
  <c r="S32" i="8" s="1"/>
  <c r="H32" i="8"/>
  <c r="O32" i="8" s="1"/>
  <c r="G36" i="8"/>
  <c r="R32" i="8"/>
  <c r="AH31" i="8"/>
  <c r="AB31" i="8"/>
  <c r="K31" i="8"/>
  <c r="J31" i="8"/>
  <c r="I31" i="8"/>
  <c r="E31" i="8"/>
  <c r="R30" i="8"/>
  <c r="M30" i="8"/>
  <c r="T30" i="8" s="1"/>
  <c r="L30" i="8"/>
  <c r="S30" i="8" s="1"/>
  <c r="H30" i="8"/>
  <c r="N30" i="8" s="1"/>
  <c r="Q30" i="8"/>
  <c r="N29" i="8"/>
  <c r="M29" i="8"/>
  <c r="L29" i="8"/>
  <c r="H29" i="8"/>
  <c r="Q29" i="8"/>
  <c r="R28" i="8"/>
  <c r="L28" i="8"/>
  <c r="S28" i="8" s="1"/>
  <c r="H28" i="8"/>
  <c r="N28" i="8" s="1"/>
  <c r="U28" i="8" s="1"/>
  <c r="Q28" i="8"/>
  <c r="A28" i="8"/>
  <c r="A29" i="8" s="1"/>
  <c r="A30" i="8" s="1"/>
  <c r="A32" i="8" s="1"/>
  <c r="A33" i="8" s="1"/>
  <c r="A34" i="8" s="1"/>
  <c r="A35" i="8" s="1"/>
  <c r="A37" i="8" s="1"/>
  <c r="A38" i="8" s="1"/>
  <c r="A39" i="8" s="1"/>
  <c r="A40" i="8" s="1"/>
  <c r="A41" i="8" s="1"/>
  <c r="A42" i="8" s="1"/>
  <c r="A43" i="8" s="1"/>
  <c r="L27" i="8"/>
  <c r="H27" i="8"/>
  <c r="M27" i="8" s="1"/>
  <c r="G31" i="8"/>
  <c r="AH26" i="8"/>
  <c r="AB26" i="8"/>
  <c r="K26" i="8"/>
  <c r="J26" i="8"/>
  <c r="I26" i="8"/>
  <c r="E26" i="8"/>
  <c r="L25" i="8"/>
  <c r="H25" i="8"/>
  <c r="N25" i="8" s="1"/>
  <c r="P24" i="8"/>
  <c r="N24" i="8"/>
  <c r="L24" i="8"/>
  <c r="S24" i="8" s="1"/>
  <c r="H24" i="8"/>
  <c r="M24" i="8" s="1"/>
  <c r="T24" i="8" s="1"/>
  <c r="U24" i="8"/>
  <c r="L23" i="8"/>
  <c r="H23" i="8"/>
  <c r="N23" i="8" s="1"/>
  <c r="P22" i="8"/>
  <c r="N22" i="8"/>
  <c r="U22" i="8" s="1"/>
  <c r="L22" i="8"/>
  <c r="S22" i="8" s="1"/>
  <c r="H22" i="8"/>
  <c r="M22" i="8" s="1"/>
  <c r="T22" i="8" s="1"/>
  <c r="L21" i="8"/>
  <c r="H21" i="8"/>
  <c r="N21" i="8" s="1"/>
  <c r="U21" i="8" s="1"/>
  <c r="N20" i="8"/>
  <c r="U20" i="8" s="1"/>
  <c r="L20" i="8"/>
  <c r="H20" i="8"/>
  <c r="L19" i="8"/>
  <c r="H19" i="8"/>
  <c r="N19" i="8" s="1"/>
  <c r="U19" i="8" s="1"/>
  <c r="A19" i="8"/>
  <c r="A20" i="8" s="1"/>
  <c r="A21" i="8" s="1"/>
  <c r="A22" i="8" s="1"/>
  <c r="A23" i="8" s="1"/>
  <c r="A24" i="8" s="1"/>
  <c r="A25" i="8" s="1"/>
  <c r="L18" i="8"/>
  <c r="L26" i="8" s="1"/>
  <c r="H18" i="8"/>
  <c r="N18" i="8" s="1"/>
  <c r="AH17" i="8"/>
  <c r="AF17" i="8"/>
  <c r="AB17" i="8"/>
  <c r="Z17" i="8"/>
  <c r="K17" i="8"/>
  <c r="J17" i="8"/>
  <c r="I17" i="8"/>
  <c r="E17" i="8"/>
  <c r="P16" i="8"/>
  <c r="L16" i="8"/>
  <c r="S16" i="8" s="1"/>
  <c r="H16" i="8"/>
  <c r="N16" i="8" s="1"/>
  <c r="U16" i="8" s="1"/>
  <c r="P15" i="8"/>
  <c r="N15" i="8"/>
  <c r="U15" i="8" s="1"/>
  <c r="L15" i="8"/>
  <c r="S15" i="8" s="1"/>
  <c r="H15" i="8"/>
  <c r="M15" i="8" s="1"/>
  <c r="T15" i="8" s="1"/>
  <c r="P14" i="8"/>
  <c r="M14" i="8"/>
  <c r="T14" i="8" s="1"/>
  <c r="L14" i="8"/>
  <c r="S14" i="8" s="1"/>
  <c r="H14" i="8"/>
  <c r="N14" i="8" s="1"/>
  <c r="U14" i="8" s="1"/>
  <c r="P13" i="8"/>
  <c r="N13" i="8"/>
  <c r="L13" i="8"/>
  <c r="S13" i="8" s="1"/>
  <c r="H13" i="8"/>
  <c r="M13" i="8" s="1"/>
  <c r="T13" i="8" s="1"/>
  <c r="U13" i="8"/>
  <c r="P12" i="8"/>
  <c r="L12" i="8"/>
  <c r="S12" i="8" s="1"/>
  <c r="H12" i="8"/>
  <c r="N12" i="8" s="1"/>
  <c r="R12" i="8"/>
  <c r="P11" i="8"/>
  <c r="N11" i="8"/>
  <c r="L11" i="8"/>
  <c r="S11" i="8" s="1"/>
  <c r="H11" i="8"/>
  <c r="M11" i="8" s="1"/>
  <c r="T11" i="8" s="1"/>
  <c r="Q11" i="8"/>
  <c r="P10" i="8"/>
  <c r="M10" i="8"/>
  <c r="T10" i="8" s="1"/>
  <c r="L10" i="8"/>
  <c r="S10" i="8" s="1"/>
  <c r="H10" i="8"/>
  <c r="N10" i="8" s="1"/>
  <c r="R10" i="8"/>
  <c r="P9" i="8"/>
  <c r="N9" i="8"/>
  <c r="L9" i="8"/>
  <c r="S9" i="8" s="1"/>
  <c r="H9" i="8"/>
  <c r="M9" i="8" s="1"/>
  <c r="T9" i="8" s="1"/>
  <c r="R9" i="8"/>
  <c r="P8" i="8"/>
  <c r="L8" i="8"/>
  <c r="S8" i="8" s="1"/>
  <c r="H8" i="8"/>
  <c r="N8" i="8" s="1"/>
  <c r="Q8" i="8"/>
  <c r="A8" i="8"/>
  <c r="A9" i="8" s="1"/>
  <c r="A10" i="8" s="1"/>
  <c r="A11" i="8" s="1"/>
  <c r="A12" i="8" s="1"/>
  <c r="A13" i="8" s="1"/>
  <c r="A14" i="8" s="1"/>
  <c r="A15" i="8" s="1"/>
  <c r="A16" i="8" s="1"/>
  <c r="P7" i="8"/>
  <c r="L7" i="8"/>
  <c r="H7" i="8"/>
  <c r="H17" i="8" s="1"/>
  <c r="G17" i="8"/>
  <c r="AH6" i="8"/>
  <c r="AF6" i="8"/>
  <c r="AB6" i="8"/>
  <c r="Z6" i="8"/>
  <c r="K6" i="8"/>
  <c r="J6" i="8"/>
  <c r="I6" i="8"/>
  <c r="H6" i="8"/>
  <c r="E6" i="8"/>
  <c r="N5" i="8"/>
  <c r="N6" i="8" s="1"/>
  <c r="L5" i="8"/>
  <c r="L6" i="8" s="1"/>
  <c r="H5" i="8"/>
  <c r="M5" i="8" s="1"/>
  <c r="G6" i="8"/>
  <c r="N27" i="8" l="1"/>
  <c r="L36" i="8"/>
  <c r="M48" i="8"/>
  <c r="T48" i="8" s="1"/>
  <c r="M49" i="8"/>
  <c r="T49" i="8" s="1"/>
  <c r="N54" i="8"/>
  <c r="N55" i="8" s="1"/>
  <c r="M8" i="8"/>
  <c r="T8" i="8" s="1"/>
  <c r="M12" i="8"/>
  <c r="T12" i="8" s="1"/>
  <c r="M16" i="8"/>
  <c r="T16" i="8" s="1"/>
  <c r="M39" i="8"/>
  <c r="M44" i="8" s="1"/>
  <c r="M52" i="8"/>
  <c r="S58" i="8"/>
  <c r="S59" i="8" s="1"/>
  <c r="M58" i="8"/>
  <c r="M59" i="8" s="1"/>
  <c r="M7" i="8"/>
  <c r="N7" i="8"/>
  <c r="N17" i="8" s="1"/>
  <c r="O41" i="8"/>
  <c r="V41" i="8" s="1"/>
  <c r="M50" i="8"/>
  <c r="F6" i="8"/>
  <c r="P5" i="8"/>
  <c r="S5" i="8"/>
  <c r="S6" i="8" s="1"/>
  <c r="U5" i="8"/>
  <c r="U6" i="8" s="1"/>
  <c r="P17" i="8"/>
  <c r="AE11" i="8"/>
  <c r="Y11" i="8"/>
  <c r="G26" i="8"/>
  <c r="Q5" i="8"/>
  <c r="Q6" i="8" s="1"/>
  <c r="S19" i="8"/>
  <c r="Q19" i="8"/>
  <c r="P19" i="8"/>
  <c r="R19" i="8"/>
  <c r="S20" i="8"/>
  <c r="Q20" i="8"/>
  <c r="P20" i="8"/>
  <c r="R20" i="8"/>
  <c r="S21" i="8"/>
  <c r="Q21" i="8"/>
  <c r="P21" i="8"/>
  <c r="R21" i="8"/>
  <c r="U23" i="8"/>
  <c r="U25" i="8"/>
  <c r="T27" i="8"/>
  <c r="T5" i="8"/>
  <c r="T6" i="8" s="1"/>
  <c r="M6" i="8"/>
  <c r="N26" i="8"/>
  <c r="U18" i="8"/>
  <c r="L17" i="8"/>
  <c r="S7" i="8"/>
  <c r="S17" i="8" s="1"/>
  <c r="F17" i="8"/>
  <c r="Q7" i="8"/>
  <c r="AE7" i="8" s="1"/>
  <c r="R7" i="8"/>
  <c r="R5" i="8"/>
  <c r="R6" i="8" s="1"/>
  <c r="Y8" i="8"/>
  <c r="AE8" i="8"/>
  <c r="W20" i="8"/>
  <c r="S23" i="8"/>
  <c r="R23" i="8"/>
  <c r="Q23" i="8"/>
  <c r="P23" i="8"/>
  <c r="S25" i="8"/>
  <c r="R25" i="8"/>
  <c r="Q25" i="8"/>
  <c r="P25" i="8"/>
  <c r="V32" i="8"/>
  <c r="Q9" i="8"/>
  <c r="Y9" i="8" s="1"/>
  <c r="U9" i="8"/>
  <c r="U11" i="8"/>
  <c r="U12" i="8"/>
  <c r="Q14" i="8"/>
  <c r="AE14" i="8" s="1"/>
  <c r="R8" i="8"/>
  <c r="R11" i="8"/>
  <c r="R13" i="8"/>
  <c r="R14" i="8"/>
  <c r="R15" i="8"/>
  <c r="R16" i="8"/>
  <c r="R22" i="8"/>
  <c r="R24" i="8"/>
  <c r="S27" i="8"/>
  <c r="L31" i="8"/>
  <c r="S29" i="8"/>
  <c r="R29" i="8"/>
  <c r="U30" i="8"/>
  <c r="N33" i="8"/>
  <c r="U33" i="8" s="1"/>
  <c r="M33" i="8"/>
  <c r="T33" i="8" s="1"/>
  <c r="P35" i="8"/>
  <c r="S35" i="8"/>
  <c r="S36" i="8" s="1"/>
  <c r="R35" i="8"/>
  <c r="R36" i="8" s="1"/>
  <c r="T35" i="8"/>
  <c r="U8" i="8"/>
  <c r="Q10" i="8"/>
  <c r="Y10" i="8" s="1"/>
  <c r="U10" i="8"/>
  <c r="Q12" i="8"/>
  <c r="AE12" i="8" s="1"/>
  <c r="O5" i="8"/>
  <c r="W5" i="8" s="1"/>
  <c r="W6" i="8" s="1"/>
  <c r="O7" i="8"/>
  <c r="W7" i="8" s="1"/>
  <c r="O8" i="8"/>
  <c r="V8" i="8" s="1"/>
  <c r="O9" i="8"/>
  <c r="V9" i="8" s="1"/>
  <c r="O10" i="8"/>
  <c r="V10" i="8" s="1"/>
  <c r="O11" i="8"/>
  <c r="V11" i="8" s="1"/>
  <c r="O12" i="8"/>
  <c r="V12" i="8" s="1"/>
  <c r="O13" i="8"/>
  <c r="V13" i="8" s="1"/>
  <c r="O14" i="8"/>
  <c r="V14" i="8" s="1"/>
  <c r="O15" i="8"/>
  <c r="V15" i="8" s="1"/>
  <c r="O16" i="8"/>
  <c r="V16" i="8" s="1"/>
  <c r="M18" i="8"/>
  <c r="M19" i="8"/>
  <c r="T19" i="8" s="1"/>
  <c r="M20" i="8"/>
  <c r="T20" i="8" s="1"/>
  <c r="M21" i="8"/>
  <c r="T21" i="8" s="1"/>
  <c r="O22" i="8"/>
  <c r="V22" i="8" s="1"/>
  <c r="M23" i="8"/>
  <c r="T23" i="8" s="1"/>
  <c r="O24" i="8"/>
  <c r="V24" i="8" s="1"/>
  <c r="M25" i="8"/>
  <c r="T25" i="8" s="1"/>
  <c r="H26" i="8"/>
  <c r="P28" i="8"/>
  <c r="T29" i="8"/>
  <c r="P30" i="8"/>
  <c r="N34" i="8"/>
  <c r="U34" i="8" s="1"/>
  <c r="M34" i="8"/>
  <c r="T34" i="8" s="1"/>
  <c r="Q35" i="8"/>
  <c r="N31" i="8"/>
  <c r="U27" i="8"/>
  <c r="U29" i="8"/>
  <c r="P39" i="8"/>
  <c r="T39" i="8"/>
  <c r="R39" i="8"/>
  <c r="Q39" i="8"/>
  <c r="U39" i="8"/>
  <c r="Q13" i="8"/>
  <c r="AE13" i="8" s="1"/>
  <c r="Q15" i="8"/>
  <c r="AE15" i="8" s="1"/>
  <c r="Q16" i="8"/>
  <c r="O18" i="8"/>
  <c r="O19" i="8"/>
  <c r="V19" i="8" s="1"/>
  <c r="O20" i="8"/>
  <c r="V20" i="8" s="1"/>
  <c r="O21" i="8"/>
  <c r="V21" i="8" s="1"/>
  <c r="Q22" i="8"/>
  <c r="Y22" i="8" s="1"/>
  <c r="O23" i="8"/>
  <c r="V23" i="8" s="1"/>
  <c r="Q24" i="8"/>
  <c r="Y24" i="8" s="1"/>
  <c r="O25" i="8"/>
  <c r="V25" i="8" s="1"/>
  <c r="O27" i="8"/>
  <c r="W27" i="8" s="1"/>
  <c r="H31" i="8"/>
  <c r="P29" i="8"/>
  <c r="N32" i="8"/>
  <c r="W32" i="8" s="1"/>
  <c r="H36" i="8"/>
  <c r="M32" i="8"/>
  <c r="S39" i="8"/>
  <c r="Q41" i="8"/>
  <c r="P41" i="8"/>
  <c r="N46" i="8"/>
  <c r="U46" i="8" s="1"/>
  <c r="M46" i="8"/>
  <c r="T46" i="8" s="1"/>
  <c r="N47" i="8"/>
  <c r="U47" i="8" s="1"/>
  <c r="M47" i="8"/>
  <c r="T47" i="8" s="1"/>
  <c r="R52" i="8"/>
  <c r="Q52" i="8"/>
  <c r="P52" i="8"/>
  <c r="T52" i="8"/>
  <c r="J62" i="8"/>
  <c r="AB62" i="8"/>
  <c r="M28" i="8"/>
  <c r="T28" i="8" s="1"/>
  <c r="P32" i="8"/>
  <c r="P33" i="8"/>
  <c r="P34" i="8"/>
  <c r="N35" i="8"/>
  <c r="U35" i="8" s="1"/>
  <c r="H44" i="8"/>
  <c r="O37" i="8"/>
  <c r="U37" i="8"/>
  <c r="S38" i="8"/>
  <c r="Q38" i="8"/>
  <c r="Y38" i="8" s="1"/>
  <c r="U40" i="8"/>
  <c r="T41" i="8"/>
  <c r="R41" i="8"/>
  <c r="S42" i="8"/>
  <c r="P43" i="8"/>
  <c r="Q32" i="8"/>
  <c r="Q33" i="8"/>
  <c r="Q34" i="8"/>
  <c r="O35" i="8"/>
  <c r="V35" i="8" s="1"/>
  <c r="L44" i="8"/>
  <c r="P40" i="8"/>
  <c r="S41" i="8"/>
  <c r="Q43" i="8"/>
  <c r="O46" i="8"/>
  <c r="V46" i="8" s="1"/>
  <c r="O47" i="8"/>
  <c r="V47" i="8" s="1"/>
  <c r="O28" i="8"/>
  <c r="V28" i="8" s="1"/>
  <c r="O29" i="8"/>
  <c r="V29" i="8" s="1"/>
  <c r="O30" i="8"/>
  <c r="V30" i="8" s="1"/>
  <c r="S40" i="8"/>
  <c r="Q40" i="8"/>
  <c r="N41" i="8"/>
  <c r="P42" i="8"/>
  <c r="S43" i="8"/>
  <c r="H53" i="8"/>
  <c r="N45" i="8"/>
  <c r="M45" i="8"/>
  <c r="W45" i="8" s="1"/>
  <c r="R46" i="8"/>
  <c r="Q46" i="8"/>
  <c r="P46" i="8"/>
  <c r="S46" i="8"/>
  <c r="R47" i="8"/>
  <c r="Q47" i="8"/>
  <c r="P47" i="8"/>
  <c r="S47" i="8"/>
  <c r="P48" i="8"/>
  <c r="R48" i="8"/>
  <c r="R49" i="8"/>
  <c r="Q49" i="8"/>
  <c r="P49" i="8"/>
  <c r="U49" i="8"/>
  <c r="N42" i="8"/>
  <c r="U42" i="8" s="1"/>
  <c r="N43" i="8"/>
  <c r="U43" i="8" s="1"/>
  <c r="L53" i="8"/>
  <c r="Q50" i="8"/>
  <c r="Y50" i="8" s="1"/>
  <c r="N51" i="8"/>
  <c r="U51" i="8" s="1"/>
  <c r="F57" i="8"/>
  <c r="Q56" i="8"/>
  <c r="Q57" i="8" s="1"/>
  <c r="P56" i="8"/>
  <c r="S56" i="8"/>
  <c r="S57" i="8" s="1"/>
  <c r="R56" i="8"/>
  <c r="R57" i="8" s="1"/>
  <c r="K62" i="8"/>
  <c r="O38" i="8"/>
  <c r="V38" i="8" s="1"/>
  <c r="O39" i="8"/>
  <c r="V39" i="8" s="1"/>
  <c r="O40" i="8"/>
  <c r="V40" i="8" s="1"/>
  <c r="O42" i="8"/>
  <c r="V42" i="8" s="1"/>
  <c r="O43" i="8"/>
  <c r="V43" i="8" s="1"/>
  <c r="V45" i="8"/>
  <c r="O48" i="8"/>
  <c r="V48" i="8" s="1"/>
  <c r="S50" i="8"/>
  <c r="T50" i="8"/>
  <c r="P51" i="8"/>
  <c r="Q51" i="8"/>
  <c r="O51" i="8"/>
  <c r="V51" i="8" s="1"/>
  <c r="U52" i="8"/>
  <c r="R54" i="8"/>
  <c r="R55" i="8" s="1"/>
  <c r="F55" i="8"/>
  <c r="U54" i="8"/>
  <c r="U55" i="8" s="1"/>
  <c r="Q54" i="8"/>
  <c r="Q55" i="8" s="1"/>
  <c r="P54" i="8"/>
  <c r="M55" i="8"/>
  <c r="T54" i="8"/>
  <c r="T55" i="8" s="1"/>
  <c r="M57" i="8"/>
  <c r="T56" i="8"/>
  <c r="T57" i="8" s="1"/>
  <c r="E62" i="8"/>
  <c r="AH62" i="8"/>
  <c r="S48" i="8"/>
  <c r="S49" i="8"/>
  <c r="U50" i="8"/>
  <c r="T51" i="8"/>
  <c r="R51" i="8"/>
  <c r="S52" i="8"/>
  <c r="I62" i="8"/>
  <c r="O49" i="8"/>
  <c r="V49" i="8" s="1"/>
  <c r="O50" i="8"/>
  <c r="V50" i="8" s="1"/>
  <c r="O52" i="8"/>
  <c r="V52" i="8" s="1"/>
  <c r="N56" i="8"/>
  <c r="G57" i="8"/>
  <c r="G62" i="8" s="1"/>
  <c r="P58" i="8"/>
  <c r="T58" i="8"/>
  <c r="T59" i="8" s="1"/>
  <c r="M60" i="8"/>
  <c r="O56" i="8"/>
  <c r="H57" i="8"/>
  <c r="H62" i="8" s="1"/>
  <c r="Q58" i="8"/>
  <c r="Q59" i="8" s="1"/>
  <c r="F59" i="8"/>
  <c r="N60" i="8"/>
  <c r="N58" i="8"/>
  <c r="R58" i="8"/>
  <c r="R59" i="8" s="1"/>
  <c r="O60" i="8"/>
  <c r="O54" i="8"/>
  <c r="S54" i="8"/>
  <c r="S55" i="8" s="1"/>
  <c r="O58" i="8"/>
  <c r="W58" i="8"/>
  <c r="W59" i="8" s="1"/>
  <c r="W42" i="8" l="1"/>
  <c r="N44" i="8"/>
  <c r="W19" i="8"/>
  <c r="W14" i="8"/>
  <c r="X14" i="8" s="1"/>
  <c r="W60" i="8"/>
  <c r="W61" i="8" s="1"/>
  <c r="AE38" i="8"/>
  <c r="W29" i="8"/>
  <c r="W16" i="8"/>
  <c r="W8" i="8"/>
  <c r="U7" i="8"/>
  <c r="U26" i="8"/>
  <c r="M17" i="8"/>
  <c r="T7" i="8"/>
  <c r="T17" i="8" s="1"/>
  <c r="W50" i="8"/>
  <c r="W49" i="8"/>
  <c r="L62" i="8"/>
  <c r="W43" i="8"/>
  <c r="W12" i="8"/>
  <c r="W24" i="8"/>
  <c r="W23" i="8"/>
  <c r="X23" i="8" s="1"/>
  <c r="V53" i="8"/>
  <c r="U31" i="8"/>
  <c r="S31" i="8"/>
  <c r="AF24" i="8"/>
  <c r="Y15" i="8"/>
  <c r="AE10" i="8"/>
  <c r="X8" i="8"/>
  <c r="AG8" i="8" s="1"/>
  <c r="AI8" i="8" s="1"/>
  <c r="X38" i="8"/>
  <c r="O61" i="8"/>
  <c r="V60" i="8"/>
  <c r="V61" i="8" s="1"/>
  <c r="O57" i="8"/>
  <c r="V56" i="8"/>
  <c r="V57" i="8" s="1"/>
  <c r="P59" i="8"/>
  <c r="AE58" i="8"/>
  <c r="AE59" i="8" s="1"/>
  <c r="Y58" i="8"/>
  <c r="AE46" i="8"/>
  <c r="Y46" i="8"/>
  <c r="X50" i="8"/>
  <c r="AF50" i="8"/>
  <c r="Y39" i="8"/>
  <c r="AE39" i="8"/>
  <c r="W28" i="8"/>
  <c r="O55" i="8"/>
  <c r="V54" i="8"/>
  <c r="V55" i="8" s="1"/>
  <c r="P55" i="8"/>
  <c r="AE54" i="8"/>
  <c r="AE55" i="8" s="1"/>
  <c r="Y54" i="8"/>
  <c r="R37" i="8"/>
  <c r="R44" i="8" s="1"/>
  <c r="F44" i="8"/>
  <c r="Q37" i="8"/>
  <c r="Q44" i="8" s="1"/>
  <c r="P37" i="8"/>
  <c r="T37" i="8"/>
  <c r="T44" i="8" s="1"/>
  <c r="Y43" i="8"/>
  <c r="X43" i="8"/>
  <c r="AE43" i="8"/>
  <c r="O44" i="8"/>
  <c r="V37" i="8"/>
  <c r="V44" i="8" s="1"/>
  <c r="AE34" i="8"/>
  <c r="Z34" i="8"/>
  <c r="Z36" i="8" s="1"/>
  <c r="Y34" i="8"/>
  <c r="AF34" i="8"/>
  <c r="AF36" i="8" s="1"/>
  <c r="Z50" i="8"/>
  <c r="X16" i="8"/>
  <c r="W35" i="8"/>
  <c r="X35" i="8" s="1"/>
  <c r="P60" i="8"/>
  <c r="R60" i="8"/>
  <c r="R61" i="8" s="1"/>
  <c r="F61" i="8"/>
  <c r="Q60" i="8"/>
  <c r="Q61" i="8" s="1"/>
  <c r="Y48" i="8"/>
  <c r="AE48" i="8"/>
  <c r="S37" i="8"/>
  <c r="S44" i="8" s="1"/>
  <c r="AE33" i="8"/>
  <c r="Y33" i="8"/>
  <c r="X33" i="8"/>
  <c r="W46" i="8"/>
  <c r="X46" i="8" s="1"/>
  <c r="Y41" i="8"/>
  <c r="AE41" i="8"/>
  <c r="Z41" i="8"/>
  <c r="AF41" i="8"/>
  <c r="W34" i="8"/>
  <c r="X34" i="8" s="1"/>
  <c r="AF30" i="8"/>
  <c r="AF31" i="8" s="1"/>
  <c r="Y30" i="8"/>
  <c r="Z30" i="8"/>
  <c r="Z31" i="8" s="1"/>
  <c r="AE30" i="8"/>
  <c r="F31" i="8"/>
  <c r="P27" i="8"/>
  <c r="R27" i="8"/>
  <c r="R31" i="8" s="1"/>
  <c r="Q27" i="8"/>
  <c r="Q31" i="8" s="1"/>
  <c r="W33" i="8"/>
  <c r="AE24" i="8"/>
  <c r="V36" i="8"/>
  <c r="Y16" i="8"/>
  <c r="Y12" i="8"/>
  <c r="W11" i="8"/>
  <c r="X11" i="8" s="1"/>
  <c r="M31" i="8"/>
  <c r="AF21" i="8"/>
  <c r="Y21" i="8"/>
  <c r="AE21" i="8"/>
  <c r="Z21" i="8"/>
  <c r="AE20" i="8"/>
  <c r="Y20" i="8"/>
  <c r="X20" i="8"/>
  <c r="AE19" i="8"/>
  <c r="Y19" i="8"/>
  <c r="X19" i="8"/>
  <c r="AE22" i="8"/>
  <c r="W22" i="8"/>
  <c r="X22" i="8" s="1"/>
  <c r="W10" i="8"/>
  <c r="X10" i="8" s="1"/>
  <c r="Y7" i="8"/>
  <c r="O36" i="8"/>
  <c r="O59" i="8"/>
  <c r="V58" i="8"/>
  <c r="V59" i="8" s="1"/>
  <c r="N59" i="8"/>
  <c r="U58" i="8"/>
  <c r="U59" i="8" s="1"/>
  <c r="N57" i="8"/>
  <c r="U56" i="8"/>
  <c r="U57" i="8" s="1"/>
  <c r="Y51" i="8"/>
  <c r="Z51" i="8"/>
  <c r="AF51" i="8"/>
  <c r="AE51" i="8"/>
  <c r="AF40" i="8"/>
  <c r="AE40" i="8"/>
  <c r="Z40" i="8"/>
  <c r="Y40" i="8"/>
  <c r="W37" i="8"/>
  <c r="AE50" i="8"/>
  <c r="W54" i="8"/>
  <c r="W55" i="8" s="1"/>
  <c r="S60" i="8"/>
  <c r="S61" i="8" s="1"/>
  <c r="N61" i="8"/>
  <c r="U60" i="8"/>
  <c r="U61" i="8" s="1"/>
  <c r="W56" i="8"/>
  <c r="W57" i="8" s="1"/>
  <c r="W52" i="8"/>
  <c r="W51" i="8"/>
  <c r="X51" i="8" s="1"/>
  <c r="W48" i="8"/>
  <c r="X48" i="8" s="1"/>
  <c r="W40" i="8"/>
  <c r="X40" i="8" s="1"/>
  <c r="Q36" i="8"/>
  <c r="P36" i="8"/>
  <c r="AE32" i="8"/>
  <c r="Y32" i="8"/>
  <c r="W47" i="8"/>
  <c r="X47" i="8" s="1"/>
  <c r="O53" i="8"/>
  <c r="U32" i="8"/>
  <c r="U36" i="8" s="1"/>
  <c r="N36" i="8"/>
  <c r="V27" i="8"/>
  <c r="V31" i="8" s="1"/>
  <c r="O31" i="8"/>
  <c r="X24" i="8"/>
  <c r="W30" i="8"/>
  <c r="X30" i="8" s="1"/>
  <c r="O17" i="8"/>
  <c r="V7" i="8"/>
  <c r="V17" i="8" s="1"/>
  <c r="Z24" i="8"/>
  <c r="AF25" i="8"/>
  <c r="AE25" i="8"/>
  <c r="Z25" i="8"/>
  <c r="Y25" i="8"/>
  <c r="X25" i="8"/>
  <c r="AF23" i="8"/>
  <c r="AE23" i="8"/>
  <c r="Z23" i="8"/>
  <c r="Y23" i="8"/>
  <c r="W21" i="8"/>
  <c r="X21" i="8" s="1"/>
  <c r="AE16" i="8"/>
  <c r="R17" i="8"/>
  <c r="W25" i="8"/>
  <c r="Y13" i="8"/>
  <c r="AF22" i="8"/>
  <c r="W15" i="8"/>
  <c r="X15" i="8" s="1"/>
  <c r="Y5" i="8"/>
  <c r="AE5" i="8"/>
  <c r="AE6" i="8" s="1"/>
  <c r="P6" i="8"/>
  <c r="AE56" i="8"/>
  <c r="AE57" i="8" s="1"/>
  <c r="Y56" i="8"/>
  <c r="P57" i="8"/>
  <c r="X42" i="8"/>
  <c r="AE42" i="8"/>
  <c r="Y42" i="8"/>
  <c r="AE29" i="8"/>
  <c r="Y29" i="8"/>
  <c r="X29" i="8"/>
  <c r="O26" i="8"/>
  <c r="V18" i="8"/>
  <c r="V26" i="8" s="1"/>
  <c r="M26" i="8"/>
  <c r="T18" i="8"/>
  <c r="T26" i="8" s="1"/>
  <c r="O6" i="8"/>
  <c r="V5" i="8"/>
  <c r="V6" i="8" s="1"/>
  <c r="Q17" i="8"/>
  <c r="Y14" i="8"/>
  <c r="AE9" i="8"/>
  <c r="AE17" i="8" s="1"/>
  <c r="F26" i="8"/>
  <c r="S18" i="8"/>
  <c r="S26" i="8" s="1"/>
  <c r="Q18" i="8"/>
  <c r="Q26" i="8" s="1"/>
  <c r="P18" i="8"/>
  <c r="R18" i="8"/>
  <c r="R26" i="8" s="1"/>
  <c r="F53" i="8"/>
  <c r="R45" i="8"/>
  <c r="R53" i="8" s="1"/>
  <c r="Q45" i="8"/>
  <c r="Q53" i="8" s="1"/>
  <c r="P45" i="8"/>
  <c r="S45" i="8"/>
  <c r="S53" i="8" s="1"/>
  <c r="AE47" i="8"/>
  <c r="Z47" i="8"/>
  <c r="Z53" i="8" s="1"/>
  <c r="Y47" i="8"/>
  <c r="AF47" i="8"/>
  <c r="M53" i="8"/>
  <c r="T45" i="8"/>
  <c r="T53" i="8" s="1"/>
  <c r="W39" i="8"/>
  <c r="X39" i="8" s="1"/>
  <c r="AE52" i="8"/>
  <c r="Y52" i="8"/>
  <c r="X52" i="8"/>
  <c r="M61" i="8"/>
  <c r="T60" i="8"/>
  <c r="T61" i="8" s="1"/>
  <c r="Y49" i="8"/>
  <c r="X49" i="8"/>
  <c r="AE49" i="8"/>
  <c r="N53" i="8"/>
  <c r="U45" i="8"/>
  <c r="U53" i="8" s="1"/>
  <c r="U41" i="8"/>
  <c r="W41" i="8"/>
  <c r="W38" i="8"/>
  <c r="M36" i="8"/>
  <c r="T32" i="8"/>
  <c r="T36" i="8" s="1"/>
  <c r="AE28" i="8"/>
  <c r="Y28" i="8"/>
  <c r="X28" i="8"/>
  <c r="X12" i="8"/>
  <c r="Y35" i="8"/>
  <c r="AE35" i="8"/>
  <c r="U17" i="8"/>
  <c r="T31" i="8"/>
  <c r="W18" i="8"/>
  <c r="W13" i="8"/>
  <c r="X13" i="8" s="1"/>
  <c r="W9" i="8"/>
  <c r="X9" i="8" s="1"/>
  <c r="Z22" i="8"/>
  <c r="X41" i="8" l="1"/>
  <c r="M62" i="8"/>
  <c r="X56" i="8"/>
  <c r="N62" i="8"/>
  <c r="R62" i="8"/>
  <c r="F62" i="8"/>
  <c r="X58" i="8"/>
  <c r="AF44" i="8"/>
  <c r="AE36" i="8"/>
  <c r="W36" i="8"/>
  <c r="T62" i="8"/>
  <c r="W26" i="8"/>
  <c r="S62" i="8"/>
  <c r="Q62" i="8"/>
  <c r="AA8" i="8"/>
  <c r="AC8" i="8" s="1"/>
  <c r="AD8" i="8" s="1"/>
  <c r="AD35" i="8"/>
  <c r="AG35" i="8"/>
  <c r="AI35" i="8" s="1"/>
  <c r="AA35" i="8"/>
  <c r="AG9" i="8"/>
  <c r="AI9" i="8" s="1"/>
  <c r="AA9" i="8"/>
  <c r="AC9" i="8" s="1"/>
  <c r="AD9" i="8" s="1"/>
  <c r="AG41" i="8"/>
  <c r="AI41" i="8" s="1"/>
  <c r="AA41" i="8"/>
  <c r="AC41" i="8" s="1"/>
  <c r="AD41" i="8" s="1"/>
  <c r="AA39" i="8"/>
  <c r="AC39" i="8" s="1"/>
  <c r="AD39" i="8" s="1"/>
  <c r="AG39" i="8"/>
  <c r="AI39" i="8" s="1"/>
  <c r="AG15" i="8"/>
  <c r="AI15" i="8" s="1"/>
  <c r="AA15" i="8"/>
  <c r="AC15" i="8" s="1"/>
  <c r="AD15" i="8"/>
  <c r="AG47" i="8"/>
  <c r="AI47" i="8" s="1"/>
  <c r="AA47" i="8"/>
  <c r="AC47" i="8" s="1"/>
  <c r="AD47" i="8" s="1"/>
  <c r="AG11" i="8"/>
  <c r="AI11" i="8" s="1"/>
  <c r="AA11" i="8"/>
  <c r="AC11" i="8" s="1"/>
  <c r="AD11" i="8" s="1"/>
  <c r="AA48" i="8"/>
  <c r="AC48" i="8" s="1"/>
  <c r="AD48" i="8" s="1"/>
  <c r="AG48" i="8"/>
  <c r="AI48" i="8" s="1"/>
  <c r="AG46" i="8"/>
  <c r="AI46" i="8" s="1"/>
  <c r="AA46" i="8"/>
  <c r="AC46" i="8" s="1"/>
  <c r="AD46" i="8" s="1"/>
  <c r="AA13" i="8"/>
  <c r="AC13" i="8" s="1"/>
  <c r="AD13" i="8" s="1"/>
  <c r="AG13" i="8"/>
  <c r="AI13" i="8" s="1"/>
  <c r="AA30" i="8"/>
  <c r="AC30" i="8" s="1"/>
  <c r="AD30" i="8" s="1"/>
  <c r="AG30" i="8"/>
  <c r="AI30" i="8" s="1"/>
  <c r="AA40" i="8"/>
  <c r="AG40" i="8"/>
  <c r="AI40" i="8" s="1"/>
  <c r="AG14" i="8"/>
  <c r="AI14" i="8" s="1"/>
  <c r="AA14" i="8"/>
  <c r="AC14" i="8" s="1"/>
  <c r="AD14" i="8" s="1"/>
  <c r="AG49" i="8"/>
  <c r="AI49" i="8" s="1"/>
  <c r="AA49" i="8"/>
  <c r="AC49" i="8" s="1"/>
  <c r="AD49" i="8" s="1"/>
  <c r="X57" i="8"/>
  <c r="AG56" i="8"/>
  <c r="AA56" i="8"/>
  <c r="AA57" i="8" s="1"/>
  <c r="Y17" i="8"/>
  <c r="AG19" i="8"/>
  <c r="AI19" i="8" s="1"/>
  <c r="AA19" i="8"/>
  <c r="AC19" i="8" s="1"/>
  <c r="AD19" i="8" s="1"/>
  <c r="AA21" i="8"/>
  <c r="AC21" i="8" s="1"/>
  <c r="AD21" i="8" s="1"/>
  <c r="AG21" i="8"/>
  <c r="AI21" i="8" s="1"/>
  <c r="AG34" i="8"/>
  <c r="AI34" i="8" s="1"/>
  <c r="AA34" i="8"/>
  <c r="AC34" i="8" s="1"/>
  <c r="AD34" i="8" s="1"/>
  <c r="Y59" i="8"/>
  <c r="AC35" i="8"/>
  <c r="W31" i="8"/>
  <c r="U44" i="8"/>
  <c r="AF53" i="8"/>
  <c r="P26" i="8"/>
  <c r="AE18" i="8"/>
  <c r="AE26" i="8" s="1"/>
  <c r="Y18" i="8"/>
  <c r="X18" i="8"/>
  <c r="AG22" i="8"/>
  <c r="AI22" i="8" s="1"/>
  <c r="AA22" i="8"/>
  <c r="AC22" i="8" s="1"/>
  <c r="AD22" i="8" s="1"/>
  <c r="AG42" i="8"/>
  <c r="AI42" i="8" s="1"/>
  <c r="AA42" i="8"/>
  <c r="Y6" i="8"/>
  <c r="AG24" i="8"/>
  <c r="AI24" i="8" s="1"/>
  <c r="AA24" i="8"/>
  <c r="AC24" i="8" s="1"/>
  <c r="AD24" i="8" s="1"/>
  <c r="X32" i="8"/>
  <c r="W44" i="8"/>
  <c r="O62" i="8"/>
  <c r="X7" i="8"/>
  <c r="AG16" i="8"/>
  <c r="AI16" i="8" s="1"/>
  <c r="AA16" i="8"/>
  <c r="AG12" i="8"/>
  <c r="AI12" i="8" s="1"/>
  <c r="AA12" i="8"/>
  <c r="AC12" i="8" s="1"/>
  <c r="AD12" i="8" s="1"/>
  <c r="AG51" i="8"/>
  <c r="AI51" i="8" s="1"/>
  <c r="AA51" i="8"/>
  <c r="AC51" i="8" s="1"/>
  <c r="AD51" i="8" s="1"/>
  <c r="AG20" i="8"/>
  <c r="AI20" i="8" s="1"/>
  <c r="AA20" i="8"/>
  <c r="AC20" i="8" s="1"/>
  <c r="AD20" i="8" s="1"/>
  <c r="W17" i="8"/>
  <c r="AG29" i="8"/>
  <c r="AI29" i="8" s="1"/>
  <c r="AA29" i="8"/>
  <c r="AC29" i="8" s="1"/>
  <c r="AD29" i="8" s="1"/>
  <c r="Y57" i="8"/>
  <c r="AC56" i="8"/>
  <c r="AC57" i="8" s="1"/>
  <c r="AA25" i="8"/>
  <c r="AC25" i="8" s="1"/>
  <c r="AD25" i="8" s="1"/>
  <c r="AG25" i="8"/>
  <c r="AI25" i="8" s="1"/>
  <c r="Z44" i="8"/>
  <c r="V62" i="8"/>
  <c r="AG33" i="8"/>
  <c r="AI33" i="8" s="1"/>
  <c r="AA33" i="8"/>
  <c r="AC33" i="8" s="1"/>
  <c r="AD33" i="8" s="1"/>
  <c r="AG52" i="8"/>
  <c r="AI52" i="8" s="1"/>
  <c r="AA52" i="8"/>
  <c r="AC52" i="8" s="1"/>
  <c r="AD52" i="8" s="1"/>
  <c r="X5" i="8"/>
  <c r="Y36" i="8"/>
  <c r="U62" i="8"/>
  <c r="Z26" i="8"/>
  <c r="AF26" i="8"/>
  <c r="P31" i="8"/>
  <c r="AE27" i="8"/>
  <c r="AE31" i="8" s="1"/>
  <c r="Y27" i="8"/>
  <c r="X27" i="8"/>
  <c r="X60" i="8"/>
  <c r="P61" i="8"/>
  <c r="AE60" i="8"/>
  <c r="AE61" i="8" s="1"/>
  <c r="Y60" i="8"/>
  <c r="P44" i="8"/>
  <c r="AE37" i="8"/>
  <c r="AE44" i="8" s="1"/>
  <c r="X37" i="8"/>
  <c r="Y37" i="8"/>
  <c r="X54" i="8"/>
  <c r="P53" i="8"/>
  <c r="AE45" i="8"/>
  <c r="AE53" i="8" s="1"/>
  <c r="Y45" i="8"/>
  <c r="X45" i="8"/>
  <c r="AA23" i="8"/>
  <c r="AC23" i="8" s="1"/>
  <c r="AD23" i="8" s="1"/>
  <c r="AG23" i="8"/>
  <c r="AI23" i="8" s="1"/>
  <c r="AC40" i="8"/>
  <c r="AD40" i="8" s="1"/>
  <c r="AC16" i="8"/>
  <c r="AD16" i="8" s="1"/>
  <c r="AG43" i="8"/>
  <c r="AI43" i="8" s="1"/>
  <c r="AA43" i="8"/>
  <c r="AC43" i="8" s="1"/>
  <c r="AD43" i="8" s="1"/>
  <c r="Y55" i="8"/>
  <c r="AA50" i="8"/>
  <c r="AC50" i="8" s="1"/>
  <c r="AD50" i="8" s="1"/>
  <c r="AG50" i="8"/>
  <c r="AI50" i="8" s="1"/>
  <c r="X59" i="8"/>
  <c r="AG58" i="8"/>
  <c r="AA58" i="8"/>
  <c r="AA59" i="8" s="1"/>
  <c r="AG38" i="8"/>
  <c r="AI38" i="8" s="1"/>
  <c r="AA38" i="8"/>
  <c r="AC38" i="8" s="1"/>
  <c r="AD38" i="8" s="1"/>
  <c r="W53" i="8"/>
  <c r="AC42" i="8"/>
  <c r="AD42" i="8" s="1"/>
  <c r="AA28" i="8"/>
  <c r="AC28" i="8" s="1"/>
  <c r="AD28" i="8" s="1"/>
  <c r="AG28" i="8"/>
  <c r="AI28" i="8" s="1"/>
  <c r="AG10" i="8"/>
  <c r="AI10" i="8" s="1"/>
  <c r="AA10" i="8"/>
  <c r="AC10" i="8" s="1"/>
  <c r="AD10" i="8" s="1"/>
  <c r="AE62" i="8" l="1"/>
  <c r="X69" i="8" s="1"/>
  <c r="Z62" i="8"/>
  <c r="W62" i="8"/>
  <c r="P62" i="8"/>
  <c r="AF62" i="8"/>
  <c r="X70" i="8" s="1"/>
  <c r="AA5" i="8"/>
  <c r="AG5" i="8"/>
  <c r="AG6" i="8" s="1"/>
  <c r="AI6" i="8" s="1"/>
  <c r="X6" i="8"/>
  <c r="AI58" i="8"/>
  <c r="AI59" i="8" s="1"/>
  <c r="AG59" i="8"/>
  <c r="X17" i="8"/>
  <c r="AG7" i="8"/>
  <c r="AA7" i="8"/>
  <c r="AD56" i="8"/>
  <c r="AD57" i="8" s="1"/>
  <c r="Y53" i="8"/>
  <c r="X61" i="8"/>
  <c r="AG60" i="8"/>
  <c r="AA60" i="8"/>
  <c r="AA61" i="8" s="1"/>
  <c r="AG32" i="8"/>
  <c r="AA32" i="8"/>
  <c r="X36" i="8"/>
  <c r="Y26" i="8"/>
  <c r="X53" i="8"/>
  <c r="AG45" i="8"/>
  <c r="AA45" i="8"/>
  <c r="AA53" i="8" s="1"/>
  <c r="X31" i="8"/>
  <c r="AG27" i="8"/>
  <c r="AA27" i="8"/>
  <c r="AA31" i="8" s="1"/>
  <c r="X55" i="8"/>
  <c r="AG54" i="8"/>
  <c r="AA54" i="8"/>
  <c r="AC27" i="8"/>
  <c r="AC31" i="8" s="1"/>
  <c r="Y31" i="8"/>
  <c r="Y44" i="8"/>
  <c r="Y61" i="8"/>
  <c r="AC58" i="8"/>
  <c r="AG57" i="8"/>
  <c r="AI56" i="8"/>
  <c r="AI57" i="8" s="1"/>
  <c r="X44" i="8"/>
  <c r="AA37" i="8"/>
  <c r="AA44" i="8" s="1"/>
  <c r="AG37" i="8"/>
  <c r="X26" i="8"/>
  <c r="AA18" i="8"/>
  <c r="AA26" i="8" s="1"/>
  <c r="AG18" i="8"/>
  <c r="Y62" i="8" l="1"/>
  <c r="AC45" i="8"/>
  <c r="AC53" i="8" s="1"/>
  <c r="X62" i="8"/>
  <c r="X68" i="8" s="1"/>
  <c r="X71" i="8" s="1"/>
  <c r="X72" i="8" s="1"/>
  <c r="X73" i="8" s="1"/>
  <c r="AI27" i="8"/>
  <c r="AG31" i="8"/>
  <c r="AI31" i="8" s="1"/>
  <c r="AC18" i="8"/>
  <c r="AA17" i="8"/>
  <c r="AC7" i="8"/>
  <c r="AG61" i="8"/>
  <c r="AI60" i="8"/>
  <c r="AI61" i="8" s="1"/>
  <c r="AI7" i="8"/>
  <c r="AI17" i="8" s="1"/>
  <c r="AG17" i="8"/>
  <c r="AI45" i="8"/>
  <c r="AI53" i="8" s="1"/>
  <c r="AG53" i="8"/>
  <c r="AG36" i="8"/>
  <c r="AI32" i="8"/>
  <c r="AI36" i="8" s="1"/>
  <c r="AA6" i="8"/>
  <c r="AC5" i="8"/>
  <c r="AC37" i="8"/>
  <c r="AC59" i="8"/>
  <c r="AD58" i="8"/>
  <c r="AD59" i="8" s="1"/>
  <c r="AA55" i="8"/>
  <c r="AC54" i="8"/>
  <c r="AI18" i="8"/>
  <c r="AG26" i="8"/>
  <c r="AI26" i="8" s="1"/>
  <c r="AG44" i="8"/>
  <c r="AI37" i="8"/>
  <c r="AI44" i="8" s="1"/>
  <c r="AC60" i="8"/>
  <c r="AI54" i="8"/>
  <c r="AI55" i="8" s="1"/>
  <c r="AG55" i="8"/>
  <c r="AD27" i="8"/>
  <c r="AD31" i="8" s="1"/>
  <c r="AA36" i="8"/>
  <c r="AC32" i="8"/>
  <c r="AA62" i="8" l="1"/>
  <c r="AD45" i="8"/>
  <c r="AD53" i="8" s="1"/>
  <c r="AG62" i="8"/>
  <c r="AI62" i="8"/>
  <c r="AC36" i="8"/>
  <c r="AD32" i="8"/>
  <c r="AD36" i="8" s="1"/>
  <c r="AC6" i="8"/>
  <c r="AD5" i="8"/>
  <c r="AD6" i="8" s="1"/>
  <c r="AC44" i="8"/>
  <c r="AD37" i="8"/>
  <c r="AD44" i="8" s="1"/>
  <c r="AC17" i="8"/>
  <c r="AD7" i="8"/>
  <c r="AD17" i="8" s="1"/>
  <c r="AC61" i="8"/>
  <c r="AD60" i="8"/>
  <c r="AD61" i="8" s="1"/>
  <c r="AC55" i="8"/>
  <c r="AD54" i="8"/>
  <c r="AD55" i="8" s="1"/>
  <c r="AC26" i="8"/>
  <c r="AD18" i="8"/>
  <c r="AD26" i="8" s="1"/>
  <c r="AD62" i="8" l="1"/>
  <c r="AC62" i="8"/>
  <c r="M5" i="1" l="1"/>
  <c r="M6" i="1" l="1"/>
  <c r="M46" i="4"/>
  <c r="N46" i="4"/>
  <c r="O46" i="4" l="1"/>
  <c r="H46" i="4"/>
  <c r="U5" i="1" l="1"/>
  <c r="U6" i="1" s="1"/>
  <c r="R5" i="1"/>
  <c r="R6" i="1" s="1"/>
  <c r="J49" i="4"/>
  <c r="I49" i="4" s="1"/>
  <c r="K49" i="4" s="1"/>
  <c r="L49" i="4" s="1"/>
  <c r="M49" i="4"/>
  <c r="J50" i="4" l="1"/>
  <c r="I50" i="4" s="1"/>
  <c r="K50" i="4" s="1"/>
  <c r="L50" i="4" s="1"/>
  <c r="M50" i="4"/>
  <c r="J48" i="4"/>
  <c r="I48" i="4" s="1"/>
  <c r="K48" i="4" s="1"/>
  <c r="L48" i="4" s="1"/>
  <c r="N47" i="4"/>
  <c r="H47" i="4" s="1"/>
  <c r="J47" i="4"/>
  <c r="I47" i="4" s="1"/>
  <c r="K47" i="4" s="1"/>
  <c r="L47" i="4" s="1"/>
  <c r="P48" i="4" l="1"/>
  <c r="P50" i="4"/>
  <c r="I48" i="7"/>
  <c r="M47" i="4"/>
  <c r="O47" i="4" s="1"/>
  <c r="J46" i="4" l="1"/>
  <c r="I46" i="4" s="1"/>
  <c r="K46" i="4" s="1"/>
  <c r="L46" i="4" s="1"/>
  <c r="N50" i="4" l="1"/>
  <c r="H50" i="4" s="1"/>
  <c r="I45" i="7"/>
  <c r="J45" i="4"/>
  <c r="I45" i="4" s="1"/>
  <c r="K45" i="4" s="1"/>
  <c r="L45" i="4" s="1"/>
  <c r="M45" i="4"/>
  <c r="P47" i="4"/>
  <c r="P46" i="4"/>
  <c r="P45" i="4"/>
  <c r="O50" i="4" l="1"/>
  <c r="I44" i="7"/>
  <c r="I43" i="7" l="1"/>
  <c r="N45" i="4" l="1"/>
  <c r="H45" i="4" s="1"/>
  <c r="I42" i="7"/>
  <c r="N30" i="1"/>
  <c r="M30" i="1"/>
  <c r="O45" i="4" l="1"/>
  <c r="P30" i="1"/>
  <c r="O30" i="1"/>
  <c r="V30" i="1"/>
  <c r="Y30" i="1" l="1"/>
  <c r="U30" i="1"/>
  <c r="X30" i="1"/>
  <c r="Q30" i="1"/>
  <c r="R30" i="1"/>
  <c r="R34" i="1" s="1"/>
  <c r="W30" i="1"/>
  <c r="Q34" i="1" l="1"/>
  <c r="Z30" i="1"/>
  <c r="P40" i="4"/>
  <c r="N40" i="4"/>
  <c r="H40" i="4" s="1"/>
  <c r="M40" i="4"/>
  <c r="J40" i="4"/>
  <c r="I40" i="4" s="1"/>
  <c r="K40" i="4" s="1"/>
  <c r="L40" i="4" s="1"/>
  <c r="AG30" i="1" l="1"/>
  <c r="AG34" i="1" s="1"/>
  <c r="AA34" i="1"/>
  <c r="J41" i="4"/>
  <c r="I41" i="4" s="1"/>
  <c r="K41" i="4" s="1"/>
  <c r="L41" i="4" s="1"/>
  <c r="M41" i="4"/>
  <c r="O40" i="4"/>
  <c r="AC30" i="1"/>
  <c r="AI30" i="1" l="1"/>
  <c r="AK30" i="1" s="1"/>
  <c r="I47" i="7"/>
  <c r="AE30" i="1"/>
  <c r="P41" i="4"/>
  <c r="AF30" i="1" l="1"/>
  <c r="I24" i="3" s="1"/>
  <c r="M59" i="1"/>
  <c r="O59" i="1"/>
  <c r="N41" i="4" l="1"/>
  <c r="I40" i="7"/>
  <c r="N59" i="1"/>
  <c r="P59" i="1"/>
  <c r="H41" i="4" l="1"/>
  <c r="O41" i="4"/>
  <c r="Y59" i="1"/>
  <c r="M43" i="4" l="1"/>
  <c r="J43" i="4"/>
  <c r="I43" i="4" s="1"/>
  <c r="K43" i="4" s="1"/>
  <c r="L43" i="4" s="1"/>
  <c r="R59" i="1"/>
  <c r="U59" i="1"/>
  <c r="Q59" i="1"/>
  <c r="AG59" i="1" s="1"/>
  <c r="W59" i="1"/>
  <c r="X59" i="1"/>
  <c r="V59" i="1"/>
  <c r="Z59" i="1" l="1"/>
  <c r="P43" i="4"/>
  <c r="AC59" i="1" l="1"/>
  <c r="AE59" i="1" s="1"/>
  <c r="AI59" i="1"/>
  <c r="AK59" i="1" s="1"/>
  <c r="J44" i="4"/>
  <c r="I44" i="4" s="1"/>
  <c r="K44" i="4" s="1"/>
  <c r="L44" i="4" s="1"/>
  <c r="N43" i="4"/>
  <c r="I38" i="7"/>
  <c r="M44" i="4"/>
  <c r="H43" i="4" l="1"/>
  <c r="O43" i="4"/>
  <c r="P44" i="4"/>
  <c r="C25" i="6"/>
  <c r="C24" i="6"/>
  <c r="C23" i="6"/>
  <c r="C22" i="6"/>
  <c r="C21" i="6"/>
  <c r="C20" i="6"/>
  <c r="C19" i="6"/>
  <c r="AF59" i="1" l="1"/>
  <c r="I23" i="3" s="1"/>
  <c r="G74" i="4"/>
  <c r="G73" i="4"/>
  <c r="F74" i="4"/>
  <c r="F73" i="4"/>
  <c r="N44" i="4" l="1"/>
  <c r="I39" i="7"/>
  <c r="H44" i="4" l="1"/>
  <c r="O44" i="4"/>
  <c r="N39" i="4"/>
  <c r="H39" i="4" s="1"/>
  <c r="N73" i="4"/>
  <c r="H73" i="4" s="1"/>
  <c r="M73" i="4"/>
  <c r="F72" i="4"/>
  <c r="J73" i="4" l="1"/>
  <c r="I73" i="4" s="1"/>
  <c r="K73" i="4" s="1"/>
  <c r="L73" i="4" s="1"/>
  <c r="O73" i="4"/>
  <c r="M39" i="4"/>
  <c r="O39" i="4" s="1"/>
  <c r="M74" i="4"/>
  <c r="J39" i="4" l="1"/>
  <c r="I39" i="4" s="1"/>
  <c r="K39" i="4" s="1"/>
  <c r="L39" i="4" s="1"/>
  <c r="J74" i="4"/>
  <c r="I74" i="4" s="1"/>
  <c r="K74" i="4" s="1"/>
  <c r="L74" i="4" s="1"/>
  <c r="P73" i="4"/>
  <c r="N74" i="4"/>
  <c r="H74" i="4" s="1"/>
  <c r="M38" i="4"/>
  <c r="J38" i="4"/>
  <c r="P39" i="4" l="1"/>
  <c r="O74" i="4"/>
  <c r="P38" i="4"/>
  <c r="P74" i="4"/>
  <c r="N38" i="4"/>
  <c r="H38" i="4" s="1"/>
  <c r="I38" i="4"/>
  <c r="K38" i="4" s="1"/>
  <c r="L38" i="4" s="1"/>
  <c r="O38" i="4" l="1"/>
  <c r="I52" i="7"/>
  <c r="I37" i="7"/>
  <c r="J85" i="4" l="1"/>
  <c r="J84" i="4"/>
  <c r="J83" i="4"/>
  <c r="M56" i="1" l="1"/>
  <c r="O56" i="1" l="1"/>
  <c r="W56" i="1" s="1"/>
  <c r="R56" i="1"/>
  <c r="Q56" i="1"/>
  <c r="P56" i="1"/>
  <c r="N56" i="1"/>
  <c r="N63" i="1"/>
  <c r="N64" i="1" s="1"/>
  <c r="U56" i="1"/>
  <c r="P63" i="1"/>
  <c r="P64" i="1" s="1"/>
  <c r="O63" i="1"/>
  <c r="O64" i="1" s="1"/>
  <c r="AG56" i="1" l="1"/>
  <c r="P49" i="4"/>
  <c r="V56" i="1"/>
  <c r="X56" i="1"/>
  <c r="U63" i="1"/>
  <c r="U64" i="1" s="1"/>
  <c r="M34" i="4"/>
  <c r="N34" i="4"/>
  <c r="H34" i="4" s="1"/>
  <c r="R63" i="1"/>
  <c r="R64" i="1" s="1"/>
  <c r="Q63" i="1"/>
  <c r="V63" i="1"/>
  <c r="V64" i="1" s="1"/>
  <c r="Y56" i="1"/>
  <c r="W63" i="1"/>
  <c r="W64" i="1" s="1"/>
  <c r="X63" i="1"/>
  <c r="X64" i="1" s="1"/>
  <c r="Y63" i="1"/>
  <c r="Y64" i="1" s="1"/>
  <c r="N72" i="4"/>
  <c r="H72" i="4" s="1"/>
  <c r="Q64" i="1" l="1"/>
  <c r="M35" i="4"/>
  <c r="Z56" i="1"/>
  <c r="Z63" i="1"/>
  <c r="Z64" i="1" s="1"/>
  <c r="O34" i="4"/>
  <c r="J72" i="4"/>
  <c r="I72" i="4" s="1"/>
  <c r="K72" i="4" s="1"/>
  <c r="L72" i="4" s="1"/>
  <c r="M72" i="4"/>
  <c r="O72" i="4" s="1"/>
  <c r="J34" i="4"/>
  <c r="I34" i="4" s="1"/>
  <c r="K34" i="4" s="1"/>
  <c r="L34" i="4" s="1"/>
  <c r="P34" i="4"/>
  <c r="AG63" i="1" l="1"/>
  <c r="AG64" i="1" s="1"/>
  <c r="O15" i="5" s="1"/>
  <c r="AA64" i="1"/>
  <c r="N15" i="5" s="1"/>
  <c r="AC56" i="1"/>
  <c r="AE56" i="1" s="1"/>
  <c r="AI56" i="1"/>
  <c r="J36" i="4"/>
  <c r="I36" i="4" s="1"/>
  <c r="K36" i="4" s="1"/>
  <c r="L36" i="4" s="1"/>
  <c r="N49" i="4"/>
  <c r="M36" i="4"/>
  <c r="I49" i="7"/>
  <c r="P33" i="4"/>
  <c r="AK56" i="1"/>
  <c r="J33" i="4"/>
  <c r="I33" i="4" s="1"/>
  <c r="K33" i="4" s="1"/>
  <c r="L33" i="4" s="1"/>
  <c r="M33" i="4"/>
  <c r="J35" i="4"/>
  <c r="I35" i="4" s="1"/>
  <c r="K35" i="4" s="1"/>
  <c r="L35" i="4" s="1"/>
  <c r="P72" i="4"/>
  <c r="J37" i="4"/>
  <c r="I37" i="4" s="1"/>
  <c r="K37" i="4" s="1"/>
  <c r="L37" i="4" s="1"/>
  <c r="P36" i="4"/>
  <c r="M37" i="4"/>
  <c r="AI63" i="1"/>
  <c r="AI64" i="1" s="1"/>
  <c r="AC63" i="1"/>
  <c r="AC64" i="1" s="1"/>
  <c r="L15" i="5" l="1"/>
  <c r="AK63" i="1"/>
  <c r="AK64" i="1" s="1"/>
  <c r="J15" i="5"/>
  <c r="R15" i="5" s="1"/>
  <c r="Q15" i="5"/>
  <c r="P15" i="5"/>
  <c r="H49" i="4"/>
  <c r="O49" i="4"/>
  <c r="I33" i="7"/>
  <c r="P35" i="4"/>
  <c r="AF56" i="1"/>
  <c r="I20" i="3" s="1"/>
  <c r="AE63" i="1"/>
  <c r="AE64" i="1" s="1"/>
  <c r="P37" i="4"/>
  <c r="N36" i="4" l="1"/>
  <c r="N33" i="4"/>
  <c r="I35" i="7"/>
  <c r="I34" i="7"/>
  <c r="AF63" i="1"/>
  <c r="I21" i="3" s="1"/>
  <c r="AF64" i="1" l="1"/>
  <c r="K15" i="5" s="1"/>
  <c r="M15" i="5"/>
  <c r="H36" i="4"/>
  <c r="O36" i="4"/>
  <c r="N37" i="4"/>
  <c r="H37" i="4" s="1"/>
  <c r="I32" i="7"/>
  <c r="H33" i="4"/>
  <c r="O33" i="4"/>
  <c r="I36" i="7"/>
  <c r="D33" i="6"/>
  <c r="O37" i="4" l="1"/>
  <c r="C30" i="6"/>
  <c r="Q55" i="1"/>
  <c r="M55" i="1"/>
  <c r="N55" i="1" l="1"/>
  <c r="V55" i="1" s="1"/>
  <c r="P55" i="1"/>
  <c r="O55" i="1"/>
  <c r="R55" i="1"/>
  <c r="AG55" i="1" s="1"/>
  <c r="U55" i="1"/>
  <c r="X55" i="1" l="1"/>
  <c r="W55" i="1"/>
  <c r="Y55" i="1"/>
  <c r="N71" i="4"/>
  <c r="H71" i="4" s="1"/>
  <c r="M71" i="4"/>
  <c r="M83" i="4"/>
  <c r="I83" i="4"/>
  <c r="K83" i="4" s="1"/>
  <c r="L83" i="4" s="1"/>
  <c r="N83" i="4"/>
  <c r="H83" i="4" s="1"/>
  <c r="Z55" i="1" l="1"/>
  <c r="J32" i="4"/>
  <c r="I32" i="4" s="1"/>
  <c r="K32" i="4" s="1"/>
  <c r="L32" i="4" s="1"/>
  <c r="J71" i="4"/>
  <c r="I71" i="4" s="1"/>
  <c r="K71" i="4" s="1"/>
  <c r="L71" i="4" s="1"/>
  <c r="O71" i="4"/>
  <c r="O83" i="4"/>
  <c r="AC55" i="1" l="1"/>
  <c r="AE55" i="1" s="1"/>
  <c r="AI55" i="1"/>
  <c r="AK55" i="1" s="1"/>
  <c r="M32" i="4"/>
  <c r="M31" i="4"/>
  <c r="J31" i="4"/>
  <c r="I31" i="4" s="1"/>
  <c r="K31" i="4" s="1"/>
  <c r="L31" i="4" s="1"/>
  <c r="P71" i="4"/>
  <c r="P83" i="4"/>
  <c r="M84" i="4"/>
  <c r="P84" i="4"/>
  <c r="J79" i="4"/>
  <c r="N79" i="4"/>
  <c r="H79" i="4" s="1"/>
  <c r="P31" i="4" l="1"/>
  <c r="P32" i="4"/>
  <c r="N84" i="4"/>
  <c r="H84" i="4" s="1"/>
  <c r="M79" i="4"/>
  <c r="O79" i="4" s="1"/>
  <c r="I84" i="4"/>
  <c r="K84" i="4" s="1"/>
  <c r="L84" i="4" s="1"/>
  <c r="I79" i="4"/>
  <c r="K79" i="4" s="1"/>
  <c r="L79" i="4" s="1"/>
  <c r="AF55" i="1" l="1"/>
  <c r="I19" i="3" s="1"/>
  <c r="O84" i="4"/>
  <c r="P79" i="4"/>
  <c r="N32" i="4" l="1"/>
  <c r="N31" i="4"/>
  <c r="H31" i="4" s="1"/>
  <c r="I30" i="7"/>
  <c r="I31" i="7"/>
  <c r="G13" i="5"/>
  <c r="G16" i="5"/>
  <c r="C7" i="5"/>
  <c r="C8" i="5" s="1"/>
  <c r="C9" i="5" s="1"/>
  <c r="C10" i="5" s="1"/>
  <c r="C11" i="5" s="1"/>
  <c r="C12" i="5" s="1"/>
  <c r="G15" i="5"/>
  <c r="G14" i="5"/>
  <c r="G12" i="5"/>
  <c r="G11" i="5"/>
  <c r="G10" i="5"/>
  <c r="G9" i="5"/>
  <c r="G8" i="5"/>
  <c r="G7" i="5"/>
  <c r="H32" i="4" l="1"/>
  <c r="O32" i="4"/>
  <c r="O31" i="4"/>
  <c r="G18" i="5"/>
  <c r="R16" i="1"/>
  <c r="C13" i="5"/>
  <c r="C14" i="5" s="1"/>
  <c r="C15" i="5" s="1"/>
  <c r="C16" i="5" s="1"/>
  <c r="C17" i="5" s="1"/>
  <c r="Y16" i="1" l="1"/>
  <c r="W16" i="1"/>
  <c r="V16" i="1"/>
  <c r="X16" i="1"/>
  <c r="U16" i="1"/>
  <c r="Q16" i="1"/>
  <c r="AG16" i="1" l="1"/>
  <c r="Z16" i="1"/>
  <c r="D28" i="6"/>
  <c r="D27" i="6"/>
  <c r="D26" i="6"/>
  <c r="C6" i="4"/>
  <c r="V77" i="1"/>
  <c r="AI16" i="1" l="1"/>
  <c r="AC16" i="1"/>
  <c r="P30" i="4"/>
  <c r="J30" i="4"/>
  <c r="I30" i="4" s="1"/>
  <c r="K30" i="4" s="1"/>
  <c r="L30" i="4" s="1"/>
  <c r="C7" i="4"/>
  <c r="C8" i="4" s="1"/>
  <c r="C9" i="4" s="1"/>
  <c r="C10" i="4" s="1"/>
  <c r="C11" i="4" s="1"/>
  <c r="C12" i="4" s="1"/>
  <c r="C13" i="4" s="1"/>
  <c r="C14" i="4" s="1"/>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C40" i="4" s="1"/>
  <c r="C41" i="4" s="1"/>
  <c r="C42" i="4" s="1"/>
  <c r="C43" i="4" s="1"/>
  <c r="C44" i="4" s="1"/>
  <c r="C45" i="4" s="1"/>
  <c r="C46" i="4" s="1"/>
  <c r="C47" i="4" s="1"/>
  <c r="C48" i="4" s="1"/>
  <c r="C49" i="4" s="1"/>
  <c r="C50" i="4" s="1"/>
  <c r="M30" i="4"/>
  <c r="AE16" i="1" l="1"/>
  <c r="AK16" i="1"/>
  <c r="C87" i="4"/>
  <c r="C86" i="4"/>
  <c r="C69" i="4"/>
  <c r="C63" i="4"/>
  <c r="C64" i="4" s="1"/>
  <c r="C65" i="4" s="1"/>
  <c r="C66" i="4" s="1"/>
  <c r="C67" i="4" s="1"/>
  <c r="C68" i="4" s="1"/>
  <c r="AF16" i="1"/>
  <c r="I18" i="3" s="1"/>
  <c r="J69" i="4"/>
  <c r="I69" i="4" s="1"/>
  <c r="K69" i="4" s="1"/>
  <c r="L69" i="4" s="1"/>
  <c r="C71" i="4"/>
  <c r="C72" i="4" s="1"/>
  <c r="C73" i="4" s="1"/>
  <c r="C74" i="4" s="1"/>
  <c r="J29" i="4"/>
  <c r="J28" i="4"/>
  <c r="I28" i="4" s="1"/>
  <c r="K28" i="4" s="1"/>
  <c r="L28" i="4" s="1"/>
  <c r="C85" i="4"/>
  <c r="C84" i="4" s="1"/>
  <c r="C83" i="4" s="1"/>
  <c r="M29" i="4"/>
  <c r="M69" i="4"/>
  <c r="N69" i="4"/>
  <c r="H69" i="4" s="1"/>
  <c r="C88" i="4"/>
  <c r="M28" i="4"/>
  <c r="D8" i="3"/>
  <c r="D9" i="3" s="1"/>
  <c r="D10" i="3" s="1"/>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l="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7" i="3" s="1"/>
  <c r="D58" i="3" s="1"/>
  <c r="N30" i="4"/>
  <c r="I29" i="7"/>
  <c r="C79" i="4"/>
  <c r="O69" i="4"/>
  <c r="P28" i="4"/>
  <c r="P29" i="4"/>
  <c r="I29" i="4"/>
  <c r="K29" i="4" s="1"/>
  <c r="L29" i="4" s="1"/>
  <c r="P69" i="4"/>
  <c r="R52" i="1"/>
  <c r="R51" i="1"/>
  <c r="Q50" i="1"/>
  <c r="R40" i="1"/>
  <c r="R49" i="1" s="1"/>
  <c r="Q8" i="1"/>
  <c r="M54" i="1"/>
  <c r="U54" i="1" s="1"/>
  <c r="M52" i="1"/>
  <c r="M51" i="1"/>
  <c r="M50" i="1"/>
  <c r="M40" i="1"/>
  <c r="M49" i="1" s="1"/>
  <c r="M37" i="1"/>
  <c r="M39" i="1" s="1"/>
  <c r="M33" i="1"/>
  <c r="M8" i="1"/>
  <c r="M9" i="1"/>
  <c r="M7" i="1"/>
  <c r="M15" i="1" l="1"/>
  <c r="M60" i="1"/>
  <c r="U33" i="1"/>
  <c r="U34" i="1" s="1"/>
  <c r="M34" i="1"/>
  <c r="U37" i="1"/>
  <c r="U39" i="1" s="1"/>
  <c r="U17" i="1"/>
  <c r="U29" i="1" s="1"/>
  <c r="H30" i="4"/>
  <c r="O30" i="4"/>
  <c r="N33" i="1"/>
  <c r="N34" i="1" s="1"/>
  <c r="O9" i="1"/>
  <c r="W9" i="1" s="1"/>
  <c r="P8" i="1"/>
  <c r="X8" i="1" s="1"/>
  <c r="N37" i="1"/>
  <c r="N39" i="1" s="1"/>
  <c r="P51" i="1"/>
  <c r="X51" i="1" s="1"/>
  <c r="N52" i="1"/>
  <c r="V52" i="1" s="1"/>
  <c r="P54" i="1"/>
  <c r="X54" i="1" s="1"/>
  <c r="P5" i="1"/>
  <c r="P6" i="1" s="1"/>
  <c r="U40" i="1"/>
  <c r="U49" i="1" s="1"/>
  <c r="U7" i="1"/>
  <c r="U8" i="1"/>
  <c r="Q5" i="1"/>
  <c r="U52" i="1"/>
  <c r="U51" i="1"/>
  <c r="U50" i="1"/>
  <c r="U9" i="1"/>
  <c r="Q9" i="1"/>
  <c r="AG9" i="1" s="1"/>
  <c r="R50" i="1"/>
  <c r="R8" i="1"/>
  <c r="AG8" i="1" s="1"/>
  <c r="Q51" i="1"/>
  <c r="AG51" i="1" s="1"/>
  <c r="Q7" i="1"/>
  <c r="R9" i="1"/>
  <c r="Q17" i="1"/>
  <c r="Q54" i="1"/>
  <c r="R7" i="1"/>
  <c r="R17" i="1"/>
  <c r="R29" i="1" s="1"/>
  <c r="R54" i="1"/>
  <c r="Q40" i="1"/>
  <c r="Q52" i="1"/>
  <c r="AG52" i="1" s="1"/>
  <c r="P9" i="1"/>
  <c r="X9" i="1" s="1"/>
  <c r="O50" i="1"/>
  <c r="N9" i="1"/>
  <c r="V9" i="1" s="1"/>
  <c r="O5" i="1"/>
  <c r="O6" i="1" s="1"/>
  <c r="O8" i="1"/>
  <c r="W8" i="1" s="1"/>
  <c r="N51" i="1"/>
  <c r="V51" i="1" s="1"/>
  <c r="N5" i="1"/>
  <c r="N40" i="1"/>
  <c r="N49" i="1" s="1"/>
  <c r="O51" i="1"/>
  <c r="W51" i="1" s="1"/>
  <c r="O52" i="1"/>
  <c r="W52" i="1" s="1"/>
  <c r="P40" i="1"/>
  <c r="P49" i="1" s="1"/>
  <c r="N7" i="1"/>
  <c r="O7" i="1"/>
  <c r="O40" i="1"/>
  <c r="O49" i="1" s="1"/>
  <c r="P52" i="1"/>
  <c r="X52" i="1" s="1"/>
  <c r="N8" i="1"/>
  <c r="V8" i="1" s="1"/>
  <c r="O33" i="1"/>
  <c r="O37" i="1"/>
  <c r="O39" i="1" s="1"/>
  <c r="N50" i="1"/>
  <c r="P33" i="1"/>
  <c r="P37" i="1"/>
  <c r="P39" i="1" s="1"/>
  <c r="N54" i="1"/>
  <c r="V54" i="1" s="1"/>
  <c r="P50" i="1"/>
  <c r="O54" i="1"/>
  <c r="W54" i="1" s="1"/>
  <c r="N60" i="1" l="1"/>
  <c r="N6" i="1"/>
  <c r="Y5" i="1"/>
  <c r="Y6" i="1" s="1"/>
  <c r="AG54" i="1"/>
  <c r="M71" i="1"/>
  <c r="AA60" i="1"/>
  <c r="AG50" i="1"/>
  <c r="Q49" i="1"/>
  <c r="Q29" i="1"/>
  <c r="Q6" i="1"/>
  <c r="R60" i="1"/>
  <c r="R15" i="1"/>
  <c r="N15" i="1"/>
  <c r="O15" i="1"/>
  <c r="O60" i="1"/>
  <c r="Q60" i="1"/>
  <c r="P60" i="1"/>
  <c r="W33" i="1"/>
  <c r="W34" i="1" s="1"/>
  <c r="O34" i="1"/>
  <c r="P15" i="1"/>
  <c r="U15" i="1"/>
  <c r="Q15" i="1"/>
  <c r="U60" i="1"/>
  <c r="X33" i="1"/>
  <c r="X34" i="1" s="1"/>
  <c r="P34" i="1"/>
  <c r="Y37" i="1"/>
  <c r="Y39" i="1" s="1"/>
  <c r="W37" i="1"/>
  <c r="W39" i="1" s="1"/>
  <c r="X37" i="1"/>
  <c r="X39" i="1" s="1"/>
  <c r="V37" i="1"/>
  <c r="V39" i="1" s="1"/>
  <c r="V33" i="1"/>
  <c r="V34" i="1" s="1"/>
  <c r="Y33" i="1"/>
  <c r="Y34" i="1" s="1"/>
  <c r="W17" i="1"/>
  <c r="W29" i="1" s="1"/>
  <c r="X17" i="1"/>
  <c r="X29" i="1" s="1"/>
  <c r="V17" i="1"/>
  <c r="V29" i="1" s="1"/>
  <c r="N29" i="4"/>
  <c r="D29" i="6"/>
  <c r="N28" i="4"/>
  <c r="O28" i="4" s="1"/>
  <c r="I28" i="7"/>
  <c r="I27" i="7"/>
  <c r="N35" i="4"/>
  <c r="V5" i="1"/>
  <c r="V6" i="1" s="1"/>
  <c r="Y50" i="1"/>
  <c r="Y51" i="1"/>
  <c r="Z51" i="1" s="1"/>
  <c r="Y9" i="1"/>
  <c r="Z9" i="1" s="1"/>
  <c r="Y54" i="1"/>
  <c r="Z54" i="1" s="1"/>
  <c r="Y52" i="1"/>
  <c r="Z52" i="1" s="1"/>
  <c r="Y17" i="1"/>
  <c r="Y29" i="1" s="1"/>
  <c r="Y8" i="1"/>
  <c r="Y40" i="1"/>
  <c r="Y49" i="1" s="1"/>
  <c r="Y7" i="1"/>
  <c r="X5" i="1"/>
  <c r="X6" i="1" s="1"/>
  <c r="J42" i="4"/>
  <c r="I42" i="4" s="1"/>
  <c r="K42" i="4" s="1"/>
  <c r="L42" i="4" s="1"/>
  <c r="J63" i="4"/>
  <c r="W5" i="1"/>
  <c r="W6" i="1" s="1"/>
  <c r="M87" i="4"/>
  <c r="J68" i="4"/>
  <c r="M18" i="4"/>
  <c r="X7" i="1"/>
  <c r="X15" i="1" s="1"/>
  <c r="V7" i="1"/>
  <c r="V15" i="1" s="1"/>
  <c r="V50" i="1"/>
  <c r="V60" i="1" s="1"/>
  <c r="N87" i="4"/>
  <c r="M68" i="4"/>
  <c r="X50" i="1"/>
  <c r="X60" i="1" s="1"/>
  <c r="X40" i="1"/>
  <c r="X49" i="1" s="1"/>
  <c r="W40" i="1"/>
  <c r="W49" i="1" s="1"/>
  <c r="W7" i="1"/>
  <c r="W15" i="1" s="1"/>
  <c r="V40" i="1"/>
  <c r="V49" i="1" s="1"/>
  <c r="W50" i="1"/>
  <c r="W60" i="1" s="1"/>
  <c r="R71" i="1" l="1"/>
  <c r="N71" i="1"/>
  <c r="AG60" i="1"/>
  <c r="W71" i="1"/>
  <c r="Q71" i="1"/>
  <c r="V71" i="1"/>
  <c r="U71" i="1"/>
  <c r="X71" i="1"/>
  <c r="P71" i="1"/>
  <c r="O71" i="1"/>
  <c r="AG40" i="1"/>
  <c r="AG49" i="1" s="1"/>
  <c r="O9" i="5" s="1"/>
  <c r="AA49" i="1"/>
  <c r="N9" i="5" s="1"/>
  <c r="AG17" i="1"/>
  <c r="AG29" i="1" s="1"/>
  <c r="AA29" i="1"/>
  <c r="AI9" i="1"/>
  <c r="AK9" i="1" s="1"/>
  <c r="AC9" i="1"/>
  <c r="AG7" i="1"/>
  <c r="AG15" i="1" s="1"/>
  <c r="O7" i="5" s="1"/>
  <c r="AA15" i="1"/>
  <c r="AA6" i="1"/>
  <c r="AG5" i="1"/>
  <c r="AG6" i="1" s="1"/>
  <c r="Y15" i="1"/>
  <c r="Y60" i="1"/>
  <c r="AC54" i="1"/>
  <c r="AE54" i="1" s="1"/>
  <c r="AI54" i="1"/>
  <c r="AK54" i="1" s="1"/>
  <c r="AI52" i="1"/>
  <c r="AK52" i="1" s="1"/>
  <c r="AC52" i="1"/>
  <c r="AE52" i="1" s="1"/>
  <c r="AC51" i="1"/>
  <c r="AE51" i="1" s="1"/>
  <c r="AI51" i="1"/>
  <c r="Z37" i="1"/>
  <c r="Z33" i="1"/>
  <c r="Z34" i="1" s="1"/>
  <c r="Z17" i="1"/>
  <c r="O10" i="5"/>
  <c r="N6" i="5"/>
  <c r="Z8" i="1"/>
  <c r="AC8" i="1" s="1"/>
  <c r="O6" i="5"/>
  <c r="N7" i="5"/>
  <c r="Z5" i="1"/>
  <c r="Z6" i="1" s="1"/>
  <c r="Z40" i="1"/>
  <c r="Z7" i="1"/>
  <c r="Z15" i="1" s="1"/>
  <c r="Z50" i="1"/>
  <c r="Z60" i="1" s="1"/>
  <c r="H29" i="4"/>
  <c r="O29" i="4"/>
  <c r="J8" i="4"/>
  <c r="I8" i="4" s="1"/>
  <c r="K8" i="4" s="1"/>
  <c r="L8" i="4" s="1"/>
  <c r="H28" i="4"/>
  <c r="J14" i="4"/>
  <c r="I14" i="4" s="1"/>
  <c r="K14" i="4" s="1"/>
  <c r="L14" i="4" s="1"/>
  <c r="J15" i="4"/>
  <c r="I15" i="4" s="1"/>
  <c r="K15" i="4" s="1"/>
  <c r="L15" i="4" s="1"/>
  <c r="J20" i="4"/>
  <c r="I20" i="4" s="1"/>
  <c r="K20" i="4" s="1"/>
  <c r="L20" i="4" s="1"/>
  <c r="J12" i="4"/>
  <c r="I12" i="4" s="1"/>
  <c r="K12" i="4" s="1"/>
  <c r="L12" i="4" s="1"/>
  <c r="M24" i="4"/>
  <c r="J9" i="4"/>
  <c r="I9" i="4" s="1"/>
  <c r="K9" i="4" s="1"/>
  <c r="L9" i="4" s="1"/>
  <c r="J25" i="4"/>
  <c r="I25" i="4" s="1"/>
  <c r="K25" i="4" s="1"/>
  <c r="L25" i="4" s="1"/>
  <c r="J24" i="4"/>
  <c r="I24" i="4" s="1"/>
  <c r="K24" i="4" s="1"/>
  <c r="L24" i="4" s="1"/>
  <c r="J7" i="4"/>
  <c r="I7" i="4" s="1"/>
  <c r="K7" i="4" s="1"/>
  <c r="L7" i="4" s="1"/>
  <c r="M42" i="4"/>
  <c r="N42" i="4"/>
  <c r="H42" i="4" s="1"/>
  <c r="H35" i="4"/>
  <c r="O35" i="4"/>
  <c r="P7" i="4"/>
  <c r="J18" i="4"/>
  <c r="I18" i="4" s="1"/>
  <c r="K18" i="4" s="1"/>
  <c r="L18" i="4" s="1"/>
  <c r="M10" i="4"/>
  <c r="M25" i="4"/>
  <c r="M12" i="4"/>
  <c r="M88" i="4"/>
  <c r="N88" i="4"/>
  <c r="H88" i="4" s="1"/>
  <c r="M65" i="4"/>
  <c r="M86" i="4"/>
  <c r="M66" i="4"/>
  <c r="N86" i="4"/>
  <c r="H86" i="4" s="1"/>
  <c r="N66" i="4"/>
  <c r="H66" i="4" s="1"/>
  <c r="P63" i="4"/>
  <c r="M9" i="4"/>
  <c r="M7" i="4"/>
  <c r="P86" i="4"/>
  <c r="N18" i="4"/>
  <c r="H18" i="4" s="1"/>
  <c r="P68" i="4"/>
  <c r="I68" i="4"/>
  <c r="K68" i="4" s="1"/>
  <c r="L68" i="4" s="1"/>
  <c r="J88" i="4"/>
  <c r="I88" i="4" s="1"/>
  <c r="K88" i="4" s="1"/>
  <c r="L88" i="4" s="1"/>
  <c r="P20" i="4"/>
  <c r="J23" i="4"/>
  <c r="M20" i="4"/>
  <c r="M64" i="4"/>
  <c r="N64" i="4"/>
  <c r="H64" i="4" s="1"/>
  <c r="M63" i="4"/>
  <c r="M67" i="4"/>
  <c r="N63" i="4"/>
  <c r="N67" i="4"/>
  <c r="H67" i="4" s="1"/>
  <c r="N68" i="4"/>
  <c r="H68" i="4" s="1"/>
  <c r="J87" i="4"/>
  <c r="I87" i="4" s="1"/>
  <c r="K87" i="4" s="1"/>
  <c r="L87" i="4" s="1"/>
  <c r="M85" i="4"/>
  <c r="I63" i="4"/>
  <c r="K63" i="4" s="1"/>
  <c r="L63" i="4" s="1"/>
  <c r="N65" i="4"/>
  <c r="H65" i="4" s="1"/>
  <c r="N85" i="4"/>
  <c r="H85" i="4" s="1"/>
  <c r="J86" i="4"/>
  <c r="I86" i="4" s="1"/>
  <c r="K86" i="4" s="1"/>
  <c r="L86" i="4" s="1"/>
  <c r="H87" i="4"/>
  <c r="O87" i="4"/>
  <c r="P66" i="4"/>
  <c r="P25" i="4"/>
  <c r="P24" i="4"/>
  <c r="P87" i="4"/>
  <c r="P12" i="4"/>
  <c r="Y71" i="1" l="1"/>
  <c r="AG71" i="1"/>
  <c r="AA71" i="1"/>
  <c r="AC17" i="1"/>
  <c r="AC29" i="1" s="1"/>
  <c r="AI33" i="1"/>
  <c r="AI34" i="1" s="1"/>
  <c r="AC33" i="1"/>
  <c r="AC34" i="1" s="1"/>
  <c r="P15" i="4"/>
  <c r="M15" i="4"/>
  <c r="M14" i="4"/>
  <c r="M8" i="4"/>
  <c r="AI8" i="1"/>
  <c r="AK8" i="1" s="1"/>
  <c r="Z49" i="1"/>
  <c r="L9" i="5" s="1"/>
  <c r="P14" i="4"/>
  <c r="AI17" i="1"/>
  <c r="Z29" i="1"/>
  <c r="AC37" i="1"/>
  <c r="Z39" i="1"/>
  <c r="AI5" i="1"/>
  <c r="AK5" i="1" s="1"/>
  <c r="L7" i="5"/>
  <c r="L6" i="5"/>
  <c r="P8" i="4"/>
  <c r="N10" i="5"/>
  <c r="L10" i="5"/>
  <c r="M6" i="4"/>
  <c r="M16" i="4"/>
  <c r="M21" i="4"/>
  <c r="J21" i="4"/>
  <c r="I21" i="4" s="1"/>
  <c r="K21" i="4" s="1"/>
  <c r="L21" i="4" s="1"/>
  <c r="M22" i="4"/>
  <c r="J5" i="4"/>
  <c r="J16" i="4"/>
  <c r="I16" i="4" s="1"/>
  <c r="K16" i="4" s="1"/>
  <c r="L16" i="4" s="1"/>
  <c r="J6" i="4"/>
  <c r="I6" i="4" s="1"/>
  <c r="K6" i="4" s="1"/>
  <c r="L6" i="4" s="1"/>
  <c r="M27" i="4"/>
  <c r="M13" i="4"/>
  <c r="M19" i="4"/>
  <c r="M11" i="4"/>
  <c r="M26" i="4"/>
  <c r="M23" i="4"/>
  <c r="J17" i="4"/>
  <c r="I17" i="4" s="1"/>
  <c r="K17" i="4" s="1"/>
  <c r="L17" i="4" s="1"/>
  <c r="M17" i="4"/>
  <c r="M5" i="4"/>
  <c r="J11" i="4"/>
  <c r="I11" i="4" s="1"/>
  <c r="K11" i="4" s="1"/>
  <c r="L11" i="4" s="1"/>
  <c r="O42" i="4"/>
  <c r="P88" i="4"/>
  <c r="AI7" i="1"/>
  <c r="AI37" i="1"/>
  <c r="AI39" i="1" s="1"/>
  <c r="P9" i="4"/>
  <c r="AE9" i="1"/>
  <c r="AF9" i="1" s="1"/>
  <c r="I9" i="3" s="1"/>
  <c r="J22" i="4"/>
  <c r="I22" i="4" s="1"/>
  <c r="K22" i="4" s="1"/>
  <c r="L22" i="4" s="1"/>
  <c r="J67" i="4"/>
  <c r="I67" i="4" s="1"/>
  <c r="K67" i="4" s="1"/>
  <c r="L67" i="4" s="1"/>
  <c r="N9" i="4"/>
  <c r="H9" i="4" s="1"/>
  <c r="J27" i="4"/>
  <c r="I27" i="4" s="1"/>
  <c r="K27" i="4" s="1"/>
  <c r="L27" i="4" s="1"/>
  <c r="J13" i="4"/>
  <c r="I13" i="4" s="1"/>
  <c r="K13" i="4" s="1"/>
  <c r="L13" i="4" s="1"/>
  <c r="J66" i="4"/>
  <c r="I66" i="4" s="1"/>
  <c r="K66" i="4" s="1"/>
  <c r="L66" i="4" s="1"/>
  <c r="J65" i="4"/>
  <c r="I65" i="4" s="1"/>
  <c r="K65" i="4" s="1"/>
  <c r="L65" i="4" s="1"/>
  <c r="J26" i="4"/>
  <c r="I26" i="4" s="1"/>
  <c r="K26" i="4" s="1"/>
  <c r="L26" i="4" s="1"/>
  <c r="J64" i="4"/>
  <c r="I64" i="4" s="1"/>
  <c r="K64" i="4" s="1"/>
  <c r="L64" i="4" s="1"/>
  <c r="J19" i="4"/>
  <c r="I19" i="4" s="1"/>
  <c r="K19" i="4" s="1"/>
  <c r="L19" i="4" s="1"/>
  <c r="J10" i="4"/>
  <c r="I10" i="4" s="1"/>
  <c r="K10" i="4" s="1"/>
  <c r="L10" i="4" s="1"/>
  <c r="P65" i="4"/>
  <c r="I85" i="4"/>
  <c r="K85" i="4" s="1"/>
  <c r="L85" i="4" s="1"/>
  <c r="P17" i="4"/>
  <c r="P23" i="4"/>
  <c r="I23" i="4"/>
  <c r="K23" i="4" s="1"/>
  <c r="L23" i="4" s="1"/>
  <c r="AK51" i="1"/>
  <c r="H63" i="4"/>
  <c r="O68" i="4"/>
  <c r="O65" i="4"/>
  <c r="O86" i="4"/>
  <c r="O88" i="4"/>
  <c r="O18" i="4"/>
  <c r="O66" i="4"/>
  <c r="O63" i="4"/>
  <c r="O67" i="4"/>
  <c r="O64" i="4"/>
  <c r="AC50" i="1"/>
  <c r="AC60" i="1" s="1"/>
  <c r="AC7" i="1"/>
  <c r="AC15" i="1" s="1"/>
  <c r="O85" i="4"/>
  <c r="AI50" i="1"/>
  <c r="AI60" i="1" s="1"/>
  <c r="AI40" i="1"/>
  <c r="AI49" i="1" s="1"/>
  <c r="AC40" i="1"/>
  <c r="AC49" i="1" s="1"/>
  <c r="AC5" i="1"/>
  <c r="AC6" i="1" s="1"/>
  <c r="AK33" i="1" l="1"/>
  <c r="AK34" i="1" s="1"/>
  <c r="AE17" i="1"/>
  <c r="AE29" i="1" s="1"/>
  <c r="Z71" i="1"/>
  <c r="AE33" i="1"/>
  <c r="AE34" i="1" s="1"/>
  <c r="AI15" i="1"/>
  <c r="AE37" i="1"/>
  <c r="AC39" i="1"/>
  <c r="AC71" i="1" s="1"/>
  <c r="AK6" i="1"/>
  <c r="AI6" i="1"/>
  <c r="AI29" i="1"/>
  <c r="AK17" i="1"/>
  <c r="AK29" i="1" s="1"/>
  <c r="AK50" i="1"/>
  <c r="AK60" i="1" s="1"/>
  <c r="AK40" i="1"/>
  <c r="AK49" i="1" s="1"/>
  <c r="AK7" i="1"/>
  <c r="AK15" i="1" s="1"/>
  <c r="AK37" i="1"/>
  <c r="AK39" i="1" s="1"/>
  <c r="AE8" i="1"/>
  <c r="Q7" i="5"/>
  <c r="P7" i="5"/>
  <c r="Q9" i="5"/>
  <c r="P9" i="5"/>
  <c r="Q10" i="5"/>
  <c r="P10" i="5"/>
  <c r="Q6" i="5"/>
  <c r="P6" i="5"/>
  <c r="P21" i="4"/>
  <c r="M51" i="4"/>
  <c r="O9" i="4"/>
  <c r="J51" i="4"/>
  <c r="I11" i="7"/>
  <c r="I16" i="7"/>
  <c r="P42" i="4"/>
  <c r="P16" i="4"/>
  <c r="AE7" i="1"/>
  <c r="P18" i="4"/>
  <c r="AE5" i="1"/>
  <c r="AE6" i="1" s="1"/>
  <c r="P11" i="4"/>
  <c r="AF54" i="1"/>
  <c r="I17" i="3" s="1"/>
  <c r="AF52" i="1"/>
  <c r="I16" i="3" s="1"/>
  <c r="P10" i="4"/>
  <c r="I5" i="4"/>
  <c r="I51" i="4" s="1"/>
  <c r="AE50" i="1"/>
  <c r="AE60" i="1" s="1"/>
  <c r="AE40" i="1"/>
  <c r="AE49" i="1" s="1"/>
  <c r="P85" i="4"/>
  <c r="P26" i="4"/>
  <c r="P22" i="4"/>
  <c r="P19" i="4"/>
  <c r="P5" i="4"/>
  <c r="P13" i="4"/>
  <c r="P27" i="4"/>
  <c r="P67" i="4"/>
  <c r="P64" i="4"/>
  <c r="P6" i="4"/>
  <c r="AF17" i="1" l="1"/>
  <c r="I11" i="3" s="1"/>
  <c r="N15" i="4"/>
  <c r="H15" i="4" s="1"/>
  <c r="AF33" i="1"/>
  <c r="I58" i="3" s="1"/>
  <c r="AK71" i="1"/>
  <c r="J6" i="5"/>
  <c r="AI71" i="1"/>
  <c r="AF8" i="1"/>
  <c r="I10" i="3" s="1"/>
  <c r="AF29" i="1"/>
  <c r="AE15" i="1"/>
  <c r="AF37" i="1"/>
  <c r="I12" i="3" s="1"/>
  <c r="AE39" i="1"/>
  <c r="J9" i="5"/>
  <c r="R9" i="5" s="1"/>
  <c r="J10" i="5"/>
  <c r="R10" i="5" s="1"/>
  <c r="J7" i="5"/>
  <c r="R7" i="5" s="1"/>
  <c r="N14" i="4"/>
  <c r="N25" i="4"/>
  <c r="N12" i="4"/>
  <c r="N24" i="4"/>
  <c r="N20" i="4"/>
  <c r="H20" i="4" s="1"/>
  <c r="N7" i="4"/>
  <c r="H7" i="4" s="1"/>
  <c r="N21" i="4"/>
  <c r="H21" i="4" s="1"/>
  <c r="I9" i="7"/>
  <c r="I10" i="7"/>
  <c r="P51" i="4"/>
  <c r="I23" i="7"/>
  <c r="I15" i="7"/>
  <c r="I20" i="7"/>
  <c r="I41" i="7"/>
  <c r="I24" i="7"/>
  <c r="I13" i="7"/>
  <c r="I50" i="7"/>
  <c r="N17" i="4"/>
  <c r="AF51" i="1"/>
  <c r="I15" i="3" s="1"/>
  <c r="N10" i="4"/>
  <c r="K5" i="4"/>
  <c r="K51" i="4" s="1"/>
  <c r="AF50" i="1"/>
  <c r="I14" i="3" s="1"/>
  <c r="N26" i="4"/>
  <c r="AF7" i="1"/>
  <c r="I8" i="3" s="1"/>
  <c r="AF40" i="1"/>
  <c r="I13" i="3" s="1"/>
  <c r="AF5" i="1"/>
  <c r="I7" i="3" s="1"/>
  <c r="O15" i="4" l="1"/>
  <c r="I59" i="3"/>
  <c r="AF34" i="1"/>
  <c r="N8" i="4"/>
  <c r="O8" i="4" s="1"/>
  <c r="AE71" i="1"/>
  <c r="AF6" i="1"/>
  <c r="AF49" i="1"/>
  <c r="K9" i="5" s="1"/>
  <c r="AF15" i="1"/>
  <c r="M7" i="5" s="1"/>
  <c r="AF60" i="1"/>
  <c r="AF39" i="1"/>
  <c r="K10" i="5"/>
  <c r="M10" i="5"/>
  <c r="M9" i="5"/>
  <c r="H25" i="4"/>
  <c r="O25" i="4"/>
  <c r="O14" i="4"/>
  <c r="H14" i="4"/>
  <c r="H12" i="4"/>
  <c r="O12" i="4"/>
  <c r="H24" i="4"/>
  <c r="O24" i="4"/>
  <c r="N23" i="4"/>
  <c r="O7" i="4"/>
  <c r="O20" i="4"/>
  <c r="O21" i="4"/>
  <c r="N5" i="4"/>
  <c r="O5" i="4" s="1"/>
  <c r="N16" i="4"/>
  <c r="O16" i="4" s="1"/>
  <c r="N6" i="4"/>
  <c r="N11" i="4"/>
  <c r="N13" i="4"/>
  <c r="H17" i="4"/>
  <c r="O17" i="4"/>
  <c r="H26" i="4"/>
  <c r="O26" i="4"/>
  <c r="H10" i="4"/>
  <c r="O10" i="4"/>
  <c r="N27" i="4"/>
  <c r="N19" i="4"/>
  <c r="N22" i="4"/>
  <c r="I12" i="7"/>
  <c r="I25" i="7"/>
  <c r="I19" i="7"/>
  <c r="I21" i="7"/>
  <c r="I22" i="7"/>
  <c r="I46" i="7"/>
  <c r="I7" i="7"/>
  <c r="I8" i="7"/>
  <c r="I51" i="7"/>
  <c r="I73" i="7" s="1"/>
  <c r="I26" i="7"/>
  <c r="I14" i="7"/>
  <c r="I18" i="7"/>
  <c r="I17" i="7"/>
  <c r="L5" i="4"/>
  <c r="L51" i="4" s="1"/>
  <c r="H8" i="4" l="1"/>
  <c r="M6" i="5"/>
  <c r="K60" i="3"/>
  <c r="K7" i="5"/>
  <c r="K6" i="5"/>
  <c r="R6" i="5"/>
  <c r="D19" i="6" s="1"/>
  <c r="D23" i="6"/>
  <c r="K59" i="3"/>
  <c r="H23" i="4"/>
  <c r="O23" i="4"/>
  <c r="H5" i="4"/>
  <c r="H16" i="4"/>
  <c r="O19" i="4"/>
  <c r="H19" i="4"/>
  <c r="H13" i="4"/>
  <c r="O13" i="4"/>
  <c r="H6" i="4"/>
  <c r="O6" i="4"/>
  <c r="H11" i="4"/>
  <c r="O11" i="4"/>
  <c r="H22" i="4"/>
  <c r="O22" i="4"/>
  <c r="H27" i="4"/>
  <c r="O27" i="4"/>
  <c r="N51" i="4"/>
  <c r="I53" i="7"/>
  <c r="L53" i="7" s="1"/>
  <c r="H51" i="4" l="1"/>
  <c r="O51" i="4"/>
  <c r="D20" i="6" l="1"/>
  <c r="D21" i="6" l="1"/>
  <c r="J11" i="5" l="1"/>
  <c r="R11" i="5" s="1"/>
  <c r="P11" i="5"/>
  <c r="M11" i="5"/>
  <c r="O11" i="5"/>
  <c r="L11" i="5"/>
  <c r="N11" i="5"/>
  <c r="Q11" i="5"/>
  <c r="K11" i="5"/>
  <c r="D25" i="6" l="1"/>
  <c r="J8" i="5" l="1"/>
  <c r="O8" i="5"/>
  <c r="Q8" i="5"/>
  <c r="I8" i="5"/>
  <c r="M8" i="5"/>
  <c r="N8" i="5"/>
  <c r="K8" i="5"/>
  <c r="L8" i="5"/>
  <c r="P8" i="5"/>
  <c r="R8" i="5" l="1"/>
  <c r="D24" i="6" l="1"/>
  <c r="J12" i="5" l="1"/>
  <c r="R12" i="5" s="1"/>
  <c r="M12" i="5"/>
  <c r="M18" i="5" s="1"/>
  <c r="N12" i="5"/>
  <c r="N18" i="5" s="1"/>
  <c r="Z77" i="1"/>
  <c r="K12" i="5"/>
  <c r="K18" i="5" s="1"/>
  <c r="Q12" i="5"/>
  <c r="Q18" i="5" s="1"/>
  <c r="Z79" i="1"/>
  <c r="L12" i="5"/>
  <c r="L18" i="5" s="1"/>
  <c r="O12" i="5"/>
  <c r="O18" i="5" s="1"/>
  <c r="I12" i="5"/>
  <c r="I18" i="5" s="1"/>
  <c r="Z78" i="1"/>
  <c r="P12" i="5"/>
  <c r="P18" i="5" s="1"/>
  <c r="K61" i="3" l="1"/>
  <c r="D22" i="6"/>
  <c r="D30" i="6" s="1"/>
  <c r="D31" i="6" s="1"/>
  <c r="D32" i="6" s="1"/>
  <c r="R18" i="5"/>
  <c r="S18" i="5" s="1"/>
  <c r="L54" i="7"/>
  <c r="L55" i="7" s="1"/>
  <c r="J18" i="5"/>
  <c r="C34" i="6"/>
  <c r="D34" i="6" s="1"/>
  <c r="R21" i="5" s="1"/>
  <c r="Z80" i="1"/>
  <c r="D35" i="6" l="1"/>
  <c r="D37" i="6" s="1"/>
  <c r="R19" i="5"/>
  <c r="R20" i="5" s="1"/>
  <c r="R22" i="5" s="1"/>
  <c r="AA80" i="1"/>
  <c r="Z81" i="1"/>
  <c r="Z82" i="1" s="1"/>
  <c r="S22" i="5" l="1"/>
  <c r="F37" i="6"/>
</calcChain>
</file>

<file path=xl/sharedStrings.xml><?xml version="1.0" encoding="utf-8"?>
<sst xmlns="http://schemas.openxmlformats.org/spreadsheetml/2006/main" count="2770" uniqueCount="466">
  <si>
    <t>ACTUAL COMPONENTS</t>
  </si>
  <si>
    <t>DEDUCTIONS</t>
  </si>
  <si>
    <t>S.NO</t>
  </si>
  <si>
    <t>EMP CODE</t>
  </si>
  <si>
    <t>EMPLOYEE NAME</t>
  </si>
  <si>
    <t>Designation</t>
  </si>
  <si>
    <t>ACTUAL DAYS</t>
  </si>
  <si>
    <t>NET PAID DAYS</t>
  </si>
  <si>
    <t>GROSS SALARY</t>
  </si>
  <si>
    <t>BASIC</t>
  </si>
  <si>
    <t>DA</t>
  </si>
  <si>
    <t>OTHER ALLOWANCE</t>
  </si>
  <si>
    <t>Bonus 8.33%  (Basic + DA)</t>
  </si>
  <si>
    <t xml:space="preserve">Leave Wage (EL @ 18days) 4.93%   </t>
  </si>
  <si>
    <t xml:space="preserve">Leave Wage (CL @ 12days) 3.29% </t>
  </si>
  <si>
    <t>National Holiday and Festival Holidays 10 days @2.88%</t>
  </si>
  <si>
    <t>GROSS EARNINGS</t>
  </si>
  <si>
    <t>EMPLOYEE PF@12%</t>
  </si>
  <si>
    <t>EMPLOYEE ESI@0.75%</t>
  </si>
  <si>
    <t>PROFESSION TAX</t>
  </si>
  <si>
    <t>TOTAL DEDUCTIONS</t>
  </si>
  <si>
    <t>NET PAY</t>
  </si>
  <si>
    <t>EMPLOYER PF@13%</t>
  </si>
  <si>
    <t>EMPLOYER ESI @3.25%</t>
  </si>
  <si>
    <t>CTC</t>
  </si>
  <si>
    <t>SUDHIR KUMAR RAUTARAY</t>
  </si>
  <si>
    <t>K.RAJYALAKSHMI</t>
  </si>
  <si>
    <t>KONGANI  NARAYANA</t>
  </si>
  <si>
    <t>KANNAIAH</t>
  </si>
  <si>
    <t>KHIROD DAS</t>
  </si>
  <si>
    <t>NAGENDRA</t>
  </si>
  <si>
    <t>KAKARLA BASHA</t>
  </si>
  <si>
    <t>G.SURESH KUMAR</t>
  </si>
  <si>
    <t>ELECTRICIAN</t>
  </si>
  <si>
    <t>VENKATESWARLU</t>
  </si>
  <si>
    <t>B.APPANA</t>
  </si>
  <si>
    <t>SAGAR KUMAR BEHERA</t>
  </si>
  <si>
    <t>P.SADDAM</t>
  </si>
  <si>
    <t>BMS OPERATOR</t>
  </si>
  <si>
    <t>MUKESH SRICHANDAN</t>
  </si>
  <si>
    <t>C. GANESH</t>
  </si>
  <si>
    <t>VAMSHI KRISHNA</t>
  </si>
  <si>
    <t>KHADHAR BASHA</t>
  </si>
  <si>
    <t>DG OPERATOR</t>
  </si>
  <si>
    <t>ALLAUDDIN MAINODDIN KHAJURE</t>
  </si>
  <si>
    <t>JAGADEESH</t>
  </si>
  <si>
    <t>RAMASWAMY</t>
  </si>
  <si>
    <t>JOGENDRA SETHI</t>
  </si>
  <si>
    <t>HVAC OPERATOR</t>
  </si>
  <si>
    <t>K.MABU SHAREEF</t>
  </si>
  <si>
    <t>VISHAL</t>
  </si>
  <si>
    <t>ANURUDHA  SAMAL</t>
  </si>
  <si>
    <t>PLUMER</t>
  </si>
  <si>
    <t>PABITRA MALIK</t>
  </si>
  <si>
    <t>SURYA PRAKASH ROUT</t>
  </si>
  <si>
    <t>GADADHAR MALIK</t>
  </si>
  <si>
    <t>SIRAJ</t>
  </si>
  <si>
    <t>SUDHAKAR</t>
  </si>
  <si>
    <t>VENKATES M</t>
  </si>
  <si>
    <t>PAINTER</t>
  </si>
  <si>
    <t>KASIM VALI</t>
  </si>
  <si>
    <t>WELDER</t>
  </si>
  <si>
    <t>MASON</t>
  </si>
  <si>
    <t>NAME</t>
  </si>
  <si>
    <t>Sat</t>
  </si>
  <si>
    <t>Sun</t>
  </si>
  <si>
    <t>Mon</t>
  </si>
  <si>
    <t>Tue</t>
  </si>
  <si>
    <t>Wed</t>
  </si>
  <si>
    <t>Thu</t>
  </si>
  <si>
    <t>Fri</t>
  </si>
  <si>
    <t>G</t>
  </si>
  <si>
    <t>ED</t>
  </si>
  <si>
    <t>B</t>
  </si>
  <si>
    <t>C</t>
  </si>
  <si>
    <t>A</t>
  </si>
  <si>
    <t>L</t>
  </si>
  <si>
    <t>ANANDA SHA</t>
  </si>
  <si>
    <t>EARNING COMPONENTS</t>
  </si>
  <si>
    <t>Extra Deployment Amount</t>
  </si>
  <si>
    <t>SL. NO</t>
  </si>
  <si>
    <t>EMP NO.</t>
  </si>
  <si>
    <t>Name of the Employee</t>
  </si>
  <si>
    <t>Account No</t>
  </si>
  <si>
    <t>IFSC Code</t>
  </si>
  <si>
    <t>Amount</t>
  </si>
  <si>
    <t>EXTRA DEPLOYMENT</t>
  </si>
  <si>
    <t>Prepared By</t>
  </si>
  <si>
    <t>Verified By</t>
  </si>
  <si>
    <t>Authorized By</t>
  </si>
  <si>
    <t>Approved By</t>
  </si>
  <si>
    <t>UTIB0005151</t>
  </si>
  <si>
    <t>SBIN0011667</t>
  </si>
  <si>
    <t>RATN0000366</t>
  </si>
  <si>
    <t>SBIN0005082</t>
  </si>
  <si>
    <t>RATN0000208</t>
  </si>
  <si>
    <t>SBIN0007343</t>
  </si>
  <si>
    <t>SBIN0000834</t>
  </si>
  <si>
    <t>SBIN0000788</t>
  </si>
  <si>
    <t>SBIN0013032</t>
  </si>
  <si>
    <t>SBIN0021357</t>
  </si>
  <si>
    <t>BARB0HATINA</t>
  </si>
  <si>
    <t>SBIN0002100</t>
  </si>
  <si>
    <t>SBIN0015853</t>
  </si>
  <si>
    <t>SCBL0036081</t>
  </si>
  <si>
    <t>P SADDAM</t>
  </si>
  <si>
    <t>B APPANA</t>
  </si>
  <si>
    <t>K SAIBABA</t>
  </si>
  <si>
    <t>A NARESH</t>
  </si>
  <si>
    <t>K RAJYALAKSHMI</t>
  </si>
  <si>
    <t>MD ANWAR</t>
  </si>
  <si>
    <t>VENKATESH M</t>
  </si>
  <si>
    <t>=</t>
  </si>
  <si>
    <t>EMPLOYER PF @13%</t>
  </si>
  <si>
    <t>TOTAL COST</t>
  </si>
  <si>
    <t>MANAGEMENT FEE 8%</t>
  </si>
  <si>
    <t>GRAND TOTAL</t>
  </si>
  <si>
    <t>20077099524</t>
  </si>
  <si>
    <t>SBIN0014183</t>
  </si>
  <si>
    <t>Sl.No</t>
  </si>
  <si>
    <t>Employee No</t>
  </si>
  <si>
    <t>Name</t>
  </si>
  <si>
    <t>PF UAN Number</t>
  </si>
  <si>
    <t>Gross Wages</t>
  </si>
  <si>
    <t>BASIC+DA</t>
  </si>
  <si>
    <t xml:space="preserve"> Employee Share PF (12%)</t>
  </si>
  <si>
    <t xml:space="preserve"> Employer Share PF (13%)</t>
  </si>
  <si>
    <t>Total PF</t>
  </si>
  <si>
    <t xml:space="preserve"> Employee Share ESI (0.75%)</t>
  </si>
  <si>
    <t xml:space="preserve"> Employer Share ESI (3.25%)</t>
  </si>
  <si>
    <t>Total ESI</t>
  </si>
  <si>
    <t>PROF TAX</t>
  </si>
  <si>
    <t>ESI  Number</t>
  </si>
  <si>
    <t>-</t>
  </si>
  <si>
    <t>NA</t>
  </si>
  <si>
    <t>AS PER ATTENDANCE</t>
  </si>
  <si>
    <t>ACTUALS</t>
  </si>
  <si>
    <t>DESIGNATION</t>
  </si>
  <si>
    <t>NO OF PERSONS</t>
  </si>
  <si>
    <t>RATE PER MONTH</t>
  </si>
  <si>
    <t xml:space="preserve">TOTAL RATE PER MONTH </t>
  </si>
  <si>
    <t>NO OF DUTIES</t>
  </si>
  <si>
    <t xml:space="preserve">RATE PER MONTH </t>
  </si>
  <si>
    <t>BANK REMITTANCE</t>
  </si>
  <si>
    <t>PF 12%</t>
  </si>
  <si>
    <t>PF 13%</t>
  </si>
  <si>
    <t>ESI 0.75%</t>
  </si>
  <si>
    <t>ESI 3.25%</t>
  </si>
  <si>
    <t>ADVANCES</t>
  </si>
  <si>
    <t>PT</t>
  </si>
  <si>
    <t>TOTAL</t>
  </si>
  <si>
    <t>Technical Supervisor</t>
  </si>
  <si>
    <t>Electrician</t>
  </si>
  <si>
    <t>HVAC Technician</t>
  </si>
  <si>
    <t>BMS Technician</t>
  </si>
  <si>
    <t>DG Operator</t>
  </si>
  <si>
    <t>Plumber</t>
  </si>
  <si>
    <t>Carpenter</t>
  </si>
  <si>
    <t>Painter</t>
  </si>
  <si>
    <t>Mason</t>
  </si>
  <si>
    <t>MANAGEMENT FEE @ 8%</t>
  </si>
  <si>
    <t>Technical Executive</t>
  </si>
  <si>
    <t>Welder</t>
  </si>
  <si>
    <t>TECHNICAL EXECUTIVE</t>
  </si>
  <si>
    <t>TECHNICAL SUPERVISOR</t>
  </si>
  <si>
    <t>TAX INVOICE</t>
  </si>
  <si>
    <t>BILL FROM</t>
  </si>
  <si>
    <t>Bill Date</t>
  </si>
  <si>
    <t>24 Seven Innovative products and services</t>
  </si>
  <si>
    <t>INVOICE No.</t>
  </si>
  <si>
    <t xml:space="preserve">Raaga Residency Plot No.782,Road No.44, </t>
  </si>
  <si>
    <t>GST Number</t>
  </si>
  <si>
    <t xml:space="preserve"> 36AACFZ0539P1ZN</t>
  </si>
  <si>
    <t>Flat No-103 Ayyappa Society Madhapur</t>
  </si>
  <si>
    <t>LUT/Bond No</t>
  </si>
  <si>
    <t>Hyderabad-500081</t>
  </si>
  <si>
    <t xml:space="preserve">ESI CODE No </t>
  </si>
  <si>
    <t>52000748150000900</t>
  </si>
  <si>
    <t>GST: 36AACFZ0539P1ZN</t>
  </si>
  <si>
    <t>PF CODE No</t>
  </si>
  <si>
    <t>APHYD2055855000</t>
  </si>
  <si>
    <t>BILL TO</t>
  </si>
  <si>
    <t>Work Order No.</t>
  </si>
  <si>
    <t>Work Order Date</t>
  </si>
  <si>
    <t>Delivery Challan No's</t>
  </si>
  <si>
    <t>MSME Registration No</t>
  </si>
  <si>
    <t>TS02E0063727</t>
  </si>
  <si>
    <t>DESCRIPTION</t>
  </si>
  <si>
    <t>SAC code</t>
  </si>
  <si>
    <t>Quantity</t>
  </si>
  <si>
    <t>Amount Rs.</t>
  </si>
  <si>
    <t>Sub-Total</t>
  </si>
  <si>
    <t>Management fee @8 %</t>
  </si>
  <si>
    <t>Total Rs.</t>
  </si>
  <si>
    <t xml:space="preserve"> IGST @</t>
  </si>
  <si>
    <t>18%</t>
  </si>
  <si>
    <t>Total Amount Rs.</t>
  </si>
  <si>
    <t>DECLRACTION: SUPPLY TO SEZ UNIT FOR AUTHORISED OPERATIONS UNDER LUT WITHOUT PAYMENT OF INTEGRATED TAX.</t>
  </si>
  <si>
    <t>Bank Details :</t>
  </si>
  <si>
    <r>
      <t xml:space="preserve">          FOR   </t>
    </r>
    <r>
      <rPr>
        <b/>
        <sz val="12"/>
        <color rgb="FF000000"/>
        <rFont val="Times New Roman"/>
        <family val="1"/>
      </rPr>
      <t>24 SEVEN INNOVATIVE PRODUCTS AND SERVICES</t>
    </r>
  </si>
  <si>
    <t>M/S. 24 Seven Innovative Products And Services</t>
  </si>
  <si>
    <t>Bank name : ICICI Bank</t>
  </si>
  <si>
    <t>Bank account no :004005017980</t>
  </si>
  <si>
    <t>Bank IFSC Code : ICIC0000040</t>
  </si>
  <si>
    <t>Authorized Signatory</t>
  </si>
  <si>
    <t>Thank you for your Business</t>
  </si>
  <si>
    <t>B1 Building</t>
  </si>
  <si>
    <t>Divyasree NSL lnfrastructure Pvt Ltd,</t>
  </si>
  <si>
    <t xml:space="preserve">Survey No.56/1, Serilingampalli (Mandal) </t>
  </si>
  <si>
    <t>Raidurgam, R.R.Dist,</t>
  </si>
  <si>
    <t>Hyderabad - 500032.</t>
  </si>
  <si>
    <t>GST: 36AACCD3662N1ZD</t>
  </si>
  <si>
    <t>EMPLOYER ESI @3.25% / INSURANCE</t>
  </si>
  <si>
    <t>AADHI NARAYANA</t>
  </si>
  <si>
    <t>D.RAVI</t>
  </si>
  <si>
    <t>P.MOKHA LINGAM</t>
  </si>
  <si>
    <t>PLUMBER</t>
  </si>
  <si>
    <t>50100460685195</t>
  </si>
  <si>
    <t>HDFC0000512</t>
  </si>
  <si>
    <t>P MOKHA LINGAM</t>
  </si>
  <si>
    <t>DUNDALWAR RAVI</t>
  </si>
  <si>
    <t>38644051779</t>
  </si>
  <si>
    <t>SBIN0020115</t>
  </si>
  <si>
    <t>0046168368</t>
  </si>
  <si>
    <t>KKBK0007466</t>
  </si>
  <si>
    <t>Advances</t>
  </si>
  <si>
    <t>AMANULLAH KHAN</t>
  </si>
  <si>
    <t>RUDRAKANT BEDANT</t>
  </si>
  <si>
    <t>102117145981</t>
  </si>
  <si>
    <t>5221310401</t>
  </si>
  <si>
    <t>102120711813</t>
  </si>
  <si>
    <t>5221323720</t>
  </si>
  <si>
    <t>EMP.CODE</t>
  </si>
  <si>
    <t>Duty</t>
  </si>
  <si>
    <t>W</t>
  </si>
  <si>
    <t xml:space="preserve">PH </t>
  </si>
  <si>
    <t>Total</t>
  </si>
  <si>
    <t>E.D</t>
  </si>
  <si>
    <t>NARESH DAS</t>
  </si>
  <si>
    <t>DANEYAL</t>
  </si>
  <si>
    <t>ZEESHAN KHAN</t>
  </si>
  <si>
    <t>T.ARCHANA</t>
  </si>
  <si>
    <t>A.RAMESH</t>
  </si>
  <si>
    <t>79069844609</t>
  </si>
  <si>
    <t>918010019983214</t>
  </si>
  <si>
    <t>UTIB0000679</t>
  </si>
  <si>
    <t xml:space="preserve">GRAND TOTAL </t>
  </si>
  <si>
    <t>TOTAL COST AS PER WORK ORDER</t>
  </si>
  <si>
    <t>BISWAJIT SAHOO</t>
  </si>
  <si>
    <t>M.LAXMINARAYANA</t>
  </si>
  <si>
    <t>K.RAMESH</t>
  </si>
  <si>
    <t>K.TARUN</t>
  </si>
  <si>
    <t>309027166857</t>
  </si>
  <si>
    <t>RATN0000376</t>
  </si>
  <si>
    <t>32769838666</t>
  </si>
  <si>
    <t>SBIN0008501</t>
  </si>
  <si>
    <t>574118210002406</t>
  </si>
  <si>
    <t>BKID0005741</t>
  </si>
  <si>
    <t>309027166723</t>
  </si>
  <si>
    <t>V.SRIKANTH</t>
  </si>
  <si>
    <t>923010058683522</t>
  </si>
  <si>
    <t>UTIB0000008</t>
  </si>
  <si>
    <t>M.KRANTHI</t>
  </si>
  <si>
    <t>R.HEMANTH</t>
  </si>
  <si>
    <t>M.SRI HARI</t>
  </si>
  <si>
    <t>SHAHBDDIN</t>
  </si>
  <si>
    <t>309027771525</t>
  </si>
  <si>
    <t>2824000100201314</t>
  </si>
  <si>
    <t>PUNB0004720</t>
  </si>
  <si>
    <t>GOPAL ROUT</t>
  </si>
  <si>
    <t>CHANDRA SHAKHER</t>
  </si>
  <si>
    <t>50100558344180</t>
  </si>
  <si>
    <t>HDFC0001627</t>
  </si>
  <si>
    <t>309028099288</t>
  </si>
  <si>
    <t>RATN0000112</t>
  </si>
  <si>
    <t>MOTUPALLI RAVI SANKARA DURGA</t>
  </si>
  <si>
    <t>VASA SHIVA KUMARM</t>
  </si>
  <si>
    <t>5599174559</t>
  </si>
  <si>
    <t>309025560518</t>
  </si>
  <si>
    <t>20059012168</t>
  </si>
  <si>
    <t>309025560864</t>
  </si>
  <si>
    <t>32461731290</t>
  </si>
  <si>
    <t>424501504162</t>
  </si>
  <si>
    <t>30861617747</t>
  </si>
  <si>
    <t>35573873665</t>
  </si>
  <si>
    <t>40082463078</t>
  </si>
  <si>
    <t>39377880179</t>
  </si>
  <si>
    <t>309025560837</t>
  </si>
  <si>
    <t>309025560855</t>
  </si>
  <si>
    <t>62357020768</t>
  </si>
  <si>
    <t>SBIN0020411</t>
  </si>
  <si>
    <t>35336678577</t>
  </si>
  <si>
    <t>SBIN0009501</t>
  </si>
  <si>
    <t>41123009226</t>
  </si>
  <si>
    <t>SBIN0004904</t>
  </si>
  <si>
    <t>SBIN0015374</t>
  </si>
  <si>
    <t>TGRB0000077</t>
  </si>
  <si>
    <t>35192372300</t>
  </si>
  <si>
    <t>SBIN0016125</t>
  </si>
  <si>
    <t>BIO METRIC CODE</t>
  </si>
  <si>
    <t>P.SRINIVAS</t>
  </si>
  <si>
    <t>T.BALAJI</t>
  </si>
  <si>
    <t>A.JITHENDER KUMAR</t>
  </si>
  <si>
    <t>No of persons present per day</t>
  </si>
  <si>
    <t>grooming deduction</t>
  </si>
  <si>
    <t>50100510147955</t>
  </si>
  <si>
    <t>16880100061107</t>
  </si>
  <si>
    <t>FDRL0001688</t>
  </si>
  <si>
    <t>40557733650</t>
  </si>
  <si>
    <t>SBIN0017569</t>
  </si>
  <si>
    <t>HDFC0009401</t>
  </si>
  <si>
    <t>G.SHANMUKHA RAO</t>
  </si>
  <si>
    <t>MIDAS-B1&amp;B2 FOR THE MONTH OF APR 2025</t>
  </si>
  <si>
    <t>ARIF</t>
  </si>
  <si>
    <t>MOHMMED AMIR</t>
  </si>
  <si>
    <t>MIDAS B1&amp;B2 BANK STATEMENT FOR THE MONTH OF APR-2025</t>
  </si>
  <si>
    <t>35216855329</t>
  </si>
  <si>
    <t>SBIN0011104</t>
  </si>
  <si>
    <t>MIDAS B1&amp;B2 HOLD BANK STATEMENT FOR THE MONTH OF APR-2025</t>
  </si>
  <si>
    <t>L&amp;T</t>
  </si>
  <si>
    <t>6572412476</t>
  </si>
  <si>
    <t>IDIB000I021 </t>
  </si>
  <si>
    <t>36090598041</t>
  </si>
  <si>
    <t>7921773338</t>
  </si>
  <si>
    <t>IDIB000B050</t>
  </si>
  <si>
    <t>Fire Technician</t>
  </si>
  <si>
    <t>Excess</t>
  </si>
  <si>
    <t>Man Power Supply for Apr-2025</t>
  </si>
  <si>
    <t>MIDAS B1 INVOICE FOR THE MONTH OF APR-2025</t>
  </si>
  <si>
    <t>MB1/S046/25-26</t>
  </si>
  <si>
    <t>PF and ESI Details of Midas Projects Pvt Ltd B1 Building for the month of Apr- 2025</t>
  </si>
  <si>
    <t>Note: The PF and ESI challans for the month of Apr-2025 were paid on 16/05/2025 vide TRRN no: 1202505025534  and ESIC Challan no: 05225116525402</t>
  </si>
  <si>
    <t>WO/DNIPL/B1&amp;B2/2024-25/D326</t>
  </si>
  <si>
    <t>25.03.2025</t>
  </si>
  <si>
    <t>AD3603250311498</t>
  </si>
  <si>
    <t>Tools &amp; Tackles Rental Per Month</t>
  </si>
  <si>
    <t>Uniform Charges Per Month</t>
  </si>
  <si>
    <t>HARISH KHAN</t>
  </si>
  <si>
    <t>RAJA MALIK</t>
  </si>
  <si>
    <t>43495405979</t>
  </si>
  <si>
    <t>SBIN0014308</t>
  </si>
  <si>
    <t>43949385299</t>
  </si>
  <si>
    <t>H.PANDA</t>
  </si>
  <si>
    <t xml:space="preserve">ELECTRICIAN </t>
  </si>
  <si>
    <t>RAUPYA PRAKASH</t>
  </si>
  <si>
    <t xml:space="preserve">PLUMBER </t>
  </si>
  <si>
    <t>KALLOL SEN</t>
  </si>
  <si>
    <t>41846566728</t>
  </si>
  <si>
    <t>SBIN0007503</t>
  </si>
  <si>
    <t>004001647503</t>
  </si>
  <si>
    <t>309028412197</t>
  </si>
  <si>
    <t>RATN0000331</t>
  </si>
  <si>
    <t>BODESH</t>
  </si>
  <si>
    <t>RUDRA MADHAB SENAPATI</t>
  </si>
  <si>
    <t>41294495853</t>
  </si>
  <si>
    <t>SBIN0018891</t>
  </si>
  <si>
    <t>MANOJ KUMAR</t>
  </si>
  <si>
    <t>309028388748</t>
  </si>
  <si>
    <t>HRUSIKESH PANDA</t>
  </si>
  <si>
    <t>CHINTHAKUNTA GANESH</t>
  </si>
  <si>
    <t>MOTIPALLI RAVI SHANKER DURGA</t>
  </si>
  <si>
    <t>MANOJ KUMAR DAS</t>
  </si>
  <si>
    <t>P CHANDRA SHEKAR PATRA</t>
  </si>
  <si>
    <t>NEELAIAH GARI SUDHAKAR</t>
  </si>
  <si>
    <t>M LAXMINARAYANA</t>
  </si>
  <si>
    <t>SAJID HUSAIN</t>
  </si>
  <si>
    <t>008210462610</t>
  </si>
  <si>
    <t>IPOS0000001</t>
  </si>
  <si>
    <t>B.SANDEEP</t>
  </si>
  <si>
    <t>309028388863</t>
  </si>
  <si>
    <t>MOHAMAD REHAN RAJE</t>
  </si>
  <si>
    <t>5915849904</t>
  </si>
  <si>
    <t>CBIN0281703</t>
  </si>
  <si>
    <t>23930100011966</t>
  </si>
  <si>
    <t>36718981606</t>
  </si>
  <si>
    <t>35352487786</t>
  </si>
  <si>
    <t>38524408774</t>
  </si>
  <si>
    <t>P.SAI SATHISH</t>
  </si>
  <si>
    <t>20515288686</t>
  </si>
  <si>
    <t>SBIN0006677</t>
  </si>
  <si>
    <t>AKASHSHA</t>
  </si>
  <si>
    <t>FIRE TECHNICIAN</t>
  </si>
  <si>
    <t>540810110029964</t>
  </si>
  <si>
    <t>BKID0005408</t>
  </si>
  <si>
    <t>HRA</t>
  </si>
  <si>
    <t>NAGENDRA BABU</t>
  </si>
  <si>
    <t>JALEM ROHAN</t>
  </si>
  <si>
    <t>NEW JOINING</t>
  </si>
  <si>
    <t>M.PRATHAP KUMAR</t>
  </si>
  <si>
    <t>SAMAR QUADIR</t>
  </si>
  <si>
    <t>J.CHATTYNYA</t>
  </si>
  <si>
    <t>GALLI KIRAN KUMAR</t>
  </si>
  <si>
    <t>BANDARI DHAN RAJ</t>
  </si>
  <si>
    <t>CARPENTER</t>
  </si>
  <si>
    <t>WO VALUE</t>
  </si>
  <si>
    <t>CURRENT TAKE HOME</t>
  </si>
  <si>
    <t>WO EXCESS VALUE</t>
  </si>
  <si>
    <t>057210100137958</t>
  </si>
  <si>
    <t>UBIN0805726</t>
  </si>
  <si>
    <t>KKBK0007822</t>
  </si>
  <si>
    <t>50100510147971</t>
  </si>
  <si>
    <t>HDFC0008067</t>
  </si>
  <si>
    <t>43175137888</t>
  </si>
  <si>
    <t>SBIN0017426</t>
  </si>
  <si>
    <t>1446902842</t>
  </si>
  <si>
    <t>KKBK0007463</t>
  </si>
  <si>
    <t>40990861702</t>
  </si>
  <si>
    <t>SBIN0002745</t>
  </si>
  <si>
    <t>24SIPS O&amp;M Attendance Report of July-26</t>
  </si>
  <si>
    <t>TECH EXECUTIVE</t>
  </si>
  <si>
    <t>KONGANI NARAYANA</t>
  </si>
  <si>
    <t xml:space="preserve">TECH SUPERVISOR </t>
  </si>
  <si>
    <t>KUMMARA RAJYALAKSHMI</t>
  </si>
  <si>
    <t>KSHIROD KUMAR DAS</t>
  </si>
  <si>
    <t>BADAM SANDEEP</t>
  </si>
  <si>
    <t>B NAGENDRA BABU</t>
  </si>
  <si>
    <t>BANAVATH BALAJI</t>
  </si>
  <si>
    <t>GATTU BHANUTEJA</t>
  </si>
  <si>
    <t>MERUPULA SANDEEP GOUD</t>
  </si>
  <si>
    <t>RAJANIKANT</t>
  </si>
  <si>
    <t>ALOKA MUDULI</t>
  </si>
  <si>
    <t>MD Saleem</t>
  </si>
  <si>
    <t>Shaik Shaheed</t>
  </si>
  <si>
    <t>MANGA PRATAP KUMAR</t>
  </si>
  <si>
    <t>KAZIPETA RAVI KIRAN</t>
  </si>
  <si>
    <t>SAMAR QUDIR</t>
  </si>
  <si>
    <t>CHANDRA PRAKASH MOHANTY</t>
  </si>
  <si>
    <t>MURALI KRUSHNA</t>
  </si>
  <si>
    <t>RAMGIRI SATISH</t>
  </si>
  <si>
    <t>ALLAUDDIN MAINUDDIN KHAJURE</t>
  </si>
  <si>
    <t>RAUPYAPRAKASH MOHANTY</t>
  </si>
  <si>
    <t>PEDDAMODU SAI SATHEESH</t>
  </si>
  <si>
    <t>DAGE RAMA KRISHNA</t>
  </si>
  <si>
    <t xml:space="preserve">Tansfer B1 to B6 </t>
  </si>
  <si>
    <t>TAPAS MALIK</t>
  </si>
  <si>
    <t>DUNGA BODESH</t>
  </si>
  <si>
    <t>Tapas Malik</t>
  </si>
  <si>
    <t>MIDAS-B1&amp;B2 FOR THE MONTH OF JUL-2026</t>
  </si>
  <si>
    <t>017110100089730</t>
  </si>
  <si>
    <t>UBIN0801712</t>
  </si>
  <si>
    <t>45225409796</t>
  </si>
  <si>
    <t>SBIN0001023</t>
  </si>
  <si>
    <t>45263545791</t>
  </si>
  <si>
    <t>SBIN0021584</t>
  </si>
  <si>
    <t>45412161218</t>
  </si>
  <si>
    <t>SBIN0064827</t>
  </si>
  <si>
    <t>44467464884</t>
  </si>
  <si>
    <t>SBIN0016276</t>
  </si>
  <si>
    <t>44467656204</t>
  </si>
  <si>
    <t>SBIN0020776</t>
  </si>
  <si>
    <t>8813663412</t>
  </si>
  <si>
    <t>KKBK0007452</t>
  </si>
  <si>
    <t>45259604549</t>
  </si>
  <si>
    <t>40911134034</t>
  </si>
  <si>
    <t>SBIN0000055</t>
  </si>
  <si>
    <t>535518210009666</t>
  </si>
  <si>
    <t>BKID0005355</t>
  </si>
  <si>
    <t>38359843328</t>
  </si>
  <si>
    <t>SBIN0012063</t>
  </si>
  <si>
    <t>10230781622</t>
  </si>
  <si>
    <t>IDFB0081802</t>
  </si>
  <si>
    <t>MIDAS B1&amp;B2 BANK STATEMENT FOR THE MONTH OF JUL-2026</t>
  </si>
  <si>
    <t>HOLD MIDAS B1&amp;B2 BANK STATEMENT FOR THE MONTH OF JUL-2026</t>
  </si>
  <si>
    <t>42621662297</t>
  </si>
  <si>
    <t>SBIN0020996</t>
  </si>
  <si>
    <t>PAID ON 08-08-2027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</si>
</sst>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_ ;\-#,##0\ "/>
    <numFmt numFmtId="165" formatCode="_(* #,##0_);_(* \(#,##0\);_(* &quot;-&quot;??_);_(@_)"/>
  </numFmts>
  <fonts count="42" x14ac:knownFonts="1">
    <font>
      <sz val="11"/>
      <color theme="1"/>
      <name val="Calibri"/>
      <family val="2"/>
      <scheme val="minor"/>
    </font>
    <font>
      <b/>
      <sz val="11"/>
      <color theme="1"/>
      <name val="Calibri"/>
      <family val="2"/>
      <scheme val="minor"/>
    </font>
    <font>
      <b/>
      <sz val="14"/>
      <color theme="1"/>
      <name val="Calibri"/>
      <family val="2"/>
      <scheme val="minor"/>
    </font>
    <font>
      <b/>
      <sz val="12"/>
      <color indexed="8"/>
      <name val="Times New Roman"/>
      <family val="1"/>
    </font>
    <font>
      <b/>
      <sz val="11"/>
      <name val="Times New Roman"/>
      <family val="1"/>
    </font>
    <font>
      <sz val="11"/>
      <color rgb="FF000000"/>
      <name val="Calibri"/>
      <family val="2"/>
    </font>
    <font>
      <sz val="13"/>
      <color theme="1"/>
      <name val="Calibri"/>
      <family val="2"/>
      <scheme val="minor"/>
    </font>
    <font>
      <sz val="11"/>
      <color indexed="8"/>
      <name val="Calibri"/>
      <family val="2"/>
    </font>
    <font>
      <sz val="12"/>
      <color theme="1"/>
      <name val="Times New Roman"/>
      <family val="1"/>
    </font>
    <font>
      <b/>
      <sz val="12"/>
      <color theme="1"/>
      <name val="Times New Roman"/>
      <family val="1"/>
    </font>
    <font>
      <sz val="11"/>
      <name val="Calibri"/>
      <family val="2"/>
      <scheme val="minor"/>
    </font>
    <font>
      <b/>
      <sz val="11"/>
      <color indexed="8"/>
      <name val="Times New Roman"/>
      <family val="1"/>
    </font>
    <font>
      <sz val="11"/>
      <color theme="1"/>
      <name val="Calibri"/>
      <family val="2"/>
      <scheme val="minor"/>
    </font>
    <font>
      <b/>
      <sz val="16"/>
      <name val="Times New Roman"/>
      <family val="1"/>
    </font>
    <font>
      <b/>
      <sz val="10"/>
      <name val="Times New Roman"/>
      <family val="1"/>
    </font>
    <font>
      <b/>
      <sz val="11"/>
      <color theme="1"/>
      <name val="Times New Roman"/>
      <family val="1"/>
    </font>
    <font>
      <b/>
      <sz val="10"/>
      <color theme="1"/>
      <name val="Times New Roman"/>
      <family val="1"/>
    </font>
    <font>
      <sz val="11"/>
      <color theme="1"/>
      <name val="Times New Roman"/>
      <family val="1"/>
    </font>
    <font>
      <sz val="10"/>
      <color theme="1"/>
      <name val="Times New Roman"/>
      <family val="1"/>
    </font>
    <font>
      <b/>
      <sz val="13"/>
      <color theme="1"/>
      <name val="Calibri"/>
      <family val="2"/>
      <scheme val="minor"/>
    </font>
    <font>
      <sz val="12"/>
      <name val="Times New Roman"/>
      <family val="1"/>
    </font>
    <font>
      <b/>
      <sz val="22"/>
      <color theme="1"/>
      <name val="Times New Roman"/>
      <family val="1"/>
    </font>
    <font>
      <b/>
      <sz val="12"/>
      <name val="Times New Roman"/>
      <family val="1"/>
    </font>
    <font>
      <sz val="14"/>
      <name val="Times New Roman"/>
      <family val="1"/>
    </font>
    <font>
      <b/>
      <sz val="14"/>
      <name val="Times New Roman"/>
      <family val="1"/>
    </font>
    <font>
      <u/>
      <sz val="11"/>
      <color theme="10"/>
      <name val="Calibri"/>
      <family val="2"/>
      <scheme val="minor"/>
    </font>
    <font>
      <u/>
      <sz val="12"/>
      <color indexed="12"/>
      <name val="Times New Roman"/>
      <family val="1"/>
    </font>
    <font>
      <sz val="12"/>
      <color theme="4"/>
      <name val="Times New Roman"/>
      <family val="1"/>
    </font>
    <font>
      <sz val="12"/>
      <color theme="3"/>
      <name val="Times New Roman"/>
      <family val="1"/>
    </font>
    <font>
      <sz val="13"/>
      <name val="Times New Roman"/>
      <family val="1"/>
    </font>
    <font>
      <b/>
      <sz val="12"/>
      <color theme="3"/>
      <name val="Times New Roman"/>
      <family val="1"/>
    </font>
    <font>
      <b/>
      <sz val="15"/>
      <color theme="1"/>
      <name val="Times New Roman"/>
      <family val="1"/>
    </font>
    <font>
      <sz val="15"/>
      <name val="Times New Roman"/>
      <family val="1"/>
    </font>
    <font>
      <b/>
      <sz val="15"/>
      <name val="Times New Roman"/>
      <family val="1"/>
    </font>
    <font>
      <b/>
      <i/>
      <u/>
      <sz val="14"/>
      <name val="Times New Roman"/>
      <family val="1"/>
    </font>
    <font>
      <b/>
      <sz val="12"/>
      <color rgb="FF000000"/>
      <name val="Times New Roman"/>
      <family val="1"/>
    </font>
    <font>
      <sz val="14"/>
      <color theme="3"/>
      <name val="Times New Roman"/>
      <family val="1"/>
    </font>
    <font>
      <sz val="12"/>
      <color theme="1"/>
      <name val="Calibri"/>
      <family val="2"/>
      <scheme val="minor"/>
    </font>
    <font>
      <b/>
      <sz val="12"/>
      <color theme="1"/>
      <name val="Calibri"/>
      <family val="2"/>
      <scheme val="minor"/>
    </font>
    <font>
      <b/>
      <sz val="18"/>
      <color theme="1"/>
      <name val="Calibri"/>
      <family val="2"/>
      <scheme val="minor"/>
    </font>
    <font>
      <b/>
      <sz val="18"/>
      <name val="Calibri"/>
      <family val="2"/>
      <scheme val="minor"/>
    </font>
    <font>
      <b/>
      <sz val="14"/>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FFFF"/>
        <bgColor rgb="FFFFFFFF"/>
      </patternFill>
    </fill>
    <fill>
      <patternFill patternType="solid">
        <fgColor theme="6" tint="0.59999389629810485"/>
        <bgColor indexed="64"/>
      </patternFill>
    </fill>
    <fill>
      <patternFill patternType="solid">
        <fgColor rgb="FF00B050"/>
        <bgColor indexed="64"/>
      </patternFill>
    </fill>
    <fill>
      <patternFill patternType="solid">
        <fgColor theme="9" tint="-0.249977111117893"/>
        <bgColor indexed="64"/>
      </patternFill>
    </fill>
    <fill>
      <patternFill patternType="solid">
        <fgColor theme="7" tint="0.79992065187536243"/>
        <bgColor indexed="64"/>
      </patternFill>
    </fill>
    <fill>
      <patternFill patternType="solid">
        <fgColor theme="6" tint="0.39991454817346722"/>
        <bgColor indexed="64"/>
      </patternFill>
    </fill>
    <fill>
      <patternFill patternType="solid">
        <fgColor theme="4" tint="0.79998168889431442"/>
        <bgColor indexed="64"/>
      </patternFill>
    </fill>
    <fill>
      <patternFill patternType="solid">
        <fgColor theme="9"/>
        <bgColor indexed="64"/>
      </patternFill>
    </fill>
    <fill>
      <patternFill patternType="solid">
        <fgColor theme="0"/>
        <bgColor rgb="FFFFFFFF"/>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bottom style="medium">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auto="1"/>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auto="1"/>
      </left>
      <right/>
      <top/>
      <bottom style="thin">
        <color auto="1"/>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s>
  <cellStyleXfs count="6">
    <xf numFmtId="0" fontId="0" fillId="0" borderId="0"/>
    <xf numFmtId="0" fontId="7" fillId="0" borderId="0"/>
    <xf numFmtId="0" fontId="10" fillId="0" borderId="0"/>
    <xf numFmtId="43" fontId="12" fillId="0" borderId="0" applyFont="0" applyFill="0" applyBorder="0" applyAlignment="0" applyProtection="0"/>
    <xf numFmtId="0" fontId="25" fillId="0" borderId="0" applyNumberFormat="0" applyFill="0" applyBorder="0" applyAlignment="0" applyProtection="0"/>
    <xf numFmtId="43" fontId="12" fillId="0" borderId="0" applyFont="0" applyFill="0" applyBorder="0" applyAlignment="0" applyProtection="0"/>
  </cellStyleXfs>
  <cellXfs count="367">
    <xf numFmtId="0" fontId="0" fillId="0" borderId="0" xfId="0"/>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1" fontId="0" fillId="0" borderId="0" xfId="0" applyNumberFormat="1"/>
    <xf numFmtId="1" fontId="1" fillId="0" borderId="1" xfId="0" applyNumberFormat="1" applyFont="1" applyBorder="1" applyAlignment="1">
      <alignment horizontal="center" vertical="center"/>
    </xf>
    <xf numFmtId="0" fontId="1" fillId="0" borderId="5" xfId="0" applyFont="1" applyBorder="1" applyAlignment="1">
      <alignment horizontal="center" vertical="center"/>
    </xf>
    <xf numFmtId="1" fontId="1" fillId="0" borderId="0" xfId="0" applyNumberFormat="1" applyFont="1" applyAlignment="1">
      <alignment horizontal="center" vertical="center"/>
    </xf>
    <xf numFmtId="0" fontId="0" fillId="5" borderId="0" xfId="0" applyFill="1"/>
    <xf numFmtId="0" fontId="0" fillId="0" borderId="1" xfId="0" applyBorder="1" applyAlignment="1">
      <alignment horizontal="center"/>
    </xf>
    <xf numFmtId="0" fontId="8" fillId="0" borderId="1" xfId="0" applyFont="1" applyBorder="1" applyAlignment="1">
      <alignment horizontal="center" vertical="center"/>
    </xf>
    <xf numFmtId="1" fontId="1" fillId="0" borderId="1" xfId="0" applyNumberFormat="1" applyFont="1" applyBorder="1" applyAlignment="1">
      <alignment horizontal="center"/>
    </xf>
    <xf numFmtId="0" fontId="11" fillId="5"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8" fillId="0" borderId="0" xfId="0" applyFont="1"/>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8" fillId="0" borderId="9" xfId="0" applyFont="1" applyBorder="1" applyAlignment="1">
      <alignment horizontal="center"/>
    </xf>
    <xf numFmtId="0" fontId="8" fillId="0" borderId="9" xfId="0" applyFont="1" applyBorder="1" applyAlignment="1">
      <alignment horizontal="center" vertical="center"/>
    </xf>
    <xf numFmtId="0" fontId="8" fillId="0" borderId="1" xfId="0" applyFont="1" applyBorder="1" applyAlignment="1">
      <alignment horizontal="center"/>
    </xf>
    <xf numFmtId="1" fontId="8" fillId="0" borderId="0" xfId="0" applyNumberFormat="1" applyFont="1"/>
    <xf numFmtId="1" fontId="0" fillId="0" borderId="1" xfId="0" applyNumberFormat="1" applyBorder="1" applyAlignment="1">
      <alignment horizontal="center"/>
    </xf>
    <xf numFmtId="0" fontId="1" fillId="0" borderId="1" xfId="0" applyFont="1" applyBorder="1" applyAlignment="1">
      <alignment horizontal="center"/>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14" fillId="0" borderId="1" xfId="0" applyFont="1" applyBorder="1" applyAlignment="1">
      <alignment horizontal="center" vertical="center" wrapText="1"/>
    </xf>
    <xf numFmtId="43" fontId="14" fillId="0" borderId="1" xfId="3" applyFont="1" applyFill="1" applyBorder="1" applyAlignment="1">
      <alignment horizontal="center" vertical="center" wrapText="1"/>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1" fontId="18" fillId="0" borderId="1" xfId="0" applyNumberFormat="1" applyFont="1" applyBorder="1" applyAlignment="1">
      <alignment horizontal="center" vertical="center"/>
    </xf>
    <xf numFmtId="0" fontId="20" fillId="0" borderId="0" xfId="0" applyFont="1" applyAlignment="1">
      <alignment vertical="center"/>
    </xf>
    <xf numFmtId="0" fontId="22" fillId="5" borderId="20" xfId="0" applyFont="1" applyFill="1" applyBorder="1" applyAlignment="1">
      <alignment vertical="center"/>
    </xf>
    <xf numFmtId="0" fontId="20" fillId="5" borderId="6" xfId="0" applyFont="1" applyFill="1" applyBorder="1" applyAlignment="1" applyProtection="1">
      <alignment horizontal="left" vertical="center"/>
      <protection locked="0"/>
    </xf>
    <xf numFmtId="0" fontId="23" fillId="5" borderId="17" xfId="0" applyFont="1" applyFill="1" applyBorder="1" applyAlignment="1">
      <alignment horizontal="left" vertical="center"/>
    </xf>
    <xf numFmtId="14" fontId="23" fillId="5" borderId="21" xfId="0" applyNumberFormat="1" applyFont="1" applyFill="1" applyBorder="1" applyAlignment="1" applyProtection="1">
      <alignment horizontal="center" vertical="center"/>
      <protection locked="0"/>
    </xf>
    <xf numFmtId="0" fontId="20" fillId="0" borderId="0" xfId="3" applyNumberFormat="1" applyFont="1" applyFill="1" applyAlignment="1">
      <alignment horizontal="left" vertical="center"/>
    </xf>
    <xf numFmtId="0" fontId="24" fillId="5" borderId="22" xfId="0" applyFont="1" applyFill="1" applyBorder="1" applyAlignment="1" applyProtection="1">
      <alignment vertical="center"/>
      <protection locked="0"/>
    </xf>
    <xf numFmtId="0" fontId="20" fillId="5" borderId="23" xfId="0" applyFont="1" applyFill="1" applyBorder="1" applyAlignment="1">
      <alignment horizontal="left" vertical="center"/>
    </xf>
    <xf numFmtId="0" fontId="23" fillId="5" borderId="21" xfId="0" applyFont="1" applyFill="1" applyBorder="1" applyAlignment="1" applyProtection="1">
      <alignment horizontal="center" vertical="center"/>
      <protection locked="0"/>
    </xf>
    <xf numFmtId="0" fontId="26" fillId="0" borderId="0" xfId="4" applyFont="1" applyAlignment="1" applyProtection="1">
      <alignment horizontal="left" vertical="center"/>
    </xf>
    <xf numFmtId="0" fontId="23" fillId="5" borderId="22" xfId="0" applyFont="1" applyFill="1" applyBorder="1" applyAlignment="1" applyProtection="1">
      <alignment vertical="center"/>
      <protection locked="0"/>
    </xf>
    <xf numFmtId="0" fontId="27" fillId="0" borderId="0" xfId="0" applyFont="1" applyAlignment="1">
      <alignment vertical="center"/>
    </xf>
    <xf numFmtId="0" fontId="24" fillId="5" borderId="22" xfId="0" applyFont="1" applyFill="1" applyBorder="1" applyAlignment="1">
      <alignment vertical="center"/>
    </xf>
    <xf numFmtId="0" fontId="23" fillId="5" borderId="22" xfId="0" applyFont="1" applyFill="1" applyBorder="1" applyAlignment="1">
      <alignment vertical="center"/>
    </xf>
    <xf numFmtId="0" fontId="23" fillId="5" borderId="6" xfId="0" applyFont="1" applyFill="1" applyBorder="1" applyAlignment="1">
      <alignment horizontal="left" vertical="center"/>
    </xf>
    <xf numFmtId="0" fontId="23" fillId="5" borderId="24" xfId="0" quotePrefix="1" applyFont="1" applyFill="1" applyBorder="1" applyAlignment="1" applyProtection="1">
      <alignment horizontal="center" vertical="center"/>
      <protection locked="0"/>
    </xf>
    <xf numFmtId="0" fontId="28" fillId="0" borderId="0" xfId="0" applyFont="1" applyAlignment="1">
      <alignment vertical="center"/>
    </xf>
    <xf numFmtId="0" fontId="29" fillId="5" borderId="17" xfId="0" applyFont="1" applyFill="1" applyBorder="1" applyAlignment="1">
      <alignment horizontal="left" vertical="center"/>
    </xf>
    <xf numFmtId="0" fontId="23" fillId="5" borderId="21" xfId="0" quotePrefix="1" applyFont="1" applyFill="1" applyBorder="1" applyAlignment="1" applyProtection="1">
      <alignment horizontal="center" vertical="center"/>
      <protection locked="0"/>
    </xf>
    <xf numFmtId="0" fontId="30" fillId="0" borderId="0" xfId="0" applyFont="1" applyAlignment="1">
      <alignment vertical="center"/>
    </xf>
    <xf numFmtId="0" fontId="20" fillId="5" borderId="0" xfId="0" applyFont="1" applyFill="1" applyAlignment="1">
      <alignment horizontal="left" vertical="center"/>
    </xf>
    <xf numFmtId="0" fontId="20" fillId="5" borderId="25" xfId="0" applyFont="1" applyFill="1" applyBorder="1" applyAlignment="1">
      <alignment horizontal="left" vertical="center"/>
    </xf>
    <xf numFmtId="0" fontId="23" fillId="5" borderId="26" xfId="0" applyFont="1" applyFill="1" applyBorder="1" applyAlignment="1" applyProtection="1">
      <alignment vertical="center"/>
      <protection locked="0"/>
    </xf>
    <xf numFmtId="0" fontId="31" fillId="5" borderId="14" xfId="0" applyFont="1" applyFill="1" applyBorder="1" applyAlignment="1" applyProtection="1">
      <alignment horizontal="center" vertical="center"/>
      <protection locked="0"/>
    </xf>
    <xf numFmtId="0" fontId="9" fillId="5" borderId="27" xfId="0" applyFont="1" applyFill="1" applyBorder="1" applyAlignment="1" applyProtection="1">
      <alignment horizontal="center" vertical="center"/>
      <protection locked="0"/>
    </xf>
    <xf numFmtId="0" fontId="31" fillId="5" borderId="21" xfId="0" applyFont="1" applyFill="1" applyBorder="1" applyAlignment="1" applyProtection="1">
      <alignment horizontal="center" vertical="center"/>
      <protection locked="0"/>
    </xf>
    <xf numFmtId="0" fontId="31" fillId="5" borderId="16" xfId="0" applyFont="1" applyFill="1" applyBorder="1" applyAlignment="1" applyProtection="1">
      <alignment horizontal="center" vertical="center"/>
      <protection locked="0"/>
    </xf>
    <xf numFmtId="0" fontId="24" fillId="5" borderId="10" xfId="0" applyFont="1" applyFill="1" applyBorder="1" applyAlignment="1" applyProtection="1">
      <alignment horizontal="left" vertical="center"/>
      <protection locked="0"/>
    </xf>
    <xf numFmtId="0" fontId="32" fillId="5" borderId="9" xfId="0" applyFont="1" applyFill="1" applyBorder="1" applyAlignment="1">
      <alignment horizontal="center" vertical="center"/>
    </xf>
    <xf numFmtId="0" fontId="32" fillId="5" borderId="13" xfId="0" applyFont="1" applyFill="1" applyBorder="1" applyAlignment="1">
      <alignment horizontal="center" vertical="center"/>
    </xf>
    <xf numFmtId="0" fontId="33" fillId="5" borderId="28" xfId="0" applyFont="1" applyFill="1" applyBorder="1" applyAlignment="1">
      <alignment horizontal="left" vertical="center"/>
    </xf>
    <xf numFmtId="0" fontId="32" fillId="5" borderId="1" xfId="0" applyFont="1" applyFill="1" applyBorder="1" applyAlignment="1">
      <alignment horizontal="center" vertical="center"/>
    </xf>
    <xf numFmtId="0" fontId="32" fillId="5" borderId="29" xfId="0" applyFont="1" applyFill="1" applyBorder="1" applyAlignment="1">
      <alignment horizontal="center" vertical="center"/>
    </xf>
    <xf numFmtId="0" fontId="32" fillId="5" borderId="28" xfId="0" applyFont="1" applyFill="1" applyBorder="1" applyAlignment="1">
      <alignment horizontal="center" vertical="center"/>
    </xf>
    <xf numFmtId="164" fontId="32" fillId="5" borderId="1" xfId="3" quotePrefix="1" applyNumberFormat="1" applyFont="1" applyFill="1" applyBorder="1" applyAlignment="1">
      <alignment horizontal="center" vertical="center"/>
    </xf>
    <xf numFmtId="0" fontId="33" fillId="5" borderId="28" xfId="0" applyFont="1" applyFill="1" applyBorder="1" applyAlignment="1">
      <alignment horizontal="center" vertical="center"/>
    </xf>
    <xf numFmtId="0" fontId="32" fillId="5" borderId="30" xfId="0" applyFont="1" applyFill="1" applyBorder="1" applyAlignment="1">
      <alignment horizontal="center" vertical="center"/>
    </xf>
    <xf numFmtId="164" fontId="33" fillId="5" borderId="1" xfId="3" quotePrefix="1" applyNumberFormat="1" applyFont="1" applyFill="1" applyBorder="1" applyAlignment="1">
      <alignment horizontal="center" vertical="center"/>
    </xf>
    <xf numFmtId="1" fontId="20" fillId="0" borderId="0" xfId="0" applyNumberFormat="1" applyFont="1" applyAlignment="1">
      <alignment vertical="center"/>
    </xf>
    <xf numFmtId="0" fontId="32" fillId="5" borderId="30" xfId="0" applyFont="1" applyFill="1" applyBorder="1" applyAlignment="1" applyProtection="1">
      <alignment horizontal="center" vertical="center"/>
      <protection locked="0"/>
    </xf>
    <xf numFmtId="0" fontId="23" fillId="5" borderId="10" xfId="0" applyFont="1" applyFill="1" applyBorder="1" applyAlignment="1" applyProtection="1">
      <alignment horizontal="left" vertical="center"/>
      <protection locked="0"/>
    </xf>
    <xf numFmtId="0" fontId="23" fillId="5" borderId="1" xfId="0" applyFont="1" applyFill="1" applyBorder="1" applyAlignment="1" applyProtection="1">
      <alignment horizontal="center" vertical="center"/>
      <protection locked="0"/>
    </xf>
    <xf numFmtId="9" fontId="23" fillId="5" borderId="1" xfId="0" quotePrefix="1" applyNumberFormat="1" applyFont="1" applyFill="1" applyBorder="1" applyAlignment="1">
      <alignment horizontal="center" vertical="center"/>
    </xf>
    <xf numFmtId="0" fontId="24" fillId="5" borderId="31" xfId="0" applyFont="1" applyFill="1" applyBorder="1" applyAlignment="1" applyProtection="1">
      <alignment horizontal="right" vertical="center"/>
      <protection locked="0"/>
    </xf>
    <xf numFmtId="0" fontId="23" fillId="5" borderId="32" xfId="0" applyFont="1" applyFill="1" applyBorder="1" applyAlignment="1" applyProtection="1">
      <alignment horizontal="left" vertical="center"/>
      <protection locked="0"/>
    </xf>
    <xf numFmtId="165" fontId="20" fillId="0" borderId="0" xfId="0" applyNumberFormat="1" applyFont="1" applyAlignment="1">
      <alignment vertical="center"/>
    </xf>
    <xf numFmtId="0" fontId="4" fillId="5" borderId="23" xfId="0" applyFont="1" applyFill="1" applyBorder="1" applyAlignment="1" applyProtection="1">
      <alignment horizontal="left" vertical="top" wrapText="1"/>
      <protection locked="0"/>
    </xf>
    <xf numFmtId="0" fontId="4" fillId="5" borderId="0" xfId="0" applyFont="1" applyFill="1" applyAlignment="1" applyProtection="1">
      <alignment horizontal="left" vertical="top" wrapText="1"/>
      <protection locked="0"/>
    </xf>
    <xf numFmtId="0" fontId="4" fillId="5" borderId="25" xfId="0" applyFont="1" applyFill="1" applyBorder="1" applyAlignment="1" applyProtection="1">
      <alignment horizontal="left" vertical="top" wrapText="1"/>
      <protection locked="0"/>
    </xf>
    <xf numFmtId="0" fontId="20" fillId="0" borderId="0" xfId="0" applyFont="1"/>
    <xf numFmtId="0" fontId="34" fillId="5" borderId="23" xfId="0" applyFont="1" applyFill="1" applyBorder="1" applyAlignment="1">
      <alignment horizontal="left" vertical="top" wrapText="1"/>
    </xf>
    <xf numFmtId="0" fontId="23" fillId="0" borderId="0" xfId="0" applyFont="1" applyAlignment="1">
      <alignment vertical="center"/>
    </xf>
    <xf numFmtId="0" fontId="36" fillId="0" borderId="0" xfId="0" applyFont="1" applyAlignment="1">
      <alignment vertical="center"/>
    </xf>
    <xf numFmtId="0" fontId="20" fillId="5" borderId="0" xfId="0" applyFont="1" applyFill="1" applyAlignment="1">
      <alignment vertical="center"/>
    </xf>
    <xf numFmtId="0" fontId="20" fillId="5" borderId="25" xfId="0" applyFont="1" applyFill="1" applyBorder="1" applyAlignment="1">
      <alignment vertical="center"/>
    </xf>
    <xf numFmtId="0" fontId="23" fillId="5" borderId="23" xfId="0" applyFont="1" applyFill="1" applyBorder="1" applyAlignment="1">
      <alignment horizontal="left" vertical="center"/>
    </xf>
    <xf numFmtId="0" fontId="20" fillId="5" borderId="0" xfId="0" applyFont="1" applyFill="1" applyAlignment="1">
      <alignment horizontal="center" vertical="center"/>
    </xf>
    <xf numFmtId="0" fontId="20" fillId="5" borderId="23" xfId="0" applyFont="1" applyFill="1" applyBorder="1" applyAlignment="1">
      <alignment horizontal="center" vertical="center"/>
    </xf>
    <xf numFmtId="1" fontId="32" fillId="5" borderId="29" xfId="0" applyNumberFormat="1" applyFont="1" applyFill="1" applyBorder="1" applyAlignment="1">
      <alignment horizontal="center" vertical="center"/>
    </xf>
    <xf numFmtId="1" fontId="33" fillId="5" borderId="29" xfId="0" applyNumberFormat="1" applyFont="1" applyFill="1" applyBorder="1" applyAlignment="1">
      <alignment horizontal="center" vertical="center"/>
    </xf>
    <xf numFmtId="1" fontId="28" fillId="0" borderId="0" xfId="0" applyNumberFormat="1" applyFont="1" applyAlignment="1">
      <alignment vertical="center"/>
    </xf>
    <xf numFmtId="1" fontId="1" fillId="0" borderId="9" xfId="0" applyNumberFormat="1" applyFont="1" applyBorder="1" applyAlignment="1">
      <alignment horizontal="center"/>
    </xf>
    <xf numFmtId="1" fontId="0" fillId="0" borderId="1" xfId="0" quotePrefix="1" applyNumberFormat="1" applyBorder="1" applyAlignment="1">
      <alignment horizontal="center"/>
    </xf>
    <xf numFmtId="1" fontId="2" fillId="0" borderId="1" xfId="0" applyNumberFormat="1" applyFont="1" applyBorder="1" applyAlignment="1">
      <alignment horizontal="center" vertical="center"/>
    </xf>
    <xf numFmtId="0" fontId="0" fillId="0" borderId="1" xfId="0" quotePrefix="1" applyBorder="1" applyAlignment="1">
      <alignment horizontal="center"/>
    </xf>
    <xf numFmtId="0" fontId="6" fillId="2" borderId="1" xfId="0" applyFont="1" applyFill="1" applyBorder="1" applyAlignment="1">
      <alignment horizontal="center" vertical="center"/>
    </xf>
    <xf numFmtId="1" fontId="8" fillId="0" borderId="1" xfId="0" applyNumberFormat="1" applyFont="1" applyBorder="1" applyAlignment="1">
      <alignment horizontal="center" vertical="center"/>
    </xf>
    <xf numFmtId="1" fontId="8" fillId="0" borderId="1" xfId="0" quotePrefix="1"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0" xfId="0" applyFont="1" applyAlignment="1">
      <alignment horizontal="center" vertical="center"/>
    </xf>
    <xf numFmtId="0" fontId="37" fillId="0" borderId="1" xfId="0" applyFont="1" applyBorder="1" applyAlignment="1">
      <alignment horizontal="center" vertical="center"/>
    </xf>
    <xf numFmtId="1" fontId="37" fillId="0" borderId="1" xfId="0" applyNumberFormat="1" applyFont="1" applyBorder="1" applyAlignment="1">
      <alignment horizontal="center" vertical="center"/>
    </xf>
    <xf numFmtId="1" fontId="37" fillId="3" borderId="1" xfId="0" applyNumberFormat="1" applyFont="1" applyFill="1" applyBorder="1" applyAlignment="1">
      <alignment horizontal="center" vertical="center"/>
    </xf>
    <xf numFmtId="1" fontId="38" fillId="0" borderId="1" xfId="0" applyNumberFormat="1" applyFont="1" applyBorder="1" applyAlignment="1">
      <alignment horizontal="center" vertical="center"/>
    </xf>
    <xf numFmtId="0" fontId="37" fillId="5" borderId="1" xfId="0" applyFont="1" applyFill="1" applyBorder="1" applyAlignment="1">
      <alignment horizontal="center" vertical="center"/>
    </xf>
    <xf numFmtId="1" fontId="37" fillId="5" borderId="1" xfId="0" applyNumberFormat="1" applyFont="1" applyFill="1" applyBorder="1" applyAlignment="1">
      <alignment horizontal="center" vertical="center"/>
    </xf>
    <xf numFmtId="0" fontId="38" fillId="0" borderId="1" xfId="0" applyFont="1" applyBorder="1" applyAlignment="1">
      <alignment horizontal="center" vertical="center"/>
    </xf>
    <xf numFmtId="1" fontId="14" fillId="0" borderId="1" xfId="3" applyNumberFormat="1" applyFont="1" applyFill="1" applyBorder="1" applyAlignment="1">
      <alignment horizontal="center" vertical="center" wrapText="1"/>
    </xf>
    <xf numFmtId="9" fontId="0" fillId="0" borderId="0" xfId="0" applyNumberFormat="1"/>
    <xf numFmtId="0" fontId="37" fillId="0" borderId="9" xfId="0" applyFont="1" applyBorder="1" applyAlignment="1">
      <alignment horizontal="center" vertical="center"/>
    </xf>
    <xf numFmtId="1" fontId="37" fillId="0" borderId="9" xfId="0" applyNumberFormat="1" applyFont="1" applyBorder="1" applyAlignment="1">
      <alignment horizontal="center" vertical="center"/>
    </xf>
    <xf numFmtId="1" fontId="37" fillId="3" borderId="9" xfId="0" applyNumberFormat="1" applyFont="1" applyFill="1" applyBorder="1" applyAlignment="1">
      <alignment horizontal="center" vertical="center"/>
    </xf>
    <xf numFmtId="0" fontId="20" fillId="0" borderId="1" xfId="0" applyFont="1" applyBorder="1" applyAlignment="1">
      <alignment horizontal="center"/>
    </xf>
    <xf numFmtId="0" fontId="6" fillId="5" borderId="1" xfId="0" applyFont="1" applyFill="1" applyBorder="1" applyAlignment="1">
      <alignment horizontal="center" vertical="center"/>
    </xf>
    <xf numFmtId="1" fontId="37" fillId="13" borderId="1" xfId="0" applyNumberFormat="1" applyFont="1" applyFill="1" applyBorder="1" applyAlignment="1">
      <alignment horizontal="center" vertical="center"/>
    </xf>
    <xf numFmtId="0" fontId="9" fillId="0" borderId="9" xfId="0" applyFont="1" applyBorder="1" applyAlignment="1">
      <alignment horizontal="center"/>
    </xf>
    <xf numFmtId="0" fontId="8" fillId="0" borderId="1" xfId="0" applyFont="1" applyBorder="1"/>
    <xf numFmtId="0" fontId="9" fillId="0" borderId="0" xfId="0" applyFont="1" applyAlignment="1">
      <alignment horizontal="center"/>
    </xf>
    <xf numFmtId="0" fontId="0" fillId="5" borderId="1" xfId="0" applyFill="1" applyBorder="1" applyAlignment="1">
      <alignment horizontal="center" vertical="center"/>
    </xf>
    <xf numFmtId="0" fontId="6" fillId="5" borderId="0" xfId="0" applyFont="1" applyFill="1" applyAlignment="1">
      <alignment horizontal="center" vertical="center"/>
    </xf>
    <xf numFmtId="0" fontId="8" fillId="5" borderId="0" xfId="0" applyFont="1" applyFill="1" applyAlignment="1">
      <alignment horizontal="center"/>
    </xf>
    <xf numFmtId="0" fontId="8" fillId="5" borderId="0" xfId="0" quotePrefix="1" applyFont="1" applyFill="1" applyAlignment="1">
      <alignment horizontal="center" vertical="center"/>
    </xf>
    <xf numFmtId="0" fontId="8" fillId="5" borderId="0" xfId="0" applyFont="1" applyFill="1" applyAlignment="1">
      <alignment horizontal="center" vertical="center"/>
    </xf>
    <xf numFmtId="0" fontId="9" fillId="0" borderId="1" xfId="0" applyFont="1" applyBorder="1" applyAlignment="1">
      <alignment horizontal="center" vertical="center"/>
    </xf>
    <xf numFmtId="0" fontId="5" fillId="14" borderId="1" xfId="0" applyFont="1" applyFill="1" applyBorder="1" applyAlignment="1">
      <alignment horizontal="center" vertical="center"/>
    </xf>
    <xf numFmtId="0" fontId="8" fillId="5" borderId="1" xfId="0" applyFont="1" applyFill="1" applyBorder="1" applyAlignment="1">
      <alignment horizontal="center" vertical="center"/>
    </xf>
    <xf numFmtId="1" fontId="8" fillId="0" borderId="9" xfId="0" quotePrefix="1" applyNumberFormat="1" applyFont="1" applyBorder="1" applyAlignment="1">
      <alignment horizontal="center" vertical="center"/>
    </xf>
    <xf numFmtId="0" fontId="17" fillId="5" borderId="1" xfId="0" applyFont="1" applyFill="1" applyBorder="1" applyAlignment="1">
      <alignment horizontal="center"/>
    </xf>
    <xf numFmtId="0" fontId="9" fillId="5" borderId="1" xfId="0" applyFont="1" applyFill="1" applyBorder="1" applyAlignment="1">
      <alignment horizontal="center"/>
    </xf>
    <xf numFmtId="0" fontId="8" fillId="5" borderId="1" xfId="0" quotePrefix="1" applyFont="1" applyFill="1" applyBorder="1" applyAlignment="1">
      <alignment horizontal="center" vertical="center"/>
    </xf>
    <xf numFmtId="0" fontId="19"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6" fillId="5" borderId="9" xfId="0" applyFont="1" applyFill="1" applyBorder="1" applyAlignment="1">
      <alignment horizontal="center" vertical="center"/>
    </xf>
    <xf numFmtId="0" fontId="0" fillId="5" borderId="1" xfId="0" applyFill="1" applyBorder="1"/>
    <xf numFmtId="1" fontId="37" fillId="2" borderId="1" xfId="0" applyNumberFormat="1" applyFont="1" applyFill="1" applyBorder="1" applyAlignment="1">
      <alignment horizontal="center" vertical="center"/>
    </xf>
    <xf numFmtId="1" fontId="37" fillId="2" borderId="9" xfId="0" applyNumberFormat="1" applyFont="1" applyFill="1" applyBorder="1" applyAlignment="1">
      <alignment horizontal="center" vertical="center"/>
    </xf>
    <xf numFmtId="0" fontId="0" fillId="0" borderId="0" xfId="0" applyAlignment="1">
      <alignment horizontal="center" vertical="center"/>
    </xf>
    <xf numFmtId="1" fontId="0" fillId="0" borderId="1" xfId="0" applyNumberFormat="1" applyBorder="1" applyAlignment="1">
      <alignment horizontal="center" vertical="center"/>
    </xf>
    <xf numFmtId="1" fontId="0" fillId="5" borderId="1" xfId="0" applyNumberFormat="1" applyFill="1" applyBorder="1" applyAlignment="1">
      <alignment horizontal="center" vertical="center"/>
    </xf>
    <xf numFmtId="0" fontId="1" fillId="0" borderId="0" xfId="0" applyFont="1" applyAlignment="1">
      <alignment horizontal="center" vertical="center"/>
    </xf>
    <xf numFmtId="1" fontId="0" fillId="0" borderId="0" xfId="0" applyNumberFormat="1" applyAlignment="1">
      <alignment horizontal="center" vertical="center"/>
    </xf>
    <xf numFmtId="0" fontId="37" fillId="0" borderId="1" xfId="0" quotePrefix="1" applyFont="1" applyBorder="1" applyAlignment="1">
      <alignment horizontal="center" vertical="center"/>
    </xf>
    <xf numFmtId="2" fontId="17" fillId="0" borderId="1" xfId="0" quotePrefix="1" applyNumberFormat="1" applyFont="1" applyBorder="1" applyAlignment="1">
      <alignment horizontal="center"/>
    </xf>
    <xf numFmtId="1" fontId="8" fillId="5" borderId="1" xfId="0" quotePrefix="1" applyNumberFormat="1" applyFont="1" applyFill="1" applyBorder="1" applyAlignment="1">
      <alignment horizontal="center" vertical="center"/>
    </xf>
    <xf numFmtId="0" fontId="18" fillId="5" borderId="1" xfId="0" applyFont="1" applyFill="1" applyBorder="1" applyAlignment="1">
      <alignment horizontal="center" vertical="center"/>
    </xf>
    <xf numFmtId="0" fontId="17" fillId="5" borderId="1" xfId="0" applyFont="1" applyFill="1" applyBorder="1" applyAlignment="1">
      <alignment horizontal="center" vertical="center"/>
    </xf>
    <xf numFmtId="1" fontId="17" fillId="5" borderId="1" xfId="0" applyNumberFormat="1" applyFont="1" applyFill="1" applyBorder="1" applyAlignment="1">
      <alignment horizontal="center" vertical="center"/>
    </xf>
    <xf numFmtId="0" fontId="33" fillId="5" borderId="10" xfId="0" applyFont="1" applyFill="1" applyBorder="1" applyAlignment="1">
      <alignment horizontal="center" vertical="center"/>
    </xf>
    <xf numFmtId="165" fontId="33" fillId="5" borderId="9" xfId="3" quotePrefix="1" applyNumberFormat="1" applyFont="1" applyFill="1" applyBorder="1" applyAlignment="1">
      <alignment horizontal="center" vertical="center"/>
    </xf>
    <xf numFmtId="1" fontId="33" fillId="5" borderId="13" xfId="0" applyNumberFormat="1" applyFont="1" applyFill="1" applyBorder="1" applyAlignment="1">
      <alignment horizontal="center" vertical="center"/>
    </xf>
    <xf numFmtId="1" fontId="32" fillId="5" borderId="1" xfId="0" applyNumberFormat="1" applyFont="1" applyFill="1" applyBorder="1" applyAlignment="1">
      <alignment horizontal="center" vertical="center"/>
    </xf>
    <xf numFmtId="0" fontId="20" fillId="0" borderId="1" xfId="0" applyFont="1" applyBorder="1" applyAlignment="1">
      <alignment vertical="center"/>
    </xf>
    <xf numFmtId="0" fontId="16" fillId="0" borderId="9" xfId="0" applyFont="1" applyBorder="1" applyAlignment="1">
      <alignment horizontal="center" vertical="center"/>
    </xf>
    <xf numFmtId="0" fontId="9" fillId="2" borderId="14"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0" borderId="0" xfId="0" applyFont="1"/>
    <xf numFmtId="0" fontId="9" fillId="0" borderId="0" xfId="0" applyFont="1" applyAlignment="1">
      <alignment horizontal="center" vertical="center"/>
    </xf>
    <xf numFmtId="0" fontId="11" fillId="0" borderId="1" xfId="0" applyFont="1" applyBorder="1" applyAlignment="1">
      <alignment horizontal="center" vertical="center" wrapText="1"/>
    </xf>
    <xf numFmtId="0" fontId="38" fillId="5" borderId="1" xfId="0" applyFont="1" applyFill="1" applyBorder="1" applyAlignment="1">
      <alignment horizontal="center" vertical="center"/>
    </xf>
    <xf numFmtId="0" fontId="38" fillId="2" borderId="47" xfId="0" applyFont="1" applyFill="1" applyBorder="1" applyAlignment="1">
      <alignment horizontal="center" vertical="center"/>
    </xf>
    <xf numFmtId="0" fontId="38" fillId="2" borderId="1" xfId="0" applyFont="1" applyFill="1" applyBorder="1" applyAlignment="1">
      <alignment horizontal="center" vertical="center"/>
    </xf>
    <xf numFmtId="0" fontId="37" fillId="0" borderId="0" xfId="0" applyFont="1" applyAlignment="1">
      <alignment horizontal="center" vertical="center"/>
    </xf>
    <xf numFmtId="1" fontId="0" fillId="5" borderId="0" xfId="0" applyNumberFormat="1" applyFill="1" applyAlignment="1">
      <alignment horizontal="center" vertical="center"/>
    </xf>
    <xf numFmtId="1" fontId="4" fillId="2" borderId="1" xfId="0" applyNumberFormat="1" applyFont="1" applyFill="1" applyBorder="1" applyAlignment="1">
      <alignment horizontal="center" vertical="center" wrapText="1"/>
    </xf>
    <xf numFmtId="1" fontId="0" fillId="5" borderId="2" xfId="0" applyNumberFormat="1" applyFill="1" applyBorder="1" applyAlignment="1">
      <alignment horizontal="center" vertical="center"/>
    </xf>
    <xf numFmtId="1" fontId="0" fillId="0" borderId="2" xfId="0" applyNumberFormat="1" applyBorder="1" applyAlignment="1">
      <alignment horizontal="center" vertical="center"/>
    </xf>
    <xf numFmtId="1" fontId="11" fillId="2" borderId="1" xfId="0" applyNumberFormat="1"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 fontId="4" fillId="3" borderId="1" xfId="0" applyNumberFormat="1"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1" fontId="1" fillId="5" borderId="9" xfId="0" applyNumberFormat="1" applyFont="1" applyFill="1" applyBorder="1" applyAlignment="1">
      <alignment horizontal="center" vertical="center" wrapText="1"/>
    </xf>
    <xf numFmtId="1" fontId="1" fillId="0" borderId="1" xfId="0" applyNumberFormat="1" applyFont="1" applyBorder="1" applyAlignment="1">
      <alignment horizontal="center" vertical="center" wrapText="1"/>
    </xf>
    <xf numFmtId="0" fontId="0" fillId="0" borderId="0" xfId="0" applyAlignment="1">
      <alignment horizontal="center"/>
    </xf>
    <xf numFmtId="0" fontId="0" fillId="5" borderId="0" xfId="0" applyFill="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 fontId="1" fillId="5" borderId="0" xfId="0" applyNumberFormat="1" applyFont="1" applyFill="1" applyAlignment="1">
      <alignment horizontal="center" vertical="center"/>
    </xf>
    <xf numFmtId="0" fontId="39" fillId="0" borderId="0" xfId="0" applyFont="1" applyAlignment="1">
      <alignment horizontal="center" vertical="center"/>
    </xf>
    <xf numFmtId="0" fontId="39" fillId="7" borderId="1" xfId="0" applyFont="1" applyFill="1" applyBorder="1" applyAlignment="1">
      <alignment horizontal="center" vertical="center"/>
    </xf>
    <xf numFmtId="0" fontId="39" fillId="11"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2" fillId="5" borderId="1" xfId="0" applyFont="1" applyFill="1" applyBorder="1" applyAlignment="1">
      <alignment horizontal="center" vertical="center" wrapText="1"/>
    </xf>
    <xf numFmtId="43" fontId="2" fillId="0" borderId="1" xfId="3" applyFont="1" applyBorder="1" applyAlignment="1">
      <alignment horizontal="center" vertical="center"/>
    </xf>
    <xf numFmtId="0" fontId="2" fillId="5" borderId="12" xfId="0" applyFont="1" applyFill="1" applyBorder="1" applyAlignment="1">
      <alignment horizontal="center" vertical="center"/>
    </xf>
    <xf numFmtId="0" fontId="2" fillId="5" borderId="9" xfId="0" applyFont="1" applyFill="1" applyBorder="1" applyAlignment="1">
      <alignment horizontal="center" vertical="center"/>
    </xf>
    <xf numFmtId="43" fontId="2" fillId="0" borderId="30" xfId="3" applyFont="1" applyBorder="1" applyAlignment="1">
      <alignment horizontal="center" vertical="center"/>
    </xf>
    <xf numFmtId="43" fontId="2" fillId="0" borderId="1" xfId="3" applyFont="1" applyFill="1" applyBorder="1" applyAlignment="1">
      <alignment horizontal="center" vertical="center"/>
    </xf>
    <xf numFmtId="0" fontId="2" fillId="7"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5" borderId="28" xfId="0" applyFont="1" applyFill="1" applyBorder="1" applyAlignment="1">
      <alignment horizontal="center" vertical="center"/>
    </xf>
    <xf numFmtId="0" fontId="2" fillId="5" borderId="3" xfId="0" applyFont="1" applyFill="1" applyBorder="1" applyAlignment="1">
      <alignment horizontal="center" vertical="center"/>
    </xf>
    <xf numFmtId="0" fontId="2" fillId="9" borderId="1" xfId="0" applyFont="1" applyFill="1" applyBorder="1" applyAlignment="1">
      <alignment horizontal="center" vertical="center"/>
    </xf>
    <xf numFmtId="0" fontId="2" fillId="11" borderId="13" xfId="0" applyFont="1" applyFill="1" applyBorder="1" applyAlignment="1">
      <alignment horizontal="center" vertical="center"/>
    </xf>
    <xf numFmtId="0" fontId="2" fillId="5" borderId="31" xfId="0" applyFont="1" applyFill="1" applyBorder="1" applyAlignment="1">
      <alignment horizontal="center" vertical="center"/>
    </xf>
    <xf numFmtId="0" fontId="2" fillId="0" borderId="7" xfId="0" applyFont="1" applyBorder="1" applyAlignment="1">
      <alignment horizontal="center" vertical="center"/>
    </xf>
    <xf numFmtId="0" fontId="38" fillId="5" borderId="47" xfId="0" applyFont="1" applyFill="1" applyBorder="1" applyAlignment="1">
      <alignment horizontal="center" vertical="center"/>
    </xf>
    <xf numFmtId="0" fontId="6" fillId="5" borderId="4" xfId="0" applyFont="1" applyFill="1" applyBorder="1" applyAlignment="1">
      <alignment horizontal="center" vertical="center"/>
    </xf>
    <xf numFmtId="1" fontId="6" fillId="5" borderId="1" xfId="0" applyNumberFormat="1" applyFont="1" applyFill="1" applyBorder="1" applyAlignment="1">
      <alignment horizontal="center" vertical="center"/>
    </xf>
    <xf numFmtId="0" fontId="0" fillId="5" borderId="1" xfId="0" applyFill="1" applyBorder="1" applyAlignment="1">
      <alignment horizontal="center"/>
    </xf>
    <xf numFmtId="0" fontId="6" fillId="2" borderId="47" xfId="0" applyFont="1" applyFill="1" applyBorder="1" applyAlignment="1">
      <alignment horizontal="center" vertical="center"/>
    </xf>
    <xf numFmtId="0" fontId="37" fillId="5" borderId="47" xfId="0" applyFont="1" applyFill="1" applyBorder="1" applyAlignment="1">
      <alignment horizontal="center" vertical="center"/>
    </xf>
    <xf numFmtId="0" fontId="6" fillId="5" borderId="2" xfId="0" applyFont="1" applyFill="1" applyBorder="1" applyAlignment="1">
      <alignment horizontal="center" vertical="center"/>
    </xf>
    <xf numFmtId="1" fontId="19" fillId="5" borderId="2"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0" fillId="5" borderId="2" xfId="0" applyFill="1" applyBorder="1" applyAlignment="1">
      <alignment horizontal="center"/>
    </xf>
    <xf numFmtId="0" fontId="9" fillId="12" borderId="14" xfId="0" applyFont="1" applyFill="1" applyBorder="1" applyAlignment="1">
      <alignment horizontal="center"/>
    </xf>
    <xf numFmtId="0" fontId="9" fillId="12" borderId="15" xfId="0" applyFont="1" applyFill="1" applyBorder="1" applyAlignment="1">
      <alignment horizontal="center"/>
    </xf>
    <xf numFmtId="0" fontId="9" fillId="12" borderId="16" xfId="0" applyFont="1" applyFill="1" applyBorder="1" applyAlignment="1">
      <alignment horizontal="center"/>
    </xf>
    <xf numFmtId="0" fontId="22" fillId="5" borderId="33" xfId="0" applyFont="1" applyFill="1" applyBorder="1" applyAlignment="1">
      <alignment horizontal="center" vertical="center"/>
    </xf>
    <xf numFmtId="0" fontId="22" fillId="5" borderId="34" xfId="0" applyFont="1" applyFill="1" applyBorder="1" applyAlignment="1">
      <alignment horizontal="center" vertical="center"/>
    </xf>
    <xf numFmtId="0" fontId="24" fillId="5" borderId="35" xfId="0" applyFont="1" applyFill="1" applyBorder="1" applyAlignment="1">
      <alignment horizontal="center"/>
    </xf>
    <xf numFmtId="0" fontId="24" fillId="5" borderId="36" xfId="0" applyFont="1" applyFill="1" applyBorder="1" applyAlignment="1">
      <alignment horizontal="center"/>
    </xf>
    <xf numFmtId="0" fontId="24" fillId="5" borderId="37" xfId="0" applyFont="1" applyFill="1" applyBorder="1" applyAlignment="1">
      <alignment horizontal="center"/>
    </xf>
    <xf numFmtId="0" fontId="21" fillId="5" borderId="17" xfId="0" applyFont="1" applyFill="1" applyBorder="1" applyAlignment="1" applyProtection="1">
      <alignment horizontal="center" vertical="center"/>
      <protection locked="0"/>
    </xf>
    <xf numFmtId="0" fontId="21" fillId="5" borderId="18" xfId="0" applyFont="1" applyFill="1" applyBorder="1" applyAlignment="1" applyProtection="1">
      <alignment horizontal="center" vertical="center"/>
      <protection locked="0"/>
    </xf>
    <xf numFmtId="0" fontId="21" fillId="5" borderId="19" xfId="0" applyFont="1" applyFill="1" applyBorder="1" applyAlignment="1" applyProtection="1">
      <alignment horizontal="center" vertical="center"/>
      <protection locked="0"/>
    </xf>
    <xf numFmtId="0" fontId="24" fillId="5" borderId="17" xfId="0" applyFont="1" applyFill="1" applyBorder="1" applyAlignment="1" applyProtection="1">
      <alignment horizontal="left" vertical="center" wrapText="1"/>
      <protection locked="0"/>
    </xf>
    <xf numFmtId="0" fontId="24" fillId="5" borderId="18" xfId="0" applyFont="1" applyFill="1" applyBorder="1" applyAlignment="1" applyProtection="1">
      <alignment horizontal="left" vertical="center" wrapText="1"/>
      <protection locked="0"/>
    </xf>
    <xf numFmtId="0" fontId="24" fillId="5" borderId="19" xfId="0" applyFont="1" applyFill="1" applyBorder="1" applyAlignment="1" applyProtection="1">
      <alignment horizontal="left" vertical="center" wrapText="1"/>
      <protection locked="0"/>
    </xf>
    <xf numFmtId="0" fontId="4" fillId="5" borderId="17" xfId="0" applyFont="1" applyFill="1" applyBorder="1" applyAlignment="1" applyProtection="1">
      <alignment horizontal="left" vertical="center" wrapText="1"/>
      <protection locked="0"/>
    </xf>
    <xf numFmtId="0" fontId="4" fillId="5" borderId="18" xfId="0" applyFont="1" applyFill="1" applyBorder="1" applyAlignment="1" applyProtection="1">
      <alignment horizontal="left" vertical="center" wrapText="1"/>
      <protection locked="0"/>
    </xf>
    <xf numFmtId="0" fontId="4" fillId="5" borderId="19" xfId="0" applyFont="1" applyFill="1" applyBorder="1" applyAlignment="1" applyProtection="1">
      <alignment horizontal="left" vertical="center" wrapText="1"/>
      <protection locked="0"/>
    </xf>
    <xf numFmtId="0" fontId="22" fillId="5" borderId="0" xfId="0" applyFont="1" applyFill="1" applyAlignment="1">
      <alignment horizontal="center" vertical="center"/>
    </xf>
    <xf numFmtId="0" fontId="22" fillId="5" borderId="25" xfId="0" applyFont="1" applyFill="1" applyBorder="1" applyAlignment="1">
      <alignment horizontal="center" vertical="center"/>
    </xf>
    <xf numFmtId="0" fontId="23" fillId="5" borderId="23" xfId="0" applyFont="1" applyFill="1" applyBorder="1" applyAlignment="1">
      <alignment horizontal="left" vertical="center" wrapText="1"/>
    </xf>
    <xf numFmtId="0" fontId="23" fillId="5" borderId="0" xfId="0" applyFont="1" applyFill="1" applyAlignment="1">
      <alignment horizontal="left" vertical="center" wrapText="1"/>
    </xf>
    <xf numFmtId="0" fontId="2" fillId="11" borderId="12" xfId="0" applyFont="1" applyFill="1" applyBorder="1" applyAlignment="1">
      <alignment horizontal="center" vertical="center"/>
    </xf>
    <xf numFmtId="0" fontId="2" fillId="11" borderId="9" xfId="0" applyFont="1" applyFill="1" applyBorder="1" applyAlignment="1">
      <alignment horizontal="center" vertical="center"/>
    </xf>
    <xf numFmtId="0" fontId="2" fillId="11" borderId="12"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5" borderId="12" xfId="0" applyFont="1" applyFill="1" applyBorder="1" applyAlignment="1">
      <alignment horizontal="center" vertical="center"/>
    </xf>
    <xf numFmtId="0" fontId="2" fillId="5" borderId="9" xfId="0" applyFont="1" applyFill="1" applyBorder="1" applyAlignment="1">
      <alignment horizontal="center" vertical="center"/>
    </xf>
    <xf numFmtId="0" fontId="2" fillId="0" borderId="12" xfId="0" applyFont="1" applyBorder="1" applyAlignment="1">
      <alignment horizontal="center" vertical="center"/>
    </xf>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47" xfId="0" applyFont="1" applyFill="1" applyBorder="1" applyAlignment="1">
      <alignment horizontal="center" vertical="center"/>
    </xf>
    <xf numFmtId="0" fontId="2" fillId="2" borderId="43"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0" xfId="0" applyFont="1" applyFill="1" applyBorder="1" applyAlignment="1">
      <alignment horizontal="center" vertical="center"/>
    </xf>
    <xf numFmtId="0" fontId="2" fillId="0" borderId="47" xfId="0" applyFont="1" applyBorder="1" applyAlignment="1">
      <alignment horizontal="center" vertical="center"/>
    </xf>
    <xf numFmtId="0" fontId="2" fillId="0" borderId="43" xfId="0" applyFont="1" applyBorder="1" applyAlignment="1">
      <alignment horizontal="center" vertical="center"/>
    </xf>
    <xf numFmtId="0" fontId="2" fillId="0" borderId="38" xfId="0" applyFont="1" applyBorder="1" applyAlignment="1">
      <alignment horizontal="center" vertical="center"/>
    </xf>
    <xf numFmtId="0" fontId="2" fillId="0" borderId="33" xfId="0" applyFont="1" applyBorder="1" applyAlignment="1">
      <alignment horizontal="center" vertical="center"/>
    </xf>
    <xf numFmtId="0" fontId="2" fillId="0" borderId="1" xfId="0" applyFont="1" applyBorder="1" applyAlignment="1">
      <alignment horizontal="center" vertical="center"/>
    </xf>
    <xf numFmtId="43" fontId="2" fillId="2" borderId="12" xfId="3" applyFont="1" applyFill="1" applyBorder="1" applyAlignment="1">
      <alignment horizontal="center" vertical="center" wrapText="1"/>
    </xf>
    <xf numFmtId="43" fontId="2" fillId="2" borderId="9" xfId="3" applyFont="1" applyFill="1" applyBorder="1" applyAlignment="1">
      <alignment horizontal="center" vertical="center" wrapText="1"/>
    </xf>
    <xf numFmtId="0" fontId="39" fillId="10" borderId="11" xfId="0" applyFont="1" applyFill="1" applyBorder="1" applyAlignment="1">
      <alignment horizontal="center" vertical="center"/>
    </xf>
    <xf numFmtId="0" fontId="39" fillId="10" borderId="10" xfId="0" applyFont="1" applyFill="1" applyBorder="1" applyAlignment="1">
      <alignment horizontal="center" vertical="center"/>
    </xf>
    <xf numFmtId="0" fontId="39" fillId="11" borderId="12" xfId="0" applyFont="1" applyFill="1" applyBorder="1" applyAlignment="1">
      <alignment horizontal="center" vertical="center" wrapText="1"/>
    </xf>
    <xf numFmtId="0" fontId="39" fillId="11" borderId="9" xfId="0" applyFont="1" applyFill="1" applyBorder="1" applyAlignment="1">
      <alignment horizontal="center" vertical="center" wrapText="1"/>
    </xf>
    <xf numFmtId="0" fontId="39" fillId="10" borderId="12" xfId="0" applyFont="1" applyFill="1" applyBorder="1" applyAlignment="1">
      <alignment horizontal="center" vertical="center"/>
    </xf>
    <xf numFmtId="0" fontId="39" fillId="10" borderId="9" xfId="0" applyFont="1" applyFill="1" applyBorder="1" applyAlignment="1">
      <alignment horizontal="center" vertical="center"/>
    </xf>
    <xf numFmtId="0" fontId="40" fillId="10" borderId="12" xfId="0" applyFont="1" applyFill="1" applyBorder="1" applyAlignment="1">
      <alignment horizontal="center" vertical="center"/>
    </xf>
    <xf numFmtId="0" fontId="40" fillId="10" borderId="9" xfId="0" applyFont="1" applyFill="1" applyBorder="1" applyAlignment="1">
      <alignment horizontal="center" vertical="center"/>
    </xf>
    <xf numFmtId="0" fontId="2" fillId="10" borderId="11" xfId="0" applyFont="1" applyFill="1" applyBorder="1" applyAlignment="1">
      <alignment horizontal="center" vertical="center"/>
    </xf>
    <xf numFmtId="0" fontId="2" fillId="10" borderId="10" xfId="0" applyFont="1" applyFill="1" applyBorder="1" applyAlignment="1">
      <alignment horizontal="center" vertical="center"/>
    </xf>
    <xf numFmtId="0" fontId="41" fillId="10" borderId="12" xfId="0" applyFont="1" applyFill="1" applyBorder="1" applyAlignment="1">
      <alignment horizontal="center" vertical="center"/>
    </xf>
    <xf numFmtId="0" fontId="41" fillId="10" borderId="9"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12"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5" borderId="8" xfId="0" applyFont="1" applyFill="1" applyBorder="1" applyAlignment="1">
      <alignment horizontal="center" vertical="center"/>
    </xf>
    <xf numFmtId="0" fontId="39" fillId="0" borderId="39" xfId="0" applyFont="1" applyBorder="1" applyAlignment="1">
      <alignment horizontal="center" vertical="center"/>
    </xf>
    <xf numFmtId="0" fontId="39" fillId="0" borderId="40" xfId="0" applyFont="1" applyBorder="1" applyAlignment="1">
      <alignment horizontal="center" vertical="center"/>
    </xf>
    <xf numFmtId="0" fontId="39" fillId="0" borderId="41" xfId="0" applyFont="1" applyBorder="1" applyAlignment="1">
      <alignment horizontal="center" vertical="center"/>
    </xf>
    <xf numFmtId="0" fontId="39" fillId="11" borderId="42" xfId="0" applyFont="1" applyFill="1" applyBorder="1" applyAlignment="1">
      <alignment horizontal="center" vertical="center" wrapText="1"/>
    </xf>
    <xf numFmtId="0" fontId="39" fillId="11" borderId="13"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39" fillId="10" borderId="12" xfId="0" applyFont="1" applyFill="1" applyBorder="1" applyAlignment="1">
      <alignment horizontal="center" vertical="center" wrapText="1"/>
    </xf>
    <xf numFmtId="0" fontId="39" fillId="10" borderId="9" xfId="0" applyFont="1" applyFill="1" applyBorder="1" applyAlignment="1">
      <alignment horizontal="center" vertical="center" wrapText="1"/>
    </xf>
    <xf numFmtId="0" fontId="41" fillId="0" borderId="12" xfId="0" applyFont="1" applyBorder="1" applyAlignment="1">
      <alignment horizontal="center" vertical="center"/>
    </xf>
    <xf numFmtId="0" fontId="41" fillId="0" borderId="9"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38" xfId="0" applyFont="1" applyFill="1" applyBorder="1" applyAlignment="1">
      <alignment horizontal="center" vertical="center"/>
    </xf>
    <xf numFmtId="0" fontId="2" fillId="2" borderId="48" xfId="0" applyFont="1" applyFill="1" applyBorder="1" applyAlignment="1">
      <alignment horizontal="center" vertical="center"/>
    </xf>
    <xf numFmtId="0" fontId="2" fillId="2" borderId="33" xfId="0" applyFont="1" applyFill="1" applyBorder="1" applyAlignment="1">
      <alignment horizontal="center" vertical="center"/>
    </xf>
    <xf numFmtId="0" fontId="2" fillId="2" borderId="30" xfId="0" applyFont="1" applyFill="1" applyBorder="1" applyAlignment="1">
      <alignment horizontal="center" vertical="center"/>
    </xf>
    <xf numFmtId="43" fontId="2" fillId="2" borderId="47" xfId="3" applyFont="1" applyFill="1" applyBorder="1" applyAlignment="1">
      <alignment horizontal="center" vertical="center"/>
    </xf>
    <xf numFmtId="43" fontId="2" fillId="2" borderId="38" xfId="3" applyFont="1" applyFill="1" applyBorder="1" applyAlignment="1">
      <alignment horizontal="center" vertical="center"/>
    </xf>
    <xf numFmtId="43" fontId="2" fillId="2" borderId="48" xfId="3" applyFont="1" applyFill="1" applyBorder="1" applyAlignment="1">
      <alignment horizontal="center" vertical="center"/>
    </xf>
    <xf numFmtId="43" fontId="2" fillId="2" borderId="43" xfId="3" applyFont="1" applyFill="1" applyBorder="1" applyAlignment="1">
      <alignment horizontal="center" vertical="center"/>
    </xf>
    <xf numFmtId="43" fontId="2" fillId="2" borderId="33" xfId="3" applyFont="1" applyFill="1" applyBorder="1" applyAlignment="1">
      <alignment horizontal="center" vertical="center"/>
    </xf>
    <xf numFmtId="43" fontId="2" fillId="2" borderId="30" xfId="3" applyFont="1" applyFill="1" applyBorder="1" applyAlignment="1">
      <alignment horizontal="center" vertical="center"/>
    </xf>
    <xf numFmtId="0" fontId="2" fillId="0" borderId="48" xfId="0" applyFont="1" applyBorder="1" applyAlignment="1">
      <alignment horizontal="center" vertical="center"/>
    </xf>
    <xf numFmtId="0" fontId="2" fillId="0" borderId="30"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3" fontId="2" fillId="0" borderId="47" xfId="3" applyFont="1" applyBorder="1" applyAlignment="1">
      <alignment horizontal="center" vertical="center"/>
    </xf>
    <xf numFmtId="43" fontId="2" fillId="0" borderId="38" xfId="3" applyFont="1" applyBorder="1" applyAlignment="1">
      <alignment horizontal="center" vertical="center"/>
    </xf>
    <xf numFmtId="43" fontId="2" fillId="0" borderId="48" xfId="3" applyFont="1" applyBorder="1" applyAlignment="1">
      <alignment horizontal="center" vertical="center"/>
    </xf>
    <xf numFmtId="43" fontId="2" fillId="0" borderId="43" xfId="3" applyFont="1" applyBorder="1" applyAlignment="1">
      <alignment horizontal="center" vertical="center"/>
    </xf>
    <xf numFmtId="43" fontId="2" fillId="0" borderId="33" xfId="3" applyFont="1" applyBorder="1" applyAlignment="1">
      <alignment horizontal="center" vertical="center"/>
    </xf>
    <xf numFmtId="43" fontId="2" fillId="0" borderId="30" xfId="3" applyFont="1" applyBorder="1" applyAlignment="1">
      <alignment horizontal="center" vertical="center"/>
    </xf>
    <xf numFmtId="0" fontId="2" fillId="11" borderId="42" xfId="0" applyFont="1" applyFill="1" applyBorder="1" applyAlignment="1">
      <alignment horizontal="center" vertical="center" wrapText="1"/>
    </xf>
    <xf numFmtId="0" fontId="2" fillId="11" borderId="13" xfId="0" applyFont="1" applyFill="1" applyBorder="1" applyAlignment="1">
      <alignment horizontal="center" vertical="center" wrapText="1"/>
    </xf>
    <xf numFmtId="43" fontId="2" fillId="0" borderId="2" xfId="3" applyFont="1" applyBorder="1" applyAlignment="1">
      <alignment horizontal="center" vertical="center"/>
    </xf>
    <xf numFmtId="43" fontId="2" fillId="0" borderId="3" xfId="3" applyFont="1" applyBorder="1" applyAlignment="1">
      <alignment horizontal="center" vertical="center"/>
    </xf>
    <xf numFmtId="43" fontId="2" fillId="0" borderId="4" xfId="3" applyFont="1" applyBorder="1" applyAlignment="1">
      <alignment horizontal="center" vertical="center"/>
    </xf>
    <xf numFmtId="0" fontId="2" fillId="0" borderId="8" xfId="0" applyFont="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4" xfId="0" applyFont="1" applyFill="1" applyBorder="1" applyAlignment="1">
      <alignment horizontal="center" vertical="center"/>
    </xf>
    <xf numFmtId="0" fontId="2" fillId="0" borderId="44" xfId="0" applyFont="1" applyBorder="1" applyAlignment="1">
      <alignment horizontal="center" vertical="center"/>
    </xf>
    <xf numFmtId="0" fontId="2" fillId="0" borderId="36" xfId="0" applyFont="1" applyBorder="1" applyAlignment="1">
      <alignment horizontal="center" vertical="center"/>
    </xf>
    <xf numFmtId="0" fontId="2" fillId="0" borderId="45" xfId="0" applyFont="1" applyBorder="1" applyAlignment="1">
      <alignment horizontal="center" vertical="center"/>
    </xf>
    <xf numFmtId="0" fontId="2" fillId="0" borderId="7" xfId="0" applyFont="1" applyBorder="1" applyAlignment="1">
      <alignment horizontal="center" vertical="center"/>
    </xf>
    <xf numFmtId="0" fontId="2" fillId="0" borderId="46" xfId="0" applyFont="1" applyBorder="1" applyAlignment="1">
      <alignment horizontal="center" vertical="center"/>
    </xf>
    <xf numFmtId="0" fontId="2" fillId="5" borderId="12" xfId="0" applyFont="1" applyFill="1" applyBorder="1" applyAlignment="1">
      <alignment horizontal="center" vertical="center" wrapText="1"/>
    </xf>
    <xf numFmtId="0" fontId="2" fillId="5" borderId="9" xfId="0" applyFont="1" applyFill="1" applyBorder="1" applyAlignment="1">
      <alignment horizontal="center" vertical="center" wrapText="1"/>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1" fontId="1" fillId="0" borderId="4" xfId="0" applyNumberFormat="1" applyFont="1" applyBorder="1" applyAlignment="1">
      <alignment horizontal="center" vertical="center"/>
    </xf>
    <xf numFmtId="1" fontId="2" fillId="2" borderId="2" xfId="0" applyNumberFormat="1" applyFont="1" applyFill="1" applyBorder="1" applyAlignment="1">
      <alignment horizontal="center" vertical="center"/>
    </xf>
    <xf numFmtId="1" fontId="2" fillId="2" borderId="3" xfId="0" applyNumberFormat="1" applyFont="1" applyFill="1" applyBorder="1" applyAlignment="1">
      <alignment horizontal="center" vertical="center"/>
    </xf>
    <xf numFmtId="1" fontId="2" fillId="2" borderId="4" xfId="0" applyNumberFormat="1" applyFont="1" applyFill="1" applyBorder="1" applyAlignment="1">
      <alignment horizontal="center" vertical="center"/>
    </xf>
    <xf numFmtId="1" fontId="1" fillId="4" borderId="1" xfId="0" applyNumberFormat="1" applyFont="1" applyFill="1" applyBorder="1" applyAlignment="1">
      <alignment horizontal="center" vertic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1" fontId="2" fillId="3" borderId="2" xfId="0" applyNumberFormat="1" applyFont="1" applyFill="1" applyBorder="1" applyAlignment="1">
      <alignment horizontal="center" vertical="center"/>
    </xf>
    <xf numFmtId="1" fontId="2" fillId="3" borderId="3" xfId="0" applyNumberFormat="1" applyFont="1" applyFill="1" applyBorder="1" applyAlignment="1">
      <alignment horizontal="center" vertical="center"/>
    </xf>
    <xf numFmtId="1" fontId="2" fillId="3" borderId="4" xfId="0" applyNumberFormat="1" applyFont="1" applyFill="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1" fontId="0" fillId="0" borderId="4" xfId="0" applyNumberFormat="1" applyBorder="1" applyAlignment="1">
      <alignment horizontal="center" vertical="center"/>
    </xf>
    <xf numFmtId="0" fontId="1" fillId="4"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3" fillId="3" borderId="17" xfId="0" applyFont="1" applyFill="1" applyBorder="1" applyAlignment="1">
      <alignment horizontal="center"/>
    </xf>
    <xf numFmtId="0" fontId="13" fillId="3" borderId="18" xfId="0" applyFont="1" applyFill="1" applyBorder="1" applyAlignment="1">
      <alignment horizontal="center"/>
    </xf>
    <xf numFmtId="0" fontId="13" fillId="3" borderId="19" xfId="0" applyFont="1" applyFill="1" applyBorder="1" applyAlignment="1">
      <alignment horizontal="center"/>
    </xf>
    <xf numFmtId="0" fontId="1" fillId="0" borderId="1" xfId="0" applyFont="1" applyBorder="1" applyAlignment="1">
      <alignment horizontal="left"/>
    </xf>
    <xf numFmtId="0" fontId="9" fillId="12" borderId="1" xfId="0" applyFont="1" applyFill="1" applyBorder="1" applyAlignment="1">
      <alignment horizontal="center"/>
    </xf>
    <xf numFmtId="0" fontId="1" fillId="0" borderId="1" xfId="0" applyFont="1" applyBorder="1" applyAlignment="1">
      <alignment horizontal="center"/>
    </xf>
    <xf numFmtId="0" fontId="15" fillId="0" borderId="14" xfId="0" applyFont="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0" fillId="0" borderId="1" xfId="0" applyBorder="1" applyAlignment="1">
      <alignment horizontal="center"/>
    </xf>
  </cellXfs>
  <cellStyles count="6">
    <cellStyle name="Comma" xfId="3" builtinId="3"/>
    <cellStyle name="Comma 2" xfId="5" xr:uid="{94FE6332-0F98-4BD5-A30F-02A98DCB1DF6}"/>
    <cellStyle name="Hyperlink" xfId="4" builtinId="8"/>
    <cellStyle name="Normal" xfId="0" builtinId="0"/>
    <cellStyle name="Normal 2" xfId="1" xr:uid="{A4888EC7-0AC4-4134-8F92-4BFF7A7FA443}"/>
    <cellStyle name="Normal 7" xfId="2" xr:uid="{9F7E15E6-8CD2-4783-AA9B-86D80D69998E}"/>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ill>
        <patternFill>
          <bgColor rgb="FFFFFF00"/>
        </patternFill>
      </fill>
    </dxf>
    <dxf>
      <fill>
        <patternFill>
          <bgColor rgb="FFFFFF00"/>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ill>
        <patternFill>
          <bgColor rgb="FFFFFF00"/>
        </patternFill>
      </fill>
    </dxf>
    <dxf>
      <fill>
        <patternFill>
          <bgColor rgb="FFFFFF00"/>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ill>
        <patternFill>
          <bgColor rgb="FFFFFF00"/>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ill>
        <patternFill>
          <bgColor rgb="FFFFFF00"/>
        </patternFill>
      </fill>
    </dxf>
    <dxf>
      <font>
        <condense val="0"/>
        <extend val="0"/>
        <color rgb="FF9C0006"/>
      </font>
      <fill>
        <patternFill>
          <fgColor indexed="64"/>
          <bgColor rgb="FFFFC7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006100"/>
      </font>
      <fill>
        <patternFill>
          <fgColor indexed="64"/>
          <bgColor rgb="FFC6EFCE"/>
        </patternFill>
      </fill>
    </dxf>
    <dxf>
      <font>
        <condense val="0"/>
        <extend val="0"/>
        <color rgb="FF9C0006"/>
      </font>
      <fill>
        <patternFill>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dmin/Desktop/PAYSHEETS/APR%202025/PF%20-APR/CONSOLIDATE%20SUMMARY%20APR%202025.xlsx" TargetMode="External"/><Relationship Id="rId2" Type="http://schemas.openxmlformats.org/officeDocument/2006/relationships/externalLinkPath" Target="file:///C:\Users\Admin\Desktop\PAYSHEETS\APR%202025\PF%20-APR\CONSOLIDATE%20SUMMARY%20APR%202025.xlsx" TargetMode="External"/><Relationship Id="rId1" Type="http://schemas.openxmlformats.org/officeDocument/2006/relationships/externalLinkPath" Target="/Users/Admin/Desktop/PAYSHEETS/APR%202025/PF%20-APR/CONSOLIDATE%20SUMMARY%20APR%20202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dmin/Desktop/PF%20ESI%20CONSOLIDATE%20SUMMARY%20FOR%20THE%20MONTH%20OF%20NOV%202024.xlsx" TargetMode="External"/><Relationship Id="rId2" Type="http://schemas.openxmlformats.org/officeDocument/2006/relationships/externalLinkPath" Target="file:///C:\Users\Admin\Desktop\PF%20ESI%20CONSOLIDATE%20SUMMARY%20FOR%20THE%20MONTH%20OF%20NOV%202024.xlsx" TargetMode="External"/><Relationship Id="rId1" Type="http://schemas.openxmlformats.org/officeDocument/2006/relationships/externalLinkPath" Target="/Users/Admin/Desktop/PF%20ESI%20CONSOLIDATE%20SUMMARY%20FOR%20THE%20MONTH%20OF%20NOV%202024.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dmin/Desktop/PAYSHEETS/DEC%202024/PF%20ESIC%20DATA/PF%20ESI%20CONSOLIDATE%20SUMMARY%20FOR%20THE%20MONTH%20OF%20DEC%202024.xlsx" TargetMode="External"/><Relationship Id="rId2" Type="http://schemas.openxmlformats.org/officeDocument/2006/relationships/externalLinkPath" Target="file:///C:\Users\Admin\Desktop\PAYSHEETS\DEC%202024\PF%20ESIC%20DATA\PF%20ESI%20CONSOLIDATE%20SUMMARY%20FOR%20THE%20MONTH%20OF%20DEC%202024.xlsx" TargetMode="External"/><Relationship Id="rId1" Type="http://schemas.openxmlformats.org/officeDocument/2006/relationships/externalLinkPath" Target="/Users/Admin/Desktop/PAYSHEETS/DEC%202024/PF%20ESIC%20DATA/PF%20ESI%20CONSOLIDATE%20SUMMARY%20FOR%20THE%20MONTH%20OF%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rginal "/>
      <sheetName val="Consolidate Data"/>
      <sheetName val="PF"/>
      <sheetName val="ESIC"/>
      <sheetName val="CHAN PF"/>
      <sheetName val="CHAN ESIC"/>
    </sheetNames>
    <sheetDataSet>
      <sheetData sheetId="0" refreshError="1"/>
      <sheetData sheetId="1" refreshError="1"/>
      <sheetData sheetId="2" refreshError="1"/>
      <sheetData sheetId="3" refreshError="1">
        <row r="3">
          <cell r="B3">
            <v>10797</v>
          </cell>
          <cell r="C3">
            <v>10797</v>
          </cell>
          <cell r="D3">
            <v>5220638782</v>
          </cell>
        </row>
        <row r="4">
          <cell r="C4">
            <v>10932</v>
          </cell>
          <cell r="D4">
            <v>5213908872</v>
          </cell>
        </row>
        <row r="5">
          <cell r="C5">
            <v>11314</v>
          </cell>
          <cell r="D5">
            <v>5220583495</v>
          </cell>
        </row>
        <row r="6">
          <cell r="C6">
            <v>10592</v>
          </cell>
          <cell r="D6">
            <v>5219980646</v>
          </cell>
        </row>
        <row r="7">
          <cell r="C7">
            <v>11344</v>
          </cell>
          <cell r="D7">
            <v>5210390461</v>
          </cell>
        </row>
        <row r="8">
          <cell r="C8">
            <v>10791</v>
          </cell>
          <cell r="D8">
            <v>5220561377</v>
          </cell>
        </row>
        <row r="9">
          <cell r="C9">
            <v>11121</v>
          </cell>
          <cell r="D9">
            <v>5217176081</v>
          </cell>
        </row>
        <row r="10">
          <cell r="C10">
            <v>10973</v>
          </cell>
          <cell r="D10">
            <v>5220980480</v>
          </cell>
        </row>
        <row r="11">
          <cell r="C11">
            <v>11059</v>
          </cell>
          <cell r="D11">
            <v>5220464644</v>
          </cell>
        </row>
        <row r="12">
          <cell r="C12">
            <v>11096</v>
          </cell>
          <cell r="D12">
            <v>5217031782</v>
          </cell>
        </row>
        <row r="13">
          <cell r="C13">
            <v>10850</v>
          </cell>
          <cell r="D13">
            <v>5220529975</v>
          </cell>
        </row>
        <row r="14">
          <cell r="C14">
            <v>10972</v>
          </cell>
          <cell r="D14">
            <v>5220978718</v>
          </cell>
        </row>
        <row r="15">
          <cell r="C15">
            <v>10591</v>
          </cell>
          <cell r="D15">
            <v>5210372134</v>
          </cell>
        </row>
        <row r="16">
          <cell r="C16">
            <v>11218</v>
          </cell>
          <cell r="D16">
            <v>5221535346</v>
          </cell>
        </row>
        <row r="17">
          <cell r="C17">
            <v>11272</v>
          </cell>
          <cell r="D17">
            <v>5215947474</v>
          </cell>
        </row>
        <row r="18">
          <cell r="C18">
            <v>10557</v>
          </cell>
          <cell r="D18">
            <v>6209183321</v>
          </cell>
        </row>
        <row r="19">
          <cell r="C19">
            <v>10567</v>
          </cell>
          <cell r="D19">
            <v>5208383983</v>
          </cell>
        </row>
        <row r="20">
          <cell r="C20">
            <v>10561</v>
          </cell>
          <cell r="D20">
            <v>5208562590</v>
          </cell>
        </row>
        <row r="21">
          <cell r="C21">
            <v>11129</v>
          </cell>
          <cell r="D21">
            <v>5221333817</v>
          </cell>
        </row>
        <row r="22">
          <cell r="C22">
            <v>10562</v>
          </cell>
          <cell r="D22">
            <v>5219772876</v>
          </cell>
        </row>
        <row r="23">
          <cell r="C23">
            <v>10568</v>
          </cell>
          <cell r="D23">
            <v>5218800340</v>
          </cell>
        </row>
        <row r="24">
          <cell r="C24">
            <v>10283</v>
          </cell>
          <cell r="D24">
            <v>5211476102</v>
          </cell>
        </row>
        <row r="25">
          <cell r="C25">
            <v>10650</v>
          </cell>
          <cell r="D25">
            <v>5219743251</v>
          </cell>
        </row>
        <row r="26">
          <cell r="C26">
            <v>10649</v>
          </cell>
          <cell r="D26">
            <v>5220148284</v>
          </cell>
        </row>
        <row r="27">
          <cell r="C27">
            <v>11098</v>
          </cell>
          <cell r="D27">
            <v>5221250076</v>
          </cell>
        </row>
        <row r="28">
          <cell r="C28">
            <v>11144</v>
          </cell>
          <cell r="D28">
            <v>5221366473</v>
          </cell>
        </row>
        <row r="29">
          <cell r="C29">
            <v>11168</v>
          </cell>
          <cell r="D29">
            <v>5221451030</v>
          </cell>
        </row>
        <row r="30">
          <cell r="C30">
            <v>11336</v>
          </cell>
          <cell r="D30">
            <v>5214618440</v>
          </cell>
        </row>
        <row r="31">
          <cell r="C31">
            <v>11401</v>
          </cell>
          <cell r="D31" t="str">
            <v>5220004412</v>
          </cell>
        </row>
        <row r="32">
          <cell r="C32">
            <v>11178</v>
          </cell>
          <cell r="D32">
            <v>5220859153</v>
          </cell>
        </row>
        <row r="33">
          <cell r="C33">
            <v>10602</v>
          </cell>
          <cell r="D33">
            <v>5217173729</v>
          </cell>
        </row>
        <row r="34">
          <cell r="C34">
            <v>11321</v>
          </cell>
          <cell r="D34">
            <v>5220477135</v>
          </cell>
        </row>
        <row r="35">
          <cell r="C35">
            <v>11209</v>
          </cell>
          <cell r="D35">
            <v>5220899270</v>
          </cell>
        </row>
        <row r="36">
          <cell r="C36">
            <v>10669</v>
          </cell>
          <cell r="D36" t="str">
            <v>5212789847</v>
          </cell>
        </row>
        <row r="37">
          <cell r="C37">
            <v>10655</v>
          </cell>
          <cell r="D37">
            <v>5220223010</v>
          </cell>
        </row>
        <row r="38">
          <cell r="C38">
            <v>10261</v>
          </cell>
          <cell r="D38">
            <v>5218142742</v>
          </cell>
        </row>
        <row r="39">
          <cell r="C39">
            <v>11087</v>
          </cell>
          <cell r="D39">
            <v>5221216476</v>
          </cell>
        </row>
        <row r="40">
          <cell r="C40">
            <v>10892</v>
          </cell>
          <cell r="D40">
            <v>5220800698</v>
          </cell>
        </row>
        <row r="41">
          <cell r="C41">
            <v>11133</v>
          </cell>
          <cell r="D41">
            <v>5221361787</v>
          </cell>
        </row>
        <row r="42">
          <cell r="C42">
            <v>11324</v>
          </cell>
          <cell r="D42">
            <v>5220130254</v>
          </cell>
        </row>
        <row r="43">
          <cell r="C43">
            <v>11320</v>
          </cell>
          <cell r="D43">
            <v>5218490735</v>
          </cell>
        </row>
        <row r="44">
          <cell r="C44">
            <v>11342</v>
          </cell>
          <cell r="D44">
            <v>5221372015</v>
          </cell>
        </row>
        <row r="45">
          <cell r="C45">
            <v>10713</v>
          </cell>
          <cell r="D45">
            <v>5220994356</v>
          </cell>
        </row>
        <row r="46">
          <cell r="C46">
            <v>10946</v>
          </cell>
          <cell r="D46">
            <v>5218709192</v>
          </cell>
        </row>
        <row r="47">
          <cell r="C47">
            <v>11153</v>
          </cell>
          <cell r="D47">
            <v>5218861480</v>
          </cell>
        </row>
        <row r="48">
          <cell r="C48">
            <v>10965</v>
          </cell>
          <cell r="D48">
            <v>5220981715</v>
          </cell>
        </row>
        <row r="49">
          <cell r="C49">
            <v>11360</v>
          </cell>
          <cell r="D49" t="str">
            <v>5221989451</v>
          </cell>
        </row>
        <row r="50">
          <cell r="C50">
            <v>10479</v>
          </cell>
          <cell r="D50">
            <v>5216784221</v>
          </cell>
        </row>
        <row r="51">
          <cell r="C51">
            <v>11043</v>
          </cell>
          <cell r="D51">
            <v>5221041361</v>
          </cell>
        </row>
        <row r="52">
          <cell r="C52">
            <v>10097</v>
          </cell>
          <cell r="D52">
            <v>5216631040</v>
          </cell>
        </row>
        <row r="53">
          <cell r="C53">
            <v>10294</v>
          </cell>
          <cell r="D53">
            <v>5217061262</v>
          </cell>
        </row>
        <row r="54">
          <cell r="C54">
            <v>10581</v>
          </cell>
          <cell r="D54">
            <v>5215808721</v>
          </cell>
        </row>
        <row r="55">
          <cell r="C55">
            <v>10478</v>
          </cell>
          <cell r="D55">
            <v>5219186103</v>
          </cell>
        </row>
        <row r="56">
          <cell r="C56">
            <v>10532</v>
          </cell>
          <cell r="D56">
            <v>5219301484</v>
          </cell>
        </row>
        <row r="57">
          <cell r="C57">
            <v>10774</v>
          </cell>
          <cell r="D57">
            <v>5220528581</v>
          </cell>
        </row>
        <row r="58">
          <cell r="C58">
            <v>10881</v>
          </cell>
          <cell r="D58">
            <v>5215186976</v>
          </cell>
        </row>
        <row r="59">
          <cell r="C59">
            <v>10611</v>
          </cell>
          <cell r="D59">
            <v>5216469820</v>
          </cell>
        </row>
        <row r="60">
          <cell r="C60">
            <v>11286</v>
          </cell>
          <cell r="D60">
            <v>5221470997</v>
          </cell>
        </row>
        <row r="61">
          <cell r="C61">
            <v>10964</v>
          </cell>
          <cell r="D61">
            <v>5219927897</v>
          </cell>
        </row>
        <row r="62">
          <cell r="C62">
            <v>11172</v>
          </cell>
          <cell r="D62">
            <v>5221450735</v>
          </cell>
        </row>
        <row r="63">
          <cell r="C63">
            <v>11053</v>
          </cell>
          <cell r="D63">
            <v>5219461256</v>
          </cell>
        </row>
        <row r="64">
          <cell r="C64">
            <v>10637</v>
          </cell>
          <cell r="D64">
            <v>5214712760</v>
          </cell>
        </row>
        <row r="65">
          <cell r="C65">
            <v>10952</v>
          </cell>
          <cell r="D65">
            <v>5218596289</v>
          </cell>
        </row>
        <row r="66">
          <cell r="C66">
            <v>11404</v>
          </cell>
          <cell r="D66">
            <v>5221670456</v>
          </cell>
        </row>
        <row r="67">
          <cell r="C67">
            <v>10720</v>
          </cell>
          <cell r="D67">
            <v>5219392174</v>
          </cell>
        </row>
        <row r="68">
          <cell r="C68">
            <v>11073</v>
          </cell>
          <cell r="D68">
            <v>5221155467</v>
          </cell>
        </row>
        <row r="69">
          <cell r="C69">
            <v>11281</v>
          </cell>
          <cell r="D69">
            <v>5221699749</v>
          </cell>
        </row>
        <row r="70">
          <cell r="C70">
            <v>11100</v>
          </cell>
          <cell r="D70">
            <v>5221250584</v>
          </cell>
        </row>
        <row r="71">
          <cell r="C71">
            <v>10809</v>
          </cell>
          <cell r="D71">
            <v>5220641181</v>
          </cell>
        </row>
        <row r="72">
          <cell r="C72">
            <v>11086</v>
          </cell>
          <cell r="D72">
            <v>5214741459</v>
          </cell>
        </row>
        <row r="73">
          <cell r="C73">
            <v>11008</v>
          </cell>
          <cell r="D73">
            <v>5221013777</v>
          </cell>
        </row>
        <row r="74">
          <cell r="C74">
            <v>11139</v>
          </cell>
          <cell r="D74">
            <v>5221347201</v>
          </cell>
        </row>
        <row r="75">
          <cell r="C75">
            <v>11282</v>
          </cell>
          <cell r="D75">
            <v>5220323749</v>
          </cell>
        </row>
        <row r="76">
          <cell r="C76">
            <v>11283</v>
          </cell>
          <cell r="D76">
            <v>5221719500</v>
          </cell>
        </row>
        <row r="77">
          <cell r="C77">
            <v>10638</v>
          </cell>
          <cell r="D77">
            <v>5216816479</v>
          </cell>
        </row>
        <row r="78">
          <cell r="C78">
            <v>11104</v>
          </cell>
          <cell r="D78">
            <v>5219835153</v>
          </cell>
        </row>
        <row r="79">
          <cell r="C79">
            <v>11189</v>
          </cell>
          <cell r="D79">
            <v>5216618091</v>
          </cell>
        </row>
        <row r="80">
          <cell r="C80">
            <v>10388</v>
          </cell>
          <cell r="D80">
            <v>5218261469</v>
          </cell>
        </row>
        <row r="81">
          <cell r="C81">
            <v>11338</v>
          </cell>
          <cell r="D81">
            <v>5220330523</v>
          </cell>
        </row>
        <row r="82">
          <cell r="C82">
            <v>10242</v>
          </cell>
          <cell r="D82">
            <v>5213594662</v>
          </cell>
        </row>
        <row r="83">
          <cell r="C83">
            <v>10248</v>
          </cell>
          <cell r="D83">
            <v>5216527520</v>
          </cell>
        </row>
        <row r="84">
          <cell r="C84">
            <v>10249</v>
          </cell>
          <cell r="D84">
            <v>5216527539</v>
          </cell>
        </row>
        <row r="85">
          <cell r="C85">
            <v>10544</v>
          </cell>
          <cell r="D85">
            <v>5215325295</v>
          </cell>
        </row>
        <row r="86">
          <cell r="C86">
            <v>10545</v>
          </cell>
          <cell r="D86">
            <v>5218349425</v>
          </cell>
        </row>
        <row r="87">
          <cell r="C87">
            <v>10542</v>
          </cell>
          <cell r="D87">
            <v>5219083706</v>
          </cell>
        </row>
        <row r="88">
          <cell r="C88">
            <v>10727</v>
          </cell>
          <cell r="D88">
            <v>5217117656</v>
          </cell>
        </row>
        <row r="89">
          <cell r="C89">
            <v>10968</v>
          </cell>
          <cell r="D89">
            <v>5217957339</v>
          </cell>
        </row>
        <row r="90">
          <cell r="C90">
            <v>10961</v>
          </cell>
          <cell r="D90">
            <v>5219203809</v>
          </cell>
        </row>
        <row r="91">
          <cell r="C91">
            <v>11067</v>
          </cell>
          <cell r="D91">
            <v>5220020166</v>
          </cell>
        </row>
        <row r="92">
          <cell r="C92">
            <v>10633</v>
          </cell>
          <cell r="D92">
            <v>5219743589</v>
          </cell>
        </row>
        <row r="93">
          <cell r="C93">
            <v>11099</v>
          </cell>
          <cell r="D93">
            <v>5215427312</v>
          </cell>
        </row>
        <row r="94">
          <cell r="C94">
            <v>10582</v>
          </cell>
          <cell r="D94">
            <v>5219886241</v>
          </cell>
        </row>
        <row r="95">
          <cell r="C95">
            <v>11253</v>
          </cell>
          <cell r="D95">
            <v>5220296609</v>
          </cell>
        </row>
        <row r="96">
          <cell r="C96">
            <v>11325</v>
          </cell>
          <cell r="D96">
            <v>5219203624</v>
          </cell>
        </row>
        <row r="97">
          <cell r="C97">
            <v>11334</v>
          </cell>
          <cell r="D97">
            <v>5221409925</v>
          </cell>
        </row>
        <row r="98">
          <cell r="C98">
            <v>10700</v>
          </cell>
          <cell r="D98">
            <v>5217693336</v>
          </cell>
        </row>
        <row r="99">
          <cell r="C99">
            <v>10305</v>
          </cell>
          <cell r="D99">
            <v>5215985985</v>
          </cell>
        </row>
        <row r="100">
          <cell r="C100">
            <v>10704</v>
          </cell>
          <cell r="D100">
            <v>5220376505</v>
          </cell>
        </row>
        <row r="101">
          <cell r="C101">
            <v>11400</v>
          </cell>
          <cell r="D101">
            <v>5221989251</v>
          </cell>
        </row>
        <row r="102">
          <cell r="C102">
            <v>10302</v>
          </cell>
          <cell r="D102">
            <v>5216357018</v>
          </cell>
        </row>
        <row r="103">
          <cell r="C103">
            <v>10307</v>
          </cell>
          <cell r="D103">
            <v>5211875334</v>
          </cell>
        </row>
        <row r="104">
          <cell r="C104">
            <v>10304</v>
          </cell>
          <cell r="D104">
            <v>5217322816</v>
          </cell>
        </row>
        <row r="105">
          <cell r="C105">
            <v>10908</v>
          </cell>
          <cell r="D105">
            <v>5220241964</v>
          </cell>
        </row>
        <row r="106">
          <cell r="C106">
            <v>10510</v>
          </cell>
          <cell r="D106">
            <v>5218774192</v>
          </cell>
        </row>
        <row r="107">
          <cell r="C107">
            <v>10680</v>
          </cell>
          <cell r="D107">
            <v>5219487856</v>
          </cell>
        </row>
        <row r="108">
          <cell r="C108">
            <v>11224</v>
          </cell>
          <cell r="D108">
            <v>5219697604</v>
          </cell>
        </row>
        <row r="109">
          <cell r="C109">
            <v>11284</v>
          </cell>
          <cell r="D109">
            <v>5218288886</v>
          </cell>
        </row>
        <row r="110">
          <cell r="C110">
            <v>11148</v>
          </cell>
          <cell r="D110">
            <v>5219571535</v>
          </cell>
        </row>
        <row r="111">
          <cell r="C111">
            <v>11327</v>
          </cell>
          <cell r="D111">
            <v>5214043125</v>
          </cell>
        </row>
        <row r="112">
          <cell r="C112">
            <v>10303</v>
          </cell>
          <cell r="D112">
            <v>5215480630</v>
          </cell>
        </row>
        <row r="113">
          <cell r="C113">
            <v>11126</v>
          </cell>
          <cell r="D113">
            <v>5221327933</v>
          </cell>
        </row>
        <row r="114">
          <cell r="C114">
            <v>10694</v>
          </cell>
          <cell r="D114">
            <v>5219883826</v>
          </cell>
        </row>
        <row r="115">
          <cell r="C115">
            <v>11309</v>
          </cell>
          <cell r="D115">
            <v>5217180277</v>
          </cell>
        </row>
        <row r="116">
          <cell r="C116">
            <v>11114</v>
          </cell>
          <cell r="D116">
            <v>5221366275</v>
          </cell>
        </row>
        <row r="117">
          <cell r="C117">
            <v>11014</v>
          </cell>
          <cell r="D117">
            <v>5221010723</v>
          </cell>
        </row>
        <row r="118">
          <cell r="C118">
            <v>11230</v>
          </cell>
          <cell r="D118">
            <v>5221644322</v>
          </cell>
        </row>
        <row r="119">
          <cell r="C119">
            <v>10163</v>
          </cell>
          <cell r="D119">
            <v>5218364828</v>
          </cell>
        </row>
        <row r="120">
          <cell r="C120">
            <v>11093</v>
          </cell>
          <cell r="D120">
            <v>5221259178</v>
          </cell>
        </row>
        <row r="121">
          <cell r="C121">
            <v>10839</v>
          </cell>
          <cell r="D121">
            <v>5219212024</v>
          </cell>
        </row>
        <row r="122">
          <cell r="C122">
            <v>10872</v>
          </cell>
          <cell r="D122">
            <v>5218962558</v>
          </cell>
        </row>
        <row r="123">
          <cell r="C123">
            <v>10863</v>
          </cell>
          <cell r="D123">
            <v>5220782483</v>
          </cell>
        </row>
        <row r="124">
          <cell r="C124">
            <v>10869</v>
          </cell>
          <cell r="D124">
            <v>5218395280</v>
          </cell>
        </row>
        <row r="125">
          <cell r="C125">
            <v>10894</v>
          </cell>
          <cell r="D125">
            <v>5217624540</v>
          </cell>
        </row>
        <row r="126">
          <cell r="C126">
            <v>10896</v>
          </cell>
          <cell r="D126">
            <v>5220849176</v>
          </cell>
        </row>
        <row r="127">
          <cell r="C127">
            <v>11009</v>
          </cell>
          <cell r="D127">
            <v>5221013612</v>
          </cell>
        </row>
        <row r="128">
          <cell r="C128">
            <v>11033</v>
          </cell>
          <cell r="D128">
            <v>5221025852</v>
          </cell>
        </row>
        <row r="129">
          <cell r="C129">
            <v>11041</v>
          </cell>
          <cell r="D129">
            <v>5221075055</v>
          </cell>
        </row>
        <row r="130">
          <cell r="C130">
            <v>11013</v>
          </cell>
          <cell r="D130">
            <v>5221013239</v>
          </cell>
        </row>
        <row r="131">
          <cell r="C131">
            <v>11173</v>
          </cell>
          <cell r="D131">
            <v>5216570485</v>
          </cell>
        </row>
        <row r="132">
          <cell r="C132">
            <v>11213</v>
          </cell>
          <cell r="D132">
            <v>5221557885</v>
          </cell>
        </row>
        <row r="133">
          <cell r="C133">
            <v>11019</v>
          </cell>
          <cell r="D133">
            <v>5221008820</v>
          </cell>
        </row>
        <row r="134">
          <cell r="C134">
            <v>11212</v>
          </cell>
          <cell r="D134">
            <v>5221699643</v>
          </cell>
        </row>
        <row r="135">
          <cell r="C135">
            <v>10732</v>
          </cell>
          <cell r="D135">
            <v>5220415752</v>
          </cell>
        </row>
        <row r="136">
          <cell r="C136">
            <v>11233</v>
          </cell>
          <cell r="D136">
            <v>5220926951</v>
          </cell>
        </row>
        <row r="137">
          <cell r="C137">
            <v>11258</v>
          </cell>
          <cell r="D137">
            <v>5220512525</v>
          </cell>
        </row>
        <row r="138">
          <cell r="C138">
            <v>11266</v>
          </cell>
          <cell r="D138">
            <v>5221690666</v>
          </cell>
        </row>
        <row r="139">
          <cell r="C139">
            <v>10808</v>
          </cell>
          <cell r="D139">
            <v>5219057854</v>
          </cell>
        </row>
        <row r="140">
          <cell r="C140">
            <v>11265</v>
          </cell>
          <cell r="D140">
            <v>5217049308</v>
          </cell>
        </row>
        <row r="141">
          <cell r="C141">
            <v>11292</v>
          </cell>
          <cell r="D141">
            <v>5216385319</v>
          </cell>
        </row>
        <row r="142">
          <cell r="C142">
            <v>11308</v>
          </cell>
          <cell r="D142">
            <v>5220362384</v>
          </cell>
        </row>
        <row r="143">
          <cell r="C143">
            <v>11355</v>
          </cell>
          <cell r="D143">
            <v>5220058327</v>
          </cell>
        </row>
        <row r="144">
          <cell r="C144">
            <v>11359</v>
          </cell>
          <cell r="D144">
            <v>5221989598</v>
          </cell>
        </row>
        <row r="145">
          <cell r="C145">
            <v>11296</v>
          </cell>
          <cell r="D145">
            <v>5209717079</v>
          </cell>
        </row>
        <row r="146">
          <cell r="C146">
            <v>11297</v>
          </cell>
          <cell r="D146">
            <v>5211140185</v>
          </cell>
        </row>
        <row r="147">
          <cell r="C147">
            <v>11300</v>
          </cell>
          <cell r="D147">
            <v>5214204700</v>
          </cell>
        </row>
        <row r="148">
          <cell r="C148">
            <v>11299</v>
          </cell>
          <cell r="D148">
            <v>5218179693</v>
          </cell>
        </row>
        <row r="149">
          <cell r="C149">
            <v>11298</v>
          </cell>
          <cell r="D149">
            <v>5214460665</v>
          </cell>
        </row>
        <row r="150">
          <cell r="C150">
            <v>11301</v>
          </cell>
          <cell r="D150">
            <v>5212588286</v>
          </cell>
        </row>
        <row r="151">
          <cell r="C151">
            <v>11302</v>
          </cell>
          <cell r="D151">
            <v>5215664598</v>
          </cell>
        </row>
        <row r="152">
          <cell r="C152">
            <v>11304</v>
          </cell>
          <cell r="D152">
            <v>5219889226</v>
          </cell>
        </row>
        <row r="153">
          <cell r="C153">
            <v>11305</v>
          </cell>
          <cell r="D153">
            <v>5220918379</v>
          </cell>
        </row>
        <row r="154">
          <cell r="C154">
            <v>11303</v>
          </cell>
          <cell r="D154">
            <v>5217945263</v>
          </cell>
        </row>
        <row r="155">
          <cell r="C155">
            <v>10279</v>
          </cell>
          <cell r="D155">
            <v>5216111144</v>
          </cell>
        </row>
        <row r="156">
          <cell r="C156">
            <v>10278</v>
          </cell>
          <cell r="D156">
            <v>5217834350</v>
          </cell>
        </row>
        <row r="157">
          <cell r="C157">
            <v>10281</v>
          </cell>
          <cell r="D157">
            <v>6207632481</v>
          </cell>
        </row>
        <row r="158">
          <cell r="C158">
            <v>10272</v>
          </cell>
          <cell r="D158">
            <v>5215679314</v>
          </cell>
        </row>
        <row r="159">
          <cell r="C159">
            <v>10763</v>
          </cell>
          <cell r="D159">
            <v>5210602942</v>
          </cell>
        </row>
        <row r="160">
          <cell r="C160">
            <v>10764</v>
          </cell>
          <cell r="D160">
            <v>5220512743</v>
          </cell>
        </row>
        <row r="161">
          <cell r="C161">
            <v>10897</v>
          </cell>
          <cell r="D161">
            <v>5217971326</v>
          </cell>
        </row>
        <row r="162">
          <cell r="C162">
            <v>11217</v>
          </cell>
          <cell r="D162">
            <v>5221038656</v>
          </cell>
        </row>
        <row r="163">
          <cell r="C163">
            <v>11246</v>
          </cell>
          <cell r="D163">
            <v>5221618572</v>
          </cell>
        </row>
        <row r="164">
          <cell r="C164">
            <v>11311</v>
          </cell>
          <cell r="D164">
            <v>5221751222</v>
          </cell>
        </row>
        <row r="165">
          <cell r="C165">
            <v>11313</v>
          </cell>
          <cell r="D165">
            <v>5221821075</v>
          </cell>
        </row>
        <row r="166">
          <cell r="C166">
            <v>11193</v>
          </cell>
          <cell r="D166">
            <v>5221415907</v>
          </cell>
        </row>
        <row r="167">
          <cell r="C167">
            <v>11049</v>
          </cell>
          <cell r="D167">
            <v>5221153012</v>
          </cell>
        </row>
        <row r="168">
          <cell r="C168">
            <v>11241</v>
          </cell>
          <cell r="D168">
            <v>5221635639</v>
          </cell>
        </row>
        <row r="169">
          <cell r="C169">
            <v>10492</v>
          </cell>
          <cell r="D169">
            <v>5220323113</v>
          </cell>
        </row>
        <row r="170">
          <cell r="C170">
            <v>11158</v>
          </cell>
          <cell r="D170">
            <v>5221391571</v>
          </cell>
        </row>
        <row r="171">
          <cell r="C171">
            <v>11203</v>
          </cell>
          <cell r="D171">
            <v>5221514932</v>
          </cell>
        </row>
        <row r="172">
          <cell r="C172">
            <v>11288</v>
          </cell>
          <cell r="D172">
            <v>5219405135</v>
          </cell>
        </row>
        <row r="173">
          <cell r="C173">
            <v>11138</v>
          </cell>
          <cell r="D173">
            <v>5221343094</v>
          </cell>
        </row>
        <row r="174">
          <cell r="C174">
            <v>11163</v>
          </cell>
          <cell r="D174">
            <v>5221391736</v>
          </cell>
        </row>
        <row r="175">
          <cell r="C175">
            <v>11242</v>
          </cell>
          <cell r="D175">
            <v>5221629491</v>
          </cell>
        </row>
        <row r="176">
          <cell r="C176">
            <v>11216</v>
          </cell>
          <cell r="D176">
            <v>5221535602</v>
          </cell>
        </row>
        <row r="177">
          <cell r="C177">
            <v>10883</v>
          </cell>
          <cell r="D177">
            <v>5220857193</v>
          </cell>
        </row>
        <row r="178">
          <cell r="C178">
            <v>11322</v>
          </cell>
          <cell r="D178">
            <v>5221751439</v>
          </cell>
        </row>
        <row r="179">
          <cell r="C179">
            <v>11194</v>
          </cell>
          <cell r="D179">
            <v>5221509363</v>
          </cell>
        </row>
        <row r="180">
          <cell r="C180">
            <v>10846</v>
          </cell>
          <cell r="D180">
            <v>7010942130</v>
          </cell>
        </row>
        <row r="181">
          <cell r="C181">
            <v>11160</v>
          </cell>
          <cell r="D181">
            <v>5221431876</v>
          </cell>
        </row>
        <row r="182">
          <cell r="C182">
            <v>11192</v>
          </cell>
          <cell r="D182">
            <v>5221415970</v>
          </cell>
        </row>
        <row r="183">
          <cell r="C183">
            <v>11226</v>
          </cell>
          <cell r="D183">
            <v>5221618834</v>
          </cell>
        </row>
        <row r="184">
          <cell r="C184">
            <v>11240</v>
          </cell>
          <cell r="D184">
            <v>5221621701</v>
          </cell>
        </row>
        <row r="185">
          <cell r="C185">
            <v>11279</v>
          </cell>
          <cell r="D185">
            <v>5221693350</v>
          </cell>
        </row>
        <row r="186">
          <cell r="C186">
            <v>11354</v>
          </cell>
          <cell r="D186">
            <v>5221964020</v>
          </cell>
        </row>
        <row r="187">
          <cell r="C187">
            <v>11319</v>
          </cell>
          <cell r="D187">
            <v>5221790121</v>
          </cell>
        </row>
        <row r="188">
          <cell r="C188">
            <v>10575</v>
          </cell>
          <cell r="D188">
            <v>5219843232</v>
          </cell>
        </row>
        <row r="189">
          <cell r="C189">
            <v>11159</v>
          </cell>
          <cell r="D189">
            <v>5221431819</v>
          </cell>
        </row>
        <row r="190">
          <cell r="C190">
            <v>10609</v>
          </cell>
          <cell r="D190">
            <v>5220065648</v>
          </cell>
        </row>
        <row r="191">
          <cell r="C191">
            <v>11316</v>
          </cell>
          <cell r="D191">
            <v>5221788468</v>
          </cell>
        </row>
        <row r="192">
          <cell r="C192">
            <v>11341</v>
          </cell>
          <cell r="D192">
            <v>5221882923</v>
          </cell>
        </row>
        <row r="193">
          <cell r="C193">
            <v>11070</v>
          </cell>
          <cell r="D193">
            <v>5221147588</v>
          </cell>
        </row>
        <row r="194">
          <cell r="C194">
            <v>11177</v>
          </cell>
          <cell r="D194">
            <v>5221415744</v>
          </cell>
        </row>
        <row r="195">
          <cell r="C195">
            <v>10631</v>
          </cell>
          <cell r="D195">
            <v>5220117023</v>
          </cell>
        </row>
        <row r="196">
          <cell r="C196">
            <v>10683</v>
          </cell>
          <cell r="D196">
            <v>5220262808</v>
          </cell>
        </row>
        <row r="197">
          <cell r="C197">
            <v>10705</v>
          </cell>
          <cell r="D197">
            <v>5220539033</v>
          </cell>
        </row>
        <row r="198">
          <cell r="C198">
            <v>10943</v>
          </cell>
          <cell r="D198">
            <v>5220958197</v>
          </cell>
        </row>
        <row r="199">
          <cell r="C199">
            <v>11243</v>
          </cell>
          <cell r="D199">
            <v>5221692701</v>
          </cell>
        </row>
        <row r="200">
          <cell r="C200">
            <v>11248</v>
          </cell>
          <cell r="D200">
            <v>5221618668</v>
          </cell>
        </row>
        <row r="201">
          <cell r="C201">
            <v>10717</v>
          </cell>
          <cell r="D201">
            <v>5220263368</v>
          </cell>
        </row>
        <row r="202">
          <cell r="C202">
            <v>11128</v>
          </cell>
          <cell r="D202">
            <v>5221334465</v>
          </cell>
        </row>
        <row r="203">
          <cell r="C203">
            <v>11245</v>
          </cell>
          <cell r="D203">
            <v>5221619784</v>
          </cell>
        </row>
        <row r="204">
          <cell r="C204">
            <v>10526</v>
          </cell>
          <cell r="D204">
            <v>5219644255</v>
          </cell>
        </row>
        <row r="205">
          <cell r="C205">
            <v>11161</v>
          </cell>
          <cell r="D205">
            <v>5221432039</v>
          </cell>
        </row>
        <row r="206">
          <cell r="C206">
            <v>10939</v>
          </cell>
          <cell r="D206">
            <v>5220951879</v>
          </cell>
        </row>
        <row r="207">
          <cell r="C207">
            <v>11187</v>
          </cell>
          <cell r="D207">
            <v>5221471086</v>
          </cell>
        </row>
        <row r="208">
          <cell r="C208">
            <v>11287</v>
          </cell>
          <cell r="D208">
            <v>5221711333</v>
          </cell>
        </row>
        <row r="209">
          <cell r="C209">
            <v>11256</v>
          </cell>
          <cell r="D209">
            <v>5221617942</v>
          </cell>
        </row>
        <row r="210">
          <cell r="C210">
            <v>11277</v>
          </cell>
          <cell r="D210">
            <v>5220873146</v>
          </cell>
        </row>
        <row r="211">
          <cell r="C211">
            <v>11358</v>
          </cell>
          <cell r="D211">
            <v>5222013466</v>
          </cell>
        </row>
        <row r="212">
          <cell r="C212">
            <v>11349</v>
          </cell>
          <cell r="D212">
            <v>5222015630</v>
          </cell>
        </row>
        <row r="213">
          <cell r="C213">
            <v>11410</v>
          </cell>
          <cell r="D213">
            <v>5222001283</v>
          </cell>
        </row>
        <row r="214">
          <cell r="C214" t="str">
            <v/>
          </cell>
          <cell r="D214">
            <v>5222017376</v>
          </cell>
        </row>
        <row r="215">
          <cell r="C215">
            <v>10324</v>
          </cell>
          <cell r="D215">
            <v>5217147392</v>
          </cell>
        </row>
        <row r="216">
          <cell r="C216">
            <v>10064</v>
          </cell>
          <cell r="D216">
            <v>5216344593</v>
          </cell>
        </row>
        <row r="217">
          <cell r="C217">
            <v>11036</v>
          </cell>
          <cell r="D217">
            <v>5221030599</v>
          </cell>
        </row>
        <row r="218">
          <cell r="C218">
            <v>10885</v>
          </cell>
          <cell r="D218">
            <v>5220776972</v>
          </cell>
        </row>
        <row r="219">
          <cell r="C219">
            <v>10450</v>
          </cell>
          <cell r="D219">
            <v>5215499672</v>
          </cell>
        </row>
        <row r="220">
          <cell r="C220">
            <v>11315</v>
          </cell>
          <cell r="D220">
            <v>5216634854</v>
          </cell>
        </row>
        <row r="221">
          <cell r="C221">
            <v>10935</v>
          </cell>
          <cell r="D221">
            <v>5220955918</v>
          </cell>
        </row>
        <row r="222">
          <cell r="C222">
            <v>10502</v>
          </cell>
          <cell r="D222">
            <v>5219511687</v>
          </cell>
        </row>
        <row r="223">
          <cell r="C223">
            <v>10886</v>
          </cell>
          <cell r="D223">
            <v>5220817791</v>
          </cell>
        </row>
        <row r="224">
          <cell r="C224">
            <v>11289</v>
          </cell>
          <cell r="D224">
            <v>5219449351</v>
          </cell>
        </row>
        <row r="225">
          <cell r="C225">
            <v>10426</v>
          </cell>
          <cell r="D225">
            <v>5218979618</v>
          </cell>
        </row>
        <row r="226">
          <cell r="C226">
            <v>10436</v>
          </cell>
          <cell r="D226">
            <v>5218382568</v>
          </cell>
        </row>
        <row r="227">
          <cell r="C227">
            <v>10815</v>
          </cell>
          <cell r="D227">
            <v>5214692198</v>
          </cell>
        </row>
        <row r="228">
          <cell r="C228">
            <v>10714</v>
          </cell>
          <cell r="D228">
            <v>5220355365</v>
          </cell>
        </row>
        <row r="229">
          <cell r="C229">
            <v>11025</v>
          </cell>
          <cell r="D229">
            <v>5221020110</v>
          </cell>
        </row>
        <row r="230">
          <cell r="C230">
            <v>11317</v>
          </cell>
          <cell r="D230">
            <v>5221790070</v>
          </cell>
        </row>
        <row r="231">
          <cell r="C231">
            <v>10396</v>
          </cell>
          <cell r="D231">
            <v>5213560254</v>
          </cell>
        </row>
        <row r="232">
          <cell r="C232">
            <v>10746</v>
          </cell>
          <cell r="D232">
            <v>5220417853</v>
          </cell>
        </row>
        <row r="233">
          <cell r="C233">
            <v>10437</v>
          </cell>
          <cell r="D233">
            <v>5218318737</v>
          </cell>
        </row>
        <row r="234">
          <cell r="C234">
            <v>10397</v>
          </cell>
          <cell r="D234">
            <v>5210569411</v>
          </cell>
        </row>
        <row r="235">
          <cell r="C235">
            <v>11042</v>
          </cell>
          <cell r="D235">
            <v>5219935371</v>
          </cell>
        </row>
        <row r="236">
          <cell r="C236">
            <v>10790</v>
          </cell>
          <cell r="D236">
            <v>5220510497</v>
          </cell>
        </row>
        <row r="237">
          <cell r="C237">
            <v>10417</v>
          </cell>
          <cell r="D237">
            <v>5218873413</v>
          </cell>
        </row>
        <row r="238">
          <cell r="C238">
            <v>11200</v>
          </cell>
          <cell r="D238">
            <v>5220978659</v>
          </cell>
        </row>
        <row r="239">
          <cell r="C239">
            <v>11274</v>
          </cell>
          <cell r="D239">
            <v>5219449336</v>
          </cell>
        </row>
        <row r="240">
          <cell r="C240">
            <v>10610</v>
          </cell>
          <cell r="D240">
            <v>5220059512</v>
          </cell>
        </row>
        <row r="241">
          <cell r="C241">
            <v>11137</v>
          </cell>
          <cell r="D241">
            <v>6109625281</v>
          </cell>
        </row>
        <row r="242">
          <cell r="C242">
            <v>10416</v>
          </cell>
          <cell r="D242">
            <v>5211637723</v>
          </cell>
        </row>
        <row r="243">
          <cell r="C243" t="str">
            <v/>
          </cell>
          <cell r="D243">
            <v>5221941894</v>
          </cell>
        </row>
        <row r="244">
          <cell r="C244" t="str">
            <v/>
          </cell>
          <cell r="D244">
            <v>5221987684</v>
          </cell>
        </row>
        <row r="245">
          <cell r="C245">
            <v>10398</v>
          </cell>
          <cell r="D245">
            <v>5211787661</v>
          </cell>
        </row>
        <row r="246">
          <cell r="C246">
            <v>11006</v>
          </cell>
          <cell r="D246">
            <v>5218428513</v>
          </cell>
        </row>
        <row r="247">
          <cell r="C247">
            <v>10789</v>
          </cell>
          <cell r="D247">
            <v>5214496448</v>
          </cell>
        </row>
        <row r="248">
          <cell r="C248">
            <v>10425</v>
          </cell>
          <cell r="D248">
            <v>5218979731</v>
          </cell>
        </row>
        <row r="249">
          <cell r="C249">
            <v>10751</v>
          </cell>
          <cell r="D249">
            <v>5217838604</v>
          </cell>
        </row>
        <row r="250">
          <cell r="C250">
            <v>10752</v>
          </cell>
          <cell r="D250">
            <v>5219395958</v>
          </cell>
        </row>
        <row r="251">
          <cell r="C251">
            <v>10852</v>
          </cell>
          <cell r="D251">
            <v>5220678177</v>
          </cell>
        </row>
        <row r="252">
          <cell r="C252">
            <v>11061</v>
          </cell>
          <cell r="D252">
            <v>5221137964</v>
          </cell>
        </row>
        <row r="253">
          <cell r="C253">
            <v>11228</v>
          </cell>
          <cell r="D253">
            <v>5221635029</v>
          </cell>
        </row>
        <row r="254">
          <cell r="C254">
            <v>10835</v>
          </cell>
          <cell r="D254">
            <v>5220729583</v>
          </cell>
        </row>
        <row r="255">
          <cell r="C255">
            <v>10750</v>
          </cell>
          <cell r="D255">
            <v>5218230861</v>
          </cell>
        </row>
        <row r="256">
          <cell r="C256">
            <v>10753</v>
          </cell>
          <cell r="D256">
            <v>5217732667</v>
          </cell>
        </row>
        <row r="257">
          <cell r="C257">
            <v>10755</v>
          </cell>
          <cell r="D257">
            <v>6207757554</v>
          </cell>
        </row>
        <row r="258">
          <cell r="C258">
            <v>10756</v>
          </cell>
          <cell r="D258">
            <v>5220543065</v>
          </cell>
        </row>
        <row r="259">
          <cell r="C259">
            <v>10748</v>
          </cell>
          <cell r="D259">
            <v>5219645545</v>
          </cell>
        </row>
        <row r="260">
          <cell r="C260">
            <v>10754</v>
          </cell>
          <cell r="D260">
            <v>5217368774</v>
          </cell>
        </row>
        <row r="261">
          <cell r="C261">
            <v>10758</v>
          </cell>
          <cell r="D261">
            <v>5219777999</v>
          </cell>
        </row>
        <row r="262">
          <cell r="C262">
            <v>10788</v>
          </cell>
          <cell r="D262">
            <v>5220549705</v>
          </cell>
        </row>
        <row r="263">
          <cell r="C263">
            <v>10836</v>
          </cell>
          <cell r="D263">
            <v>5220729518</v>
          </cell>
        </row>
        <row r="264">
          <cell r="C264">
            <v>11239</v>
          </cell>
          <cell r="D264">
            <v>5211136916</v>
          </cell>
        </row>
        <row r="265">
          <cell r="C265" t="str">
            <v/>
          </cell>
          <cell r="D265">
            <v>5221987568</v>
          </cell>
        </row>
        <row r="266">
          <cell r="C266">
            <v>11190</v>
          </cell>
          <cell r="D266">
            <v>5221649167</v>
          </cell>
        </row>
        <row r="267">
          <cell r="C267">
            <v>10533</v>
          </cell>
          <cell r="D267">
            <v>5219634823</v>
          </cell>
        </row>
        <row r="268">
          <cell r="C268">
            <v>10681</v>
          </cell>
          <cell r="D268">
            <v>5216295990</v>
          </cell>
        </row>
        <row r="269">
          <cell r="C269">
            <v>10351</v>
          </cell>
          <cell r="D269">
            <v>5208581663</v>
          </cell>
        </row>
        <row r="270">
          <cell r="C270">
            <v>10554</v>
          </cell>
          <cell r="D270">
            <v>5212354401</v>
          </cell>
        </row>
        <row r="271">
          <cell r="C271">
            <v>10391</v>
          </cell>
          <cell r="D271">
            <v>5212353932</v>
          </cell>
        </row>
        <row r="272">
          <cell r="C272">
            <v>10576</v>
          </cell>
          <cell r="D272">
            <v>5218971941</v>
          </cell>
        </row>
        <row r="273">
          <cell r="C273">
            <v>10927</v>
          </cell>
          <cell r="D273">
            <v>6209824751</v>
          </cell>
        </row>
        <row r="274">
          <cell r="C274">
            <v>10903</v>
          </cell>
          <cell r="D274">
            <v>5220951660</v>
          </cell>
        </row>
        <row r="275">
          <cell r="C275">
            <v>10891</v>
          </cell>
          <cell r="D275">
            <v>5220782761</v>
          </cell>
        </row>
        <row r="276">
          <cell r="C276">
            <v>10605</v>
          </cell>
          <cell r="D276">
            <v>5218710373</v>
          </cell>
        </row>
        <row r="277">
          <cell r="C277">
            <v>10737</v>
          </cell>
          <cell r="D277">
            <v>5219938137</v>
          </cell>
        </row>
        <row r="278">
          <cell r="C278">
            <v>11149</v>
          </cell>
          <cell r="D278">
            <v>5221466749</v>
          </cell>
        </row>
        <row r="279">
          <cell r="C279">
            <v>11204</v>
          </cell>
          <cell r="D279">
            <v>5221515001</v>
          </cell>
        </row>
        <row r="280">
          <cell r="C280">
            <v>10341</v>
          </cell>
          <cell r="D280">
            <v>5205748085</v>
          </cell>
        </row>
        <row r="281">
          <cell r="C281">
            <v>10347</v>
          </cell>
          <cell r="D281">
            <v>5208034475</v>
          </cell>
        </row>
        <row r="282">
          <cell r="C282">
            <v>10376</v>
          </cell>
          <cell r="D282">
            <v>5212369893</v>
          </cell>
        </row>
        <row r="283">
          <cell r="C283">
            <v>10340</v>
          </cell>
          <cell r="D283">
            <v>5217731211</v>
          </cell>
        </row>
        <row r="284">
          <cell r="C284">
            <v>10353</v>
          </cell>
          <cell r="D284">
            <v>5212101788</v>
          </cell>
        </row>
        <row r="285">
          <cell r="C285">
            <v>10363</v>
          </cell>
          <cell r="D285">
            <v>5214007756</v>
          </cell>
        </row>
        <row r="286">
          <cell r="C286">
            <v>10359</v>
          </cell>
          <cell r="D286">
            <v>5211273100</v>
          </cell>
        </row>
        <row r="287">
          <cell r="C287">
            <v>10357</v>
          </cell>
          <cell r="D287">
            <v>5213507588</v>
          </cell>
        </row>
        <row r="288">
          <cell r="C288">
            <v>10338</v>
          </cell>
          <cell r="D288">
            <v>5214281720</v>
          </cell>
        </row>
        <row r="289">
          <cell r="C289">
            <v>10345</v>
          </cell>
          <cell r="D289">
            <v>5214442683</v>
          </cell>
        </row>
        <row r="290">
          <cell r="C290">
            <v>10362</v>
          </cell>
          <cell r="D290">
            <v>5213165807</v>
          </cell>
        </row>
        <row r="291">
          <cell r="C291">
            <v>10360</v>
          </cell>
          <cell r="D291">
            <v>5213802909</v>
          </cell>
        </row>
        <row r="292">
          <cell r="C292">
            <v>10348</v>
          </cell>
          <cell r="D292">
            <v>5207249985</v>
          </cell>
        </row>
        <row r="293">
          <cell r="C293">
            <v>11331</v>
          </cell>
          <cell r="D293">
            <v>5221945059</v>
          </cell>
        </row>
        <row r="294">
          <cell r="C294">
            <v>10933</v>
          </cell>
          <cell r="D294">
            <v>5218817610</v>
          </cell>
        </row>
        <row r="295">
          <cell r="C295">
            <v>10383</v>
          </cell>
          <cell r="D295">
            <v>5217970360</v>
          </cell>
        </row>
        <row r="296">
          <cell r="C296">
            <v>10830</v>
          </cell>
          <cell r="D296">
            <v>5216653367</v>
          </cell>
        </row>
        <row r="297">
          <cell r="C297">
            <v>10887</v>
          </cell>
          <cell r="D297">
            <v>5220056446</v>
          </cell>
        </row>
        <row r="298">
          <cell r="C298">
            <v>10531</v>
          </cell>
          <cell r="D298">
            <v>7010788046</v>
          </cell>
        </row>
        <row r="299">
          <cell r="C299">
            <v>11290</v>
          </cell>
          <cell r="D299">
            <v>5221722793</v>
          </cell>
        </row>
        <row r="300">
          <cell r="C300">
            <v>10296</v>
          </cell>
          <cell r="D300">
            <v>5214841531</v>
          </cell>
        </row>
        <row r="301">
          <cell r="C301">
            <v>11335</v>
          </cell>
          <cell r="D301">
            <v>3417553353</v>
          </cell>
        </row>
        <row r="302">
          <cell r="C302">
            <v>10667</v>
          </cell>
          <cell r="D302">
            <v>5220384896</v>
          </cell>
        </row>
        <row r="303">
          <cell r="C303">
            <v>11117</v>
          </cell>
          <cell r="D303">
            <v>5215460558</v>
          </cell>
        </row>
        <row r="304">
          <cell r="C304">
            <v>11118</v>
          </cell>
          <cell r="D304">
            <v>5218901784</v>
          </cell>
        </row>
        <row r="305">
          <cell r="C305">
            <v>11123</v>
          </cell>
          <cell r="D305">
            <v>5215460462</v>
          </cell>
        </row>
        <row r="306">
          <cell r="C306">
            <v>11124</v>
          </cell>
          <cell r="D306">
            <v>5206316383</v>
          </cell>
        </row>
        <row r="307">
          <cell r="C307">
            <v>10950</v>
          </cell>
          <cell r="D307">
            <v>5216005996</v>
          </cell>
        </row>
        <row r="308">
          <cell r="C308">
            <v>10951</v>
          </cell>
          <cell r="D308">
            <v>5220360622</v>
          </cell>
        </row>
        <row r="309">
          <cell r="C309">
            <v>10949</v>
          </cell>
          <cell r="D309">
            <v>5209529979</v>
          </cell>
        </row>
        <row r="310">
          <cell r="C310">
            <v>10960</v>
          </cell>
          <cell r="D310">
            <v>5220979286</v>
          </cell>
        </row>
        <row r="311">
          <cell r="C311">
            <v>11077</v>
          </cell>
          <cell r="D311">
            <v>5221499187</v>
          </cell>
        </row>
        <row r="312">
          <cell r="C312">
            <v>11076</v>
          </cell>
          <cell r="D312">
            <v>5221158255</v>
          </cell>
        </row>
        <row r="313">
          <cell r="C313">
            <v>11145</v>
          </cell>
          <cell r="D313">
            <v>5221366770</v>
          </cell>
        </row>
        <row r="314">
          <cell r="C314">
            <v>11237</v>
          </cell>
          <cell r="D314">
            <v>5220642343</v>
          </cell>
        </row>
        <row r="315">
          <cell r="C315">
            <v>11291</v>
          </cell>
          <cell r="D315">
            <v>5221722678</v>
          </cell>
        </row>
        <row r="316">
          <cell r="C316">
            <v>11323</v>
          </cell>
          <cell r="D316">
            <v>5221789566</v>
          </cell>
        </row>
        <row r="317">
          <cell r="C317">
            <v>11020</v>
          </cell>
          <cell r="D317">
            <v>5219579394</v>
          </cell>
        </row>
        <row r="318">
          <cell r="C318">
            <v>11091</v>
          </cell>
          <cell r="D318">
            <v>5220618877</v>
          </cell>
        </row>
        <row r="319">
          <cell r="C319">
            <v>11131</v>
          </cell>
          <cell r="D319">
            <v>5221865117</v>
          </cell>
        </row>
        <row r="320">
          <cell r="C320" t="str">
            <v/>
          </cell>
          <cell r="D320">
            <v>5221316924</v>
          </cell>
        </row>
        <row r="321">
          <cell r="C321">
            <v>11339</v>
          </cell>
          <cell r="D321">
            <v>5221864962</v>
          </cell>
        </row>
        <row r="322">
          <cell r="C322">
            <v>11362</v>
          </cell>
          <cell r="D322">
            <v>5221989764</v>
          </cell>
        </row>
        <row r="323">
          <cell r="C323">
            <v>11361</v>
          </cell>
          <cell r="D323">
            <v>5221989793</v>
          </cell>
        </row>
        <row r="324">
          <cell r="C324">
            <v>11402</v>
          </cell>
          <cell r="D324">
            <v>5221989895</v>
          </cell>
        </row>
      </sheetData>
      <sheetData sheetId="4" refreshError="1">
        <row r="2">
          <cell r="A2">
            <v>10310</v>
          </cell>
          <cell r="B2">
            <v>100855038442</v>
          </cell>
        </row>
        <row r="3">
          <cell r="A3">
            <v>11167</v>
          </cell>
          <cell r="B3">
            <v>102132393603</v>
          </cell>
        </row>
        <row r="4">
          <cell r="A4" t="str">
            <v>2019/169</v>
          </cell>
          <cell r="B4">
            <v>101699660082</v>
          </cell>
        </row>
        <row r="5">
          <cell r="A5">
            <v>10823</v>
          </cell>
          <cell r="B5">
            <v>101334407549</v>
          </cell>
        </row>
        <row r="6">
          <cell r="A6">
            <v>11197</v>
          </cell>
          <cell r="B6">
            <v>101576097175</v>
          </cell>
        </row>
        <row r="7">
          <cell r="A7">
            <v>10371</v>
          </cell>
          <cell r="B7">
            <v>101270731525</v>
          </cell>
        </row>
        <row r="8">
          <cell r="A8">
            <v>11294</v>
          </cell>
          <cell r="B8">
            <v>102164859436</v>
          </cell>
        </row>
        <row r="9">
          <cell r="A9">
            <v>11154</v>
          </cell>
          <cell r="B9">
            <v>101621637728</v>
          </cell>
        </row>
        <row r="10">
          <cell r="A10">
            <v>10283</v>
          </cell>
          <cell r="B10">
            <v>100649196626</v>
          </cell>
        </row>
        <row r="11">
          <cell r="A11">
            <v>11343</v>
          </cell>
          <cell r="B11">
            <v>101993538469</v>
          </cell>
        </row>
        <row r="12">
          <cell r="A12">
            <v>10797</v>
          </cell>
          <cell r="B12">
            <v>102048403297</v>
          </cell>
        </row>
        <row r="13">
          <cell r="A13">
            <v>10907</v>
          </cell>
          <cell r="B13">
            <v>101378459867</v>
          </cell>
        </row>
        <row r="14">
          <cell r="A14">
            <v>10932</v>
          </cell>
          <cell r="B14">
            <v>101196640177</v>
          </cell>
        </row>
        <row r="15">
          <cell r="A15">
            <v>11314</v>
          </cell>
          <cell r="B15">
            <v>102044009876</v>
          </cell>
        </row>
        <row r="16">
          <cell r="A16">
            <v>10592</v>
          </cell>
          <cell r="B16">
            <v>101979889018</v>
          </cell>
        </row>
        <row r="17">
          <cell r="A17">
            <v>11344</v>
          </cell>
          <cell r="B17">
            <v>101275715654</v>
          </cell>
        </row>
        <row r="18">
          <cell r="A18">
            <v>11045</v>
          </cell>
          <cell r="B18">
            <v>101504129359</v>
          </cell>
        </row>
        <row r="19">
          <cell r="A19">
            <v>10791</v>
          </cell>
          <cell r="B19">
            <v>102041553689</v>
          </cell>
        </row>
        <row r="20">
          <cell r="A20">
            <v>11121</v>
          </cell>
          <cell r="B20">
            <v>101601614510</v>
          </cell>
        </row>
        <row r="21">
          <cell r="A21">
            <v>10973</v>
          </cell>
          <cell r="B21">
            <v>102086166454</v>
          </cell>
        </row>
        <row r="22">
          <cell r="A22">
            <v>11059</v>
          </cell>
          <cell r="B22">
            <v>101250929560</v>
          </cell>
        </row>
        <row r="23">
          <cell r="A23">
            <v>11096</v>
          </cell>
          <cell r="B23">
            <v>100555877253</v>
          </cell>
        </row>
        <row r="24">
          <cell r="A24">
            <v>10569</v>
          </cell>
          <cell r="B24">
            <v>100126050414</v>
          </cell>
        </row>
        <row r="25">
          <cell r="A25">
            <v>10850</v>
          </cell>
          <cell r="B25">
            <v>100668773736</v>
          </cell>
        </row>
        <row r="26">
          <cell r="A26">
            <v>10972</v>
          </cell>
          <cell r="B26">
            <v>102086162342</v>
          </cell>
        </row>
        <row r="27">
          <cell r="A27">
            <v>10591</v>
          </cell>
          <cell r="B27">
            <v>100063139618</v>
          </cell>
        </row>
        <row r="28">
          <cell r="A28">
            <v>11218</v>
          </cell>
          <cell r="B28">
            <v>102142943287</v>
          </cell>
        </row>
        <row r="29">
          <cell r="A29">
            <v>11272</v>
          </cell>
          <cell r="B29">
            <v>101490983729</v>
          </cell>
        </row>
        <row r="30">
          <cell r="A30">
            <v>10557</v>
          </cell>
          <cell r="B30">
            <v>101460534565</v>
          </cell>
        </row>
        <row r="31">
          <cell r="A31">
            <v>10567</v>
          </cell>
          <cell r="B31">
            <v>100209914294</v>
          </cell>
        </row>
        <row r="32">
          <cell r="A32">
            <v>10563</v>
          </cell>
          <cell r="B32">
            <v>101877237534</v>
          </cell>
        </row>
        <row r="33">
          <cell r="A33">
            <v>10561</v>
          </cell>
          <cell r="B33">
            <v>100209914287</v>
          </cell>
        </row>
        <row r="34">
          <cell r="A34">
            <v>11129</v>
          </cell>
          <cell r="B34">
            <v>101953334516</v>
          </cell>
        </row>
        <row r="35">
          <cell r="A35">
            <v>10562</v>
          </cell>
          <cell r="B35">
            <v>100788779347</v>
          </cell>
        </row>
        <row r="36">
          <cell r="A36">
            <v>10568</v>
          </cell>
          <cell r="B36">
            <v>101877237547</v>
          </cell>
        </row>
        <row r="37">
          <cell r="A37">
            <v>10650</v>
          </cell>
          <cell r="B37">
            <v>102002282968</v>
          </cell>
        </row>
        <row r="38">
          <cell r="A38">
            <v>10649</v>
          </cell>
          <cell r="B38">
            <v>101981046197</v>
          </cell>
        </row>
        <row r="39">
          <cell r="A39">
            <v>11098</v>
          </cell>
          <cell r="B39">
            <v>102081894590</v>
          </cell>
        </row>
        <row r="40">
          <cell r="A40">
            <v>11144</v>
          </cell>
          <cell r="B40">
            <v>102125120909</v>
          </cell>
        </row>
        <row r="41">
          <cell r="A41">
            <v>11168</v>
          </cell>
          <cell r="B41">
            <v>102132429423</v>
          </cell>
        </row>
        <row r="42">
          <cell r="A42">
            <v>11336</v>
          </cell>
          <cell r="B42">
            <v>101321131170</v>
          </cell>
        </row>
        <row r="43">
          <cell r="A43">
            <v>11401</v>
          </cell>
          <cell r="B43">
            <v>101934941635</v>
          </cell>
        </row>
        <row r="44">
          <cell r="A44">
            <v>11178</v>
          </cell>
          <cell r="B44">
            <v>102074144326</v>
          </cell>
        </row>
        <row r="45">
          <cell r="A45">
            <v>11406</v>
          </cell>
          <cell r="B45">
            <v>102194110132</v>
          </cell>
        </row>
        <row r="46">
          <cell r="A46">
            <v>11405</v>
          </cell>
          <cell r="B46">
            <v>101749300834</v>
          </cell>
        </row>
        <row r="47">
          <cell r="A47">
            <v>10602</v>
          </cell>
          <cell r="B47">
            <v>100896454728</v>
          </cell>
        </row>
        <row r="48">
          <cell r="A48">
            <v>11321</v>
          </cell>
          <cell r="B48">
            <v>101243943018</v>
          </cell>
        </row>
        <row r="49">
          <cell r="A49">
            <v>11209</v>
          </cell>
          <cell r="B49">
            <v>102078665083</v>
          </cell>
        </row>
        <row r="50">
          <cell r="A50">
            <v>10669</v>
          </cell>
          <cell r="B50">
            <v>100984842560</v>
          </cell>
        </row>
        <row r="51">
          <cell r="A51">
            <v>10655</v>
          </cell>
          <cell r="B51">
            <v>100967600899</v>
          </cell>
        </row>
        <row r="52">
          <cell r="A52">
            <v>10261</v>
          </cell>
          <cell r="B52">
            <v>101743682453</v>
          </cell>
        </row>
        <row r="53">
          <cell r="A53">
            <v>11087</v>
          </cell>
          <cell r="B53">
            <v>102109793745</v>
          </cell>
        </row>
        <row r="54">
          <cell r="A54">
            <v>11191</v>
          </cell>
          <cell r="B54">
            <v>102136403166</v>
          </cell>
        </row>
        <row r="55">
          <cell r="A55">
            <v>10892</v>
          </cell>
          <cell r="B55">
            <v>102055116322</v>
          </cell>
        </row>
        <row r="56">
          <cell r="A56">
            <v>11133</v>
          </cell>
          <cell r="B56">
            <v>102122054727</v>
          </cell>
        </row>
        <row r="57">
          <cell r="A57">
            <v>11324</v>
          </cell>
          <cell r="B57">
            <v>101935625871</v>
          </cell>
        </row>
        <row r="58">
          <cell r="A58">
            <v>10773</v>
          </cell>
          <cell r="B58">
            <v>101857226631</v>
          </cell>
        </row>
        <row r="59">
          <cell r="A59">
            <v>11363</v>
          </cell>
          <cell r="B59">
            <v>101748072632</v>
          </cell>
        </row>
        <row r="60">
          <cell r="A60">
            <v>11320</v>
          </cell>
          <cell r="B60">
            <v>100783833711</v>
          </cell>
        </row>
        <row r="61">
          <cell r="A61">
            <v>11342</v>
          </cell>
          <cell r="B61">
            <v>102128935965</v>
          </cell>
        </row>
        <row r="62">
          <cell r="A62">
            <v>10713</v>
          </cell>
          <cell r="B62">
            <v>100757165763</v>
          </cell>
        </row>
        <row r="63">
          <cell r="A63">
            <v>10946</v>
          </cell>
          <cell r="B63">
            <v>101545857145</v>
          </cell>
        </row>
        <row r="64">
          <cell r="A64">
            <v>11153</v>
          </cell>
          <cell r="B64">
            <v>101354019536</v>
          </cell>
        </row>
        <row r="65">
          <cell r="A65">
            <v>10965</v>
          </cell>
          <cell r="B65">
            <v>101216447133</v>
          </cell>
        </row>
        <row r="66">
          <cell r="A66">
            <v>11360</v>
          </cell>
          <cell r="B66">
            <v>101443875444</v>
          </cell>
        </row>
        <row r="67">
          <cell r="A67">
            <v>10577</v>
          </cell>
          <cell r="B67">
            <v>101538437780</v>
          </cell>
        </row>
        <row r="68">
          <cell r="A68">
            <v>10762</v>
          </cell>
          <cell r="B68">
            <v>101464842237</v>
          </cell>
        </row>
        <row r="69">
          <cell r="A69">
            <v>11081</v>
          </cell>
          <cell r="B69">
            <v>101623532692</v>
          </cell>
        </row>
        <row r="70">
          <cell r="A70">
            <v>11328</v>
          </cell>
          <cell r="B70">
            <v>101288440153</v>
          </cell>
        </row>
        <row r="71">
          <cell r="A71" t="str">
            <v>2020/188</v>
          </cell>
          <cell r="B71">
            <v>101236328368</v>
          </cell>
        </row>
        <row r="72">
          <cell r="A72" t="str">
            <v>2020/207</v>
          </cell>
          <cell r="B72">
            <v>101254717595</v>
          </cell>
        </row>
        <row r="73">
          <cell r="A73">
            <v>10479</v>
          </cell>
          <cell r="B73">
            <v>101609715709</v>
          </cell>
        </row>
        <row r="74">
          <cell r="A74">
            <v>11043</v>
          </cell>
          <cell r="B74">
            <v>102090573913</v>
          </cell>
        </row>
        <row r="75">
          <cell r="A75" t="str">
            <v>2020/206</v>
          </cell>
          <cell r="B75">
            <v>101340368098</v>
          </cell>
        </row>
        <row r="76">
          <cell r="A76">
            <v>10294</v>
          </cell>
          <cell r="B76">
            <v>101298193593</v>
          </cell>
        </row>
        <row r="77">
          <cell r="A77" t="str">
            <v>2020/190</v>
          </cell>
          <cell r="B77">
            <v>101387398868</v>
          </cell>
        </row>
        <row r="78">
          <cell r="A78">
            <v>10478</v>
          </cell>
          <cell r="B78">
            <v>101891804540</v>
          </cell>
        </row>
        <row r="79">
          <cell r="A79">
            <v>10532</v>
          </cell>
          <cell r="B79">
            <v>101917861447</v>
          </cell>
        </row>
        <row r="80">
          <cell r="A80">
            <v>10533</v>
          </cell>
          <cell r="B80">
            <v>101887742675</v>
          </cell>
        </row>
        <row r="81">
          <cell r="A81">
            <v>10774</v>
          </cell>
          <cell r="B81">
            <v>102037499870</v>
          </cell>
        </row>
        <row r="82">
          <cell r="A82">
            <v>10881</v>
          </cell>
          <cell r="B82">
            <v>101163951695</v>
          </cell>
        </row>
        <row r="83">
          <cell r="A83">
            <v>10611</v>
          </cell>
          <cell r="B83">
            <v>100000707467</v>
          </cell>
        </row>
        <row r="84">
          <cell r="A84">
            <v>11286</v>
          </cell>
          <cell r="B84">
            <v>102137603700</v>
          </cell>
        </row>
        <row r="85">
          <cell r="A85">
            <v>10964</v>
          </cell>
          <cell r="B85">
            <v>101903408207</v>
          </cell>
        </row>
        <row r="86">
          <cell r="A86">
            <v>11172</v>
          </cell>
          <cell r="B86">
            <v>101373347321</v>
          </cell>
        </row>
        <row r="87">
          <cell r="A87">
            <v>11053</v>
          </cell>
          <cell r="B87">
            <v>101273125424</v>
          </cell>
        </row>
        <row r="88">
          <cell r="A88">
            <v>10637</v>
          </cell>
          <cell r="B88">
            <v>101333656960</v>
          </cell>
        </row>
        <row r="89">
          <cell r="A89">
            <v>10952</v>
          </cell>
          <cell r="B89">
            <v>101835274895</v>
          </cell>
        </row>
        <row r="90">
          <cell r="A90">
            <v>11404</v>
          </cell>
          <cell r="B90">
            <v>102175529496</v>
          </cell>
        </row>
        <row r="91">
          <cell r="A91">
            <v>11199</v>
          </cell>
          <cell r="B91">
            <v>101999012675</v>
          </cell>
        </row>
        <row r="92">
          <cell r="A92">
            <v>10697</v>
          </cell>
          <cell r="B92">
            <v>100868697651</v>
          </cell>
        </row>
        <row r="93">
          <cell r="A93">
            <v>10695</v>
          </cell>
          <cell r="B93">
            <v>101122043564</v>
          </cell>
        </row>
        <row r="94">
          <cell r="A94">
            <v>10687</v>
          </cell>
          <cell r="B94">
            <v>101461234657</v>
          </cell>
        </row>
        <row r="95">
          <cell r="A95">
            <v>11054</v>
          </cell>
          <cell r="B95">
            <v>100663842254</v>
          </cell>
        </row>
        <row r="96">
          <cell r="A96">
            <v>10720</v>
          </cell>
          <cell r="B96">
            <v>101737852753</v>
          </cell>
        </row>
        <row r="97">
          <cell r="A97">
            <v>11073</v>
          </cell>
          <cell r="B97">
            <v>101993415066</v>
          </cell>
        </row>
        <row r="98">
          <cell r="A98">
            <v>11281</v>
          </cell>
          <cell r="B98">
            <v>102106146600</v>
          </cell>
        </row>
        <row r="99">
          <cell r="A99">
            <v>11100</v>
          </cell>
          <cell r="B99">
            <v>102112812596</v>
          </cell>
        </row>
        <row r="100">
          <cell r="A100">
            <v>10809</v>
          </cell>
          <cell r="B100">
            <v>102049083309</v>
          </cell>
        </row>
        <row r="101">
          <cell r="A101">
            <v>11086</v>
          </cell>
          <cell r="B101">
            <v>100834677250</v>
          </cell>
        </row>
        <row r="102">
          <cell r="A102">
            <v>11008</v>
          </cell>
          <cell r="B102">
            <v>101564757437</v>
          </cell>
        </row>
        <row r="103">
          <cell r="A103">
            <v>11139</v>
          </cell>
          <cell r="B103">
            <v>102123198923</v>
          </cell>
        </row>
        <row r="104">
          <cell r="A104">
            <v>11282</v>
          </cell>
          <cell r="B104">
            <v>101337273865</v>
          </cell>
        </row>
        <row r="105">
          <cell r="A105">
            <v>11283</v>
          </cell>
          <cell r="B105">
            <v>102163056368</v>
          </cell>
        </row>
        <row r="106">
          <cell r="A106">
            <v>10638</v>
          </cell>
          <cell r="B106">
            <v>101616832865</v>
          </cell>
        </row>
        <row r="107">
          <cell r="A107">
            <v>11104</v>
          </cell>
          <cell r="B107">
            <v>100987187358</v>
          </cell>
        </row>
        <row r="108">
          <cell r="A108">
            <v>11189</v>
          </cell>
          <cell r="B108">
            <v>100954337647</v>
          </cell>
        </row>
        <row r="109">
          <cell r="A109">
            <v>10388</v>
          </cell>
          <cell r="B109">
            <v>101284943885</v>
          </cell>
        </row>
        <row r="110">
          <cell r="A110">
            <v>11338</v>
          </cell>
          <cell r="B110">
            <v>101023102614</v>
          </cell>
        </row>
        <row r="111">
          <cell r="A111">
            <v>10240</v>
          </cell>
          <cell r="B111">
            <v>101098740357</v>
          </cell>
        </row>
        <row r="112">
          <cell r="A112">
            <v>10242</v>
          </cell>
          <cell r="B112">
            <v>101098740388</v>
          </cell>
        </row>
        <row r="113">
          <cell r="A113">
            <v>10248</v>
          </cell>
          <cell r="B113">
            <v>101098740374</v>
          </cell>
        </row>
        <row r="114">
          <cell r="A114">
            <v>10249</v>
          </cell>
          <cell r="B114">
            <v>101098740498</v>
          </cell>
        </row>
        <row r="115">
          <cell r="A115">
            <v>10546</v>
          </cell>
          <cell r="B115">
            <v>101360236241</v>
          </cell>
        </row>
        <row r="116">
          <cell r="A116">
            <v>11285</v>
          </cell>
          <cell r="B116">
            <v>101585284162</v>
          </cell>
        </row>
        <row r="117">
          <cell r="A117">
            <v>11312</v>
          </cell>
          <cell r="B117">
            <v>101418861086</v>
          </cell>
        </row>
        <row r="118">
          <cell r="A118">
            <v>10544</v>
          </cell>
          <cell r="B118">
            <v>101063221124</v>
          </cell>
        </row>
        <row r="119">
          <cell r="A119">
            <v>10545</v>
          </cell>
          <cell r="B119">
            <v>101801121386</v>
          </cell>
        </row>
        <row r="120">
          <cell r="A120">
            <v>10542</v>
          </cell>
          <cell r="B120">
            <v>101386668738</v>
          </cell>
        </row>
        <row r="121">
          <cell r="A121">
            <v>10727</v>
          </cell>
          <cell r="B121">
            <v>100885926638</v>
          </cell>
        </row>
        <row r="122">
          <cell r="A122">
            <v>10968</v>
          </cell>
          <cell r="B122">
            <v>101624204968</v>
          </cell>
        </row>
        <row r="123">
          <cell r="A123">
            <v>10961</v>
          </cell>
          <cell r="B123">
            <v>101577443239</v>
          </cell>
        </row>
        <row r="124">
          <cell r="A124">
            <v>11067</v>
          </cell>
          <cell r="B124">
            <v>101545856369</v>
          </cell>
        </row>
        <row r="125">
          <cell r="A125">
            <v>10633</v>
          </cell>
          <cell r="B125">
            <v>101955473980</v>
          </cell>
        </row>
        <row r="126">
          <cell r="A126">
            <v>11099</v>
          </cell>
          <cell r="B126">
            <v>101038030588</v>
          </cell>
        </row>
        <row r="127">
          <cell r="A127">
            <v>10582</v>
          </cell>
          <cell r="B127">
            <v>101777823372</v>
          </cell>
        </row>
        <row r="128">
          <cell r="A128">
            <v>11253</v>
          </cell>
          <cell r="B128">
            <v>101882148700</v>
          </cell>
        </row>
        <row r="129">
          <cell r="A129">
            <v>11325</v>
          </cell>
          <cell r="B129">
            <v>101906837503</v>
          </cell>
        </row>
        <row r="130">
          <cell r="A130">
            <v>11334</v>
          </cell>
          <cell r="B130">
            <v>102083192236</v>
          </cell>
        </row>
        <row r="131">
          <cell r="A131">
            <v>10700</v>
          </cell>
          <cell r="B131">
            <v>101489008445</v>
          </cell>
        </row>
        <row r="132">
          <cell r="A132">
            <v>10305</v>
          </cell>
          <cell r="B132">
            <v>101519320939</v>
          </cell>
        </row>
        <row r="133">
          <cell r="A133">
            <v>10704</v>
          </cell>
          <cell r="B133">
            <v>102021285465</v>
          </cell>
        </row>
        <row r="134">
          <cell r="A134">
            <v>11400</v>
          </cell>
          <cell r="B134">
            <v>102193519329</v>
          </cell>
        </row>
        <row r="135">
          <cell r="A135">
            <v>10302</v>
          </cell>
          <cell r="B135">
            <v>101538121427</v>
          </cell>
        </row>
        <row r="136">
          <cell r="A136">
            <v>10307</v>
          </cell>
          <cell r="B136">
            <v>100636053046</v>
          </cell>
        </row>
        <row r="137">
          <cell r="A137">
            <v>10304</v>
          </cell>
          <cell r="B137">
            <v>101381542340</v>
          </cell>
        </row>
        <row r="138">
          <cell r="A138">
            <v>10908</v>
          </cell>
          <cell r="B138">
            <v>101974640943</v>
          </cell>
        </row>
        <row r="139">
          <cell r="A139">
            <v>10510</v>
          </cell>
          <cell r="B139">
            <v>101270728330</v>
          </cell>
        </row>
        <row r="140">
          <cell r="A140">
            <v>10680</v>
          </cell>
          <cell r="B140">
            <v>101922836689</v>
          </cell>
        </row>
        <row r="141">
          <cell r="A141">
            <v>11224</v>
          </cell>
          <cell r="B141">
            <v>101933880880</v>
          </cell>
        </row>
        <row r="142">
          <cell r="A142">
            <v>11284</v>
          </cell>
          <cell r="B142">
            <v>101745133262</v>
          </cell>
        </row>
        <row r="143">
          <cell r="A143">
            <v>11148</v>
          </cell>
          <cell r="B143">
            <v>101759656591</v>
          </cell>
        </row>
        <row r="144">
          <cell r="A144">
            <v>11327</v>
          </cell>
          <cell r="B144">
            <v>101223981028</v>
          </cell>
        </row>
        <row r="145">
          <cell r="A145">
            <v>10303</v>
          </cell>
          <cell r="B145">
            <v>101449158378</v>
          </cell>
        </row>
        <row r="146">
          <cell r="A146">
            <v>10906</v>
          </cell>
          <cell r="B146">
            <v>100485141701</v>
          </cell>
        </row>
        <row r="147">
          <cell r="A147">
            <v>10905</v>
          </cell>
          <cell r="B147">
            <v>101252450609</v>
          </cell>
        </row>
        <row r="148">
          <cell r="A148">
            <v>10947</v>
          </cell>
          <cell r="B148">
            <v>101897031030</v>
          </cell>
        </row>
        <row r="149">
          <cell r="A149">
            <v>11046</v>
          </cell>
          <cell r="B149">
            <v>101187041563</v>
          </cell>
        </row>
        <row r="150">
          <cell r="A150">
            <v>11057</v>
          </cell>
          <cell r="B150">
            <v>101303655148</v>
          </cell>
        </row>
        <row r="151">
          <cell r="A151">
            <v>10864</v>
          </cell>
          <cell r="B151">
            <v>101490216981</v>
          </cell>
        </row>
        <row r="152">
          <cell r="A152">
            <v>11126</v>
          </cell>
          <cell r="B152">
            <v>100757165595</v>
          </cell>
        </row>
        <row r="153">
          <cell r="A153">
            <v>10694</v>
          </cell>
          <cell r="B153">
            <v>101257041650</v>
          </cell>
        </row>
        <row r="154">
          <cell r="A154">
            <v>11309</v>
          </cell>
          <cell r="B154">
            <v>101519540953</v>
          </cell>
        </row>
        <row r="155">
          <cell r="A155">
            <v>11114</v>
          </cell>
          <cell r="B155">
            <v>101821850423</v>
          </cell>
        </row>
        <row r="156">
          <cell r="A156">
            <v>11014</v>
          </cell>
          <cell r="B156">
            <v>102088023742</v>
          </cell>
        </row>
        <row r="157">
          <cell r="A157">
            <v>11230</v>
          </cell>
          <cell r="B157">
            <v>102150282140</v>
          </cell>
        </row>
        <row r="158">
          <cell r="A158">
            <v>10163</v>
          </cell>
          <cell r="B158">
            <v>101671443751</v>
          </cell>
        </row>
        <row r="159">
          <cell r="A159">
            <v>11112</v>
          </cell>
          <cell r="B159">
            <v>101231262224</v>
          </cell>
        </row>
        <row r="160">
          <cell r="A160">
            <v>11093</v>
          </cell>
          <cell r="B160">
            <v>100569320931</v>
          </cell>
        </row>
        <row r="161">
          <cell r="A161">
            <v>10839</v>
          </cell>
          <cell r="B161">
            <v>101389814426</v>
          </cell>
        </row>
        <row r="162">
          <cell r="A162">
            <v>10798</v>
          </cell>
          <cell r="B162">
            <v>101408905518</v>
          </cell>
        </row>
        <row r="163">
          <cell r="A163">
            <v>10816</v>
          </cell>
          <cell r="B163">
            <v>101247834522</v>
          </cell>
        </row>
        <row r="164">
          <cell r="A164">
            <v>10849</v>
          </cell>
          <cell r="B164">
            <v>101573402067</v>
          </cell>
        </row>
        <row r="165">
          <cell r="A165">
            <v>11141</v>
          </cell>
          <cell r="B165">
            <v>101329119208</v>
          </cell>
        </row>
        <row r="166">
          <cell r="A166">
            <v>10845</v>
          </cell>
          <cell r="B166">
            <v>101990500843</v>
          </cell>
        </row>
        <row r="167">
          <cell r="A167">
            <v>10872</v>
          </cell>
          <cell r="B167">
            <v>101871050787</v>
          </cell>
        </row>
        <row r="168">
          <cell r="A168">
            <v>10863</v>
          </cell>
          <cell r="B168">
            <v>102063472658</v>
          </cell>
        </row>
        <row r="169">
          <cell r="A169">
            <v>10869</v>
          </cell>
          <cell r="B169">
            <v>101513160054</v>
          </cell>
        </row>
        <row r="170">
          <cell r="A170">
            <v>10894</v>
          </cell>
          <cell r="B170">
            <v>101715521952</v>
          </cell>
        </row>
        <row r="171">
          <cell r="A171">
            <v>10896</v>
          </cell>
          <cell r="B171">
            <v>102023347435</v>
          </cell>
        </row>
        <row r="172">
          <cell r="A172">
            <v>11009</v>
          </cell>
          <cell r="B172">
            <v>102087878745</v>
          </cell>
        </row>
        <row r="173">
          <cell r="A173">
            <v>11033</v>
          </cell>
          <cell r="B173">
            <v>102088877622</v>
          </cell>
        </row>
        <row r="174">
          <cell r="A174">
            <v>11041</v>
          </cell>
          <cell r="B174">
            <v>102089656878</v>
          </cell>
        </row>
        <row r="175">
          <cell r="A175">
            <v>11013</v>
          </cell>
          <cell r="B175">
            <v>102088006073</v>
          </cell>
        </row>
        <row r="176">
          <cell r="A176">
            <v>11173</v>
          </cell>
          <cell r="B176">
            <v>101889388890</v>
          </cell>
        </row>
        <row r="177">
          <cell r="A177">
            <v>11213</v>
          </cell>
          <cell r="B177">
            <v>101546786271</v>
          </cell>
        </row>
        <row r="178">
          <cell r="A178">
            <v>11019</v>
          </cell>
          <cell r="B178">
            <v>102088065435</v>
          </cell>
        </row>
        <row r="179">
          <cell r="A179">
            <v>11212</v>
          </cell>
          <cell r="B179">
            <v>102092749233</v>
          </cell>
        </row>
        <row r="180">
          <cell r="A180">
            <v>10732</v>
          </cell>
          <cell r="B180">
            <v>102026106074</v>
          </cell>
        </row>
        <row r="181">
          <cell r="A181">
            <v>11233</v>
          </cell>
          <cell r="B181">
            <v>102079982920</v>
          </cell>
        </row>
        <row r="182">
          <cell r="A182">
            <v>11258</v>
          </cell>
          <cell r="B182">
            <v>101539775632</v>
          </cell>
        </row>
        <row r="183">
          <cell r="A183">
            <v>11266</v>
          </cell>
          <cell r="B183">
            <v>102161520672</v>
          </cell>
        </row>
        <row r="184">
          <cell r="A184">
            <v>10808</v>
          </cell>
          <cell r="B184">
            <v>101879295728</v>
          </cell>
        </row>
        <row r="185">
          <cell r="A185">
            <v>11265</v>
          </cell>
          <cell r="B185">
            <v>101240217479</v>
          </cell>
        </row>
        <row r="186">
          <cell r="A186">
            <v>11292</v>
          </cell>
          <cell r="B186">
            <v>101230765873</v>
          </cell>
        </row>
        <row r="187">
          <cell r="A187">
            <v>11308</v>
          </cell>
          <cell r="B187">
            <v>101907906676</v>
          </cell>
        </row>
        <row r="188">
          <cell r="A188">
            <v>11355</v>
          </cell>
          <cell r="B188">
            <v>101988933938</v>
          </cell>
        </row>
        <row r="189">
          <cell r="A189">
            <v>11359</v>
          </cell>
          <cell r="B189">
            <v>101567643354</v>
          </cell>
        </row>
        <row r="190">
          <cell r="A190">
            <v>11296</v>
          </cell>
          <cell r="B190">
            <v>100245580374</v>
          </cell>
        </row>
        <row r="191">
          <cell r="A191">
            <v>11297</v>
          </cell>
          <cell r="B191">
            <v>100596073353</v>
          </cell>
        </row>
        <row r="192">
          <cell r="A192">
            <v>11300</v>
          </cell>
          <cell r="B192">
            <v>101253465275</v>
          </cell>
        </row>
        <row r="193">
          <cell r="A193">
            <v>11299</v>
          </cell>
          <cell r="B193">
            <v>101788736701</v>
          </cell>
        </row>
        <row r="194">
          <cell r="A194">
            <v>11298</v>
          </cell>
          <cell r="B194">
            <v>101301963714</v>
          </cell>
        </row>
        <row r="195">
          <cell r="A195">
            <v>11301</v>
          </cell>
          <cell r="B195">
            <v>100103450428</v>
          </cell>
        </row>
        <row r="196">
          <cell r="A196">
            <v>11302</v>
          </cell>
          <cell r="B196">
            <v>101547858419</v>
          </cell>
        </row>
        <row r="197">
          <cell r="A197">
            <v>11304</v>
          </cell>
          <cell r="B197">
            <v>101972813204</v>
          </cell>
        </row>
        <row r="198">
          <cell r="A198">
            <v>11305</v>
          </cell>
          <cell r="B198">
            <v>101588708518</v>
          </cell>
        </row>
        <row r="199">
          <cell r="A199">
            <v>11303</v>
          </cell>
          <cell r="B199">
            <v>101753608689</v>
          </cell>
        </row>
        <row r="200">
          <cell r="A200">
            <v>10771</v>
          </cell>
          <cell r="B200">
            <v>101377603896</v>
          </cell>
        </row>
        <row r="201">
          <cell r="A201">
            <v>10279</v>
          </cell>
          <cell r="B201">
            <v>101483518934</v>
          </cell>
        </row>
        <row r="202">
          <cell r="A202">
            <v>10278</v>
          </cell>
          <cell r="B202">
            <v>101419153234</v>
          </cell>
        </row>
        <row r="203">
          <cell r="A203">
            <v>10281</v>
          </cell>
          <cell r="B203">
            <v>101459617560</v>
          </cell>
        </row>
        <row r="204">
          <cell r="A204">
            <v>10272</v>
          </cell>
          <cell r="B204">
            <v>100752389798</v>
          </cell>
        </row>
        <row r="205">
          <cell r="A205">
            <v>10763</v>
          </cell>
          <cell r="B205">
            <v>101448395127</v>
          </cell>
        </row>
        <row r="206">
          <cell r="A206">
            <v>10764</v>
          </cell>
          <cell r="B206">
            <v>101928669373</v>
          </cell>
        </row>
        <row r="207">
          <cell r="A207">
            <v>10897</v>
          </cell>
          <cell r="B207">
            <v>101123231321</v>
          </cell>
        </row>
        <row r="208">
          <cell r="A208">
            <v>11029</v>
          </cell>
          <cell r="B208">
            <v>100776108439</v>
          </cell>
        </row>
        <row r="209">
          <cell r="A209">
            <v>10984</v>
          </cell>
          <cell r="B209">
            <v>101433827014</v>
          </cell>
        </row>
        <row r="210">
          <cell r="A210">
            <v>10986</v>
          </cell>
          <cell r="B210">
            <v>101303714313</v>
          </cell>
        </row>
        <row r="211">
          <cell r="A211">
            <v>10989</v>
          </cell>
          <cell r="B211">
            <v>101366451264</v>
          </cell>
        </row>
        <row r="212">
          <cell r="A212">
            <v>10988</v>
          </cell>
          <cell r="B212">
            <v>101419332060</v>
          </cell>
        </row>
        <row r="213">
          <cell r="A213">
            <v>11215</v>
          </cell>
          <cell r="B213">
            <v>101817835987</v>
          </cell>
        </row>
        <row r="214">
          <cell r="A214">
            <v>10976</v>
          </cell>
          <cell r="B214">
            <v>101132041760</v>
          </cell>
        </row>
        <row r="215">
          <cell r="A215">
            <v>10312</v>
          </cell>
          <cell r="B215">
            <v>101810762450</v>
          </cell>
        </row>
        <row r="216">
          <cell r="A216">
            <v>10999</v>
          </cell>
          <cell r="B216">
            <v>101593955135</v>
          </cell>
        </row>
        <row r="217">
          <cell r="A217">
            <v>11337</v>
          </cell>
          <cell r="B217">
            <v>101494571258</v>
          </cell>
        </row>
        <row r="218">
          <cell r="A218">
            <v>10339</v>
          </cell>
          <cell r="B218">
            <v>101401592178</v>
          </cell>
        </row>
        <row r="219">
          <cell r="A219">
            <v>10979</v>
          </cell>
          <cell r="B219">
            <v>101460853033</v>
          </cell>
        </row>
        <row r="220">
          <cell r="A220">
            <v>10982</v>
          </cell>
          <cell r="B220">
            <v>101296008357</v>
          </cell>
        </row>
        <row r="221">
          <cell r="A221">
            <v>11032</v>
          </cell>
          <cell r="B221">
            <v>101760846764</v>
          </cell>
        </row>
        <row r="222">
          <cell r="A222">
            <v>11217</v>
          </cell>
          <cell r="B222">
            <v>102106814769</v>
          </cell>
        </row>
        <row r="223">
          <cell r="A223">
            <v>11246</v>
          </cell>
          <cell r="B223">
            <v>101858145524</v>
          </cell>
        </row>
        <row r="224">
          <cell r="A224">
            <v>11311</v>
          </cell>
          <cell r="B224">
            <v>101109085478</v>
          </cell>
        </row>
        <row r="225">
          <cell r="A225">
            <v>11313</v>
          </cell>
          <cell r="B225">
            <v>101945909041</v>
          </cell>
        </row>
        <row r="226">
          <cell r="A226">
            <v>11022</v>
          </cell>
          <cell r="B226">
            <v>101467151132</v>
          </cell>
        </row>
        <row r="227">
          <cell r="A227">
            <v>10990</v>
          </cell>
          <cell r="B227">
            <v>101881581733</v>
          </cell>
        </row>
        <row r="228">
          <cell r="A228">
            <v>10981</v>
          </cell>
          <cell r="B228">
            <v>101730007908</v>
          </cell>
        </row>
        <row r="229">
          <cell r="A229">
            <v>11193</v>
          </cell>
          <cell r="B229">
            <v>102136413687</v>
          </cell>
        </row>
        <row r="230">
          <cell r="A230">
            <v>11000</v>
          </cell>
          <cell r="B230">
            <v>101617561953</v>
          </cell>
        </row>
        <row r="231">
          <cell r="A231">
            <v>11026</v>
          </cell>
          <cell r="B231">
            <v>101807637370</v>
          </cell>
        </row>
        <row r="232">
          <cell r="A232">
            <v>11049</v>
          </cell>
          <cell r="B232">
            <v>102095604570</v>
          </cell>
        </row>
        <row r="233">
          <cell r="A233">
            <v>11273</v>
          </cell>
          <cell r="B233">
            <v>101331571871</v>
          </cell>
        </row>
        <row r="234">
          <cell r="A234">
            <v>10991</v>
          </cell>
          <cell r="B234">
            <v>100589905743</v>
          </cell>
        </row>
        <row r="235">
          <cell r="A235">
            <v>10998</v>
          </cell>
          <cell r="B235">
            <v>101892177114</v>
          </cell>
        </row>
        <row r="236">
          <cell r="A236">
            <v>10997</v>
          </cell>
          <cell r="B236">
            <v>101129929727</v>
          </cell>
        </row>
        <row r="237">
          <cell r="A237">
            <v>11241</v>
          </cell>
          <cell r="B237">
            <v>102153844190</v>
          </cell>
        </row>
        <row r="238">
          <cell r="A238">
            <v>11389</v>
          </cell>
          <cell r="B238">
            <v>102193316312</v>
          </cell>
        </row>
        <row r="239">
          <cell r="A239">
            <v>10980</v>
          </cell>
          <cell r="B239">
            <v>101455564664</v>
          </cell>
        </row>
        <row r="240">
          <cell r="A240">
            <v>10978</v>
          </cell>
          <cell r="B240">
            <v>101574086938</v>
          </cell>
        </row>
        <row r="241">
          <cell r="A241">
            <v>10492</v>
          </cell>
          <cell r="B241">
            <v>101925800595</v>
          </cell>
        </row>
        <row r="242">
          <cell r="A242">
            <v>10974</v>
          </cell>
          <cell r="B242">
            <v>101978749567</v>
          </cell>
        </row>
        <row r="243">
          <cell r="A243">
            <v>10983</v>
          </cell>
          <cell r="B243">
            <v>102012365701</v>
          </cell>
        </row>
        <row r="244">
          <cell r="A244">
            <v>11158</v>
          </cell>
          <cell r="B244">
            <v>101220132820</v>
          </cell>
        </row>
        <row r="245">
          <cell r="A245">
            <v>11203</v>
          </cell>
          <cell r="B245">
            <v>102140355601</v>
          </cell>
        </row>
        <row r="246">
          <cell r="A246">
            <v>11276</v>
          </cell>
          <cell r="B246">
            <v>102075233629</v>
          </cell>
        </row>
        <row r="247">
          <cell r="A247">
            <v>10993</v>
          </cell>
          <cell r="B247">
            <v>101274362476</v>
          </cell>
        </row>
        <row r="248">
          <cell r="A248">
            <v>11028</v>
          </cell>
          <cell r="B248">
            <v>101632172914</v>
          </cell>
        </row>
        <row r="249">
          <cell r="A249">
            <v>11214</v>
          </cell>
          <cell r="B249">
            <v>102141445630</v>
          </cell>
        </row>
        <row r="250">
          <cell r="A250">
            <v>11058</v>
          </cell>
          <cell r="B250">
            <v>101818246573</v>
          </cell>
        </row>
        <row r="251">
          <cell r="A251">
            <v>10200</v>
          </cell>
          <cell r="B251">
            <v>101709382238</v>
          </cell>
        </row>
        <row r="252">
          <cell r="A252">
            <v>10311</v>
          </cell>
          <cell r="B252">
            <v>101497454382</v>
          </cell>
        </row>
        <row r="253">
          <cell r="A253">
            <v>10293</v>
          </cell>
          <cell r="B253">
            <v>101793955281</v>
          </cell>
        </row>
        <row r="254">
          <cell r="A254">
            <v>10222</v>
          </cell>
          <cell r="B254">
            <v>101367022989</v>
          </cell>
        </row>
        <row r="255">
          <cell r="A255">
            <v>11108</v>
          </cell>
          <cell r="B255">
            <v>102120060214</v>
          </cell>
        </row>
        <row r="256">
          <cell r="A256">
            <v>11288</v>
          </cell>
          <cell r="B256">
            <v>101919631613</v>
          </cell>
        </row>
        <row r="257">
          <cell r="A257">
            <v>10202</v>
          </cell>
          <cell r="B257">
            <v>101335348795</v>
          </cell>
        </row>
        <row r="258">
          <cell r="A258">
            <v>10218</v>
          </cell>
          <cell r="B258">
            <v>101490501814</v>
          </cell>
        </row>
        <row r="259">
          <cell r="A259">
            <v>11138</v>
          </cell>
          <cell r="B259">
            <v>102122808232</v>
          </cell>
        </row>
        <row r="260">
          <cell r="A260">
            <v>11163</v>
          </cell>
          <cell r="B260">
            <v>102130298813</v>
          </cell>
        </row>
        <row r="261">
          <cell r="A261">
            <v>11242</v>
          </cell>
          <cell r="B261">
            <v>101637951357</v>
          </cell>
        </row>
        <row r="262">
          <cell r="A262">
            <v>11216</v>
          </cell>
          <cell r="B262">
            <v>102141829556</v>
          </cell>
        </row>
        <row r="263">
          <cell r="A263">
            <v>10208</v>
          </cell>
          <cell r="B263">
            <v>101712573007</v>
          </cell>
        </row>
        <row r="264">
          <cell r="A264">
            <v>10251</v>
          </cell>
          <cell r="B264">
            <v>101598408417</v>
          </cell>
        </row>
        <row r="265">
          <cell r="A265">
            <v>10203</v>
          </cell>
          <cell r="B265">
            <v>101486023953</v>
          </cell>
        </row>
        <row r="266">
          <cell r="A266">
            <v>11357</v>
          </cell>
          <cell r="B266">
            <v>102191109765</v>
          </cell>
        </row>
        <row r="267">
          <cell r="A267">
            <v>10265</v>
          </cell>
          <cell r="B267">
            <v>101767119796</v>
          </cell>
        </row>
        <row r="268">
          <cell r="A268">
            <v>10883</v>
          </cell>
          <cell r="B268">
            <v>102063777568</v>
          </cell>
        </row>
        <row r="269">
          <cell r="A269">
            <v>11322</v>
          </cell>
          <cell r="B269">
            <v>102172260908</v>
          </cell>
        </row>
        <row r="270">
          <cell r="A270">
            <v>11194</v>
          </cell>
          <cell r="B270">
            <v>102136414959</v>
          </cell>
        </row>
        <row r="271">
          <cell r="A271">
            <v>10459</v>
          </cell>
          <cell r="B271">
            <v>101866113509</v>
          </cell>
        </row>
        <row r="272">
          <cell r="A272">
            <v>10846</v>
          </cell>
          <cell r="B272">
            <v>101654401258</v>
          </cell>
        </row>
        <row r="273">
          <cell r="A273">
            <v>11160</v>
          </cell>
          <cell r="B273">
            <v>102130074981</v>
          </cell>
        </row>
        <row r="274">
          <cell r="A274">
            <v>10375</v>
          </cell>
          <cell r="B274">
            <v>101850873317</v>
          </cell>
        </row>
        <row r="275">
          <cell r="A275">
            <v>11225</v>
          </cell>
          <cell r="B275">
            <v>101950978461</v>
          </cell>
        </row>
        <row r="276">
          <cell r="A276">
            <v>11353</v>
          </cell>
          <cell r="B276">
            <v>102119788595</v>
          </cell>
        </row>
        <row r="277">
          <cell r="A277">
            <v>11056</v>
          </cell>
          <cell r="B277">
            <v>102097292437</v>
          </cell>
        </row>
        <row r="278">
          <cell r="A278" t="str">
            <v>2020/248</v>
          </cell>
          <cell r="B278">
            <v>101108164847</v>
          </cell>
        </row>
        <row r="279">
          <cell r="A279">
            <v>10221</v>
          </cell>
          <cell r="B279">
            <v>101727230319</v>
          </cell>
        </row>
        <row r="280">
          <cell r="A280" t="str">
            <v>2021/256</v>
          </cell>
          <cell r="B280">
            <v>101388576613</v>
          </cell>
        </row>
        <row r="281">
          <cell r="A281">
            <v>10476</v>
          </cell>
          <cell r="B281">
            <v>101477591305</v>
          </cell>
        </row>
        <row r="282">
          <cell r="A282">
            <v>10422</v>
          </cell>
          <cell r="B282">
            <v>101873885594</v>
          </cell>
        </row>
        <row r="283">
          <cell r="A283">
            <v>10786</v>
          </cell>
          <cell r="B283">
            <v>101859193285</v>
          </cell>
        </row>
        <row r="284">
          <cell r="A284">
            <v>11192</v>
          </cell>
          <cell r="B284">
            <v>102136409098</v>
          </cell>
        </row>
        <row r="285">
          <cell r="A285">
            <v>10209</v>
          </cell>
          <cell r="B285">
            <v>101712576210</v>
          </cell>
        </row>
        <row r="286">
          <cell r="A286">
            <v>10372</v>
          </cell>
          <cell r="B286">
            <v>101848724135</v>
          </cell>
        </row>
        <row r="287">
          <cell r="A287">
            <v>11226</v>
          </cell>
          <cell r="B287">
            <v>101910843714</v>
          </cell>
        </row>
        <row r="288">
          <cell r="A288">
            <v>11240</v>
          </cell>
          <cell r="B288">
            <v>102153833755</v>
          </cell>
        </row>
        <row r="289">
          <cell r="A289">
            <v>10319</v>
          </cell>
          <cell r="B289">
            <v>101001651099</v>
          </cell>
        </row>
        <row r="290">
          <cell r="A290">
            <v>11279</v>
          </cell>
          <cell r="B290">
            <v>101627488677</v>
          </cell>
        </row>
        <row r="291">
          <cell r="A291">
            <v>10795</v>
          </cell>
          <cell r="B291">
            <v>101417484639</v>
          </cell>
        </row>
        <row r="292">
          <cell r="A292">
            <v>10900</v>
          </cell>
          <cell r="B292">
            <v>102070500328</v>
          </cell>
        </row>
        <row r="293">
          <cell r="A293">
            <v>11354</v>
          </cell>
          <cell r="B293">
            <v>102190804913</v>
          </cell>
        </row>
        <row r="294">
          <cell r="A294">
            <v>11186</v>
          </cell>
          <cell r="B294">
            <v>102012242310</v>
          </cell>
        </row>
        <row r="295">
          <cell r="A295">
            <v>10975</v>
          </cell>
          <cell r="B295">
            <v>102086190893</v>
          </cell>
        </row>
        <row r="296">
          <cell r="A296">
            <v>11227</v>
          </cell>
          <cell r="B296">
            <v>102150248606</v>
          </cell>
        </row>
        <row r="297">
          <cell r="A297">
            <v>11278</v>
          </cell>
          <cell r="B297">
            <v>100323983861</v>
          </cell>
        </row>
        <row r="298">
          <cell r="A298" t="str">
            <v>2019/108</v>
          </cell>
          <cell r="B298">
            <v>100553356360</v>
          </cell>
        </row>
        <row r="299">
          <cell r="A299" t="str">
            <v>2019/120</v>
          </cell>
          <cell r="B299">
            <v>100920328752</v>
          </cell>
        </row>
        <row r="300">
          <cell r="A300">
            <v>11408</v>
          </cell>
          <cell r="B300">
            <v>101271366066</v>
          </cell>
        </row>
        <row r="301">
          <cell r="A301" t="str">
            <v>2019/113</v>
          </cell>
          <cell r="B301">
            <v>101336134979</v>
          </cell>
        </row>
        <row r="302">
          <cell r="A302">
            <v>10848</v>
          </cell>
          <cell r="B302">
            <v>102062806914</v>
          </cell>
        </row>
        <row r="303">
          <cell r="A303">
            <v>11238</v>
          </cell>
          <cell r="B303">
            <v>101810780878</v>
          </cell>
        </row>
        <row r="304">
          <cell r="A304">
            <v>11319</v>
          </cell>
          <cell r="B304">
            <v>102171784337</v>
          </cell>
        </row>
        <row r="305">
          <cell r="A305">
            <v>10693</v>
          </cell>
          <cell r="B305">
            <v>101895638404</v>
          </cell>
        </row>
        <row r="306">
          <cell r="A306" t="str">
            <v>2019/128</v>
          </cell>
          <cell r="B306">
            <v>100552673652</v>
          </cell>
        </row>
        <row r="307">
          <cell r="A307" t="str">
            <v>2019/131</v>
          </cell>
          <cell r="B307">
            <v>100553283113</v>
          </cell>
        </row>
        <row r="308">
          <cell r="A308" t="str">
            <v>2019/129</v>
          </cell>
          <cell r="B308">
            <v>100553080157</v>
          </cell>
        </row>
        <row r="309">
          <cell r="A309" t="str">
            <v>2019/130</v>
          </cell>
          <cell r="B309">
            <v>100552529222</v>
          </cell>
        </row>
        <row r="310">
          <cell r="A310" t="str">
            <v>2019/127</v>
          </cell>
          <cell r="B310">
            <v>100552892940</v>
          </cell>
        </row>
        <row r="311">
          <cell r="A311">
            <v>10575</v>
          </cell>
          <cell r="B311">
            <v>101965831923</v>
          </cell>
        </row>
        <row r="312">
          <cell r="A312">
            <v>11159</v>
          </cell>
          <cell r="B312">
            <v>102130070788</v>
          </cell>
        </row>
        <row r="313">
          <cell r="A313">
            <v>10539</v>
          </cell>
          <cell r="B313">
            <v>101165930889</v>
          </cell>
        </row>
        <row r="314">
          <cell r="A314">
            <v>10609</v>
          </cell>
          <cell r="B314">
            <v>101483658937</v>
          </cell>
        </row>
        <row r="315">
          <cell r="A315" t="str">
            <v>2020/214</v>
          </cell>
          <cell r="B315">
            <v>101540178181</v>
          </cell>
        </row>
        <row r="316">
          <cell r="A316">
            <v>11316</v>
          </cell>
          <cell r="B316">
            <v>102170767835</v>
          </cell>
        </row>
        <row r="317">
          <cell r="A317">
            <v>10837</v>
          </cell>
          <cell r="B317">
            <v>102058687472</v>
          </cell>
        </row>
        <row r="318">
          <cell r="A318">
            <v>11341</v>
          </cell>
          <cell r="B318">
            <v>102182356204</v>
          </cell>
        </row>
        <row r="319">
          <cell r="A319">
            <v>10785</v>
          </cell>
          <cell r="B319">
            <v>102038522068</v>
          </cell>
        </row>
        <row r="320">
          <cell r="A320">
            <v>11070</v>
          </cell>
          <cell r="B320">
            <v>102101491796</v>
          </cell>
        </row>
        <row r="321">
          <cell r="A321">
            <v>11142</v>
          </cell>
          <cell r="B321">
            <v>102124764387</v>
          </cell>
        </row>
        <row r="322">
          <cell r="A322">
            <v>11177</v>
          </cell>
          <cell r="B322">
            <v>102133130187</v>
          </cell>
        </row>
        <row r="323">
          <cell r="A323">
            <v>10517</v>
          </cell>
          <cell r="B323">
            <v>101491025422</v>
          </cell>
        </row>
        <row r="324">
          <cell r="A324">
            <v>10631</v>
          </cell>
          <cell r="B324">
            <v>101995909807</v>
          </cell>
        </row>
        <row r="325">
          <cell r="A325">
            <v>10683</v>
          </cell>
          <cell r="B325">
            <v>102012773768</v>
          </cell>
        </row>
        <row r="326">
          <cell r="A326">
            <v>10705</v>
          </cell>
          <cell r="B326">
            <v>101957756383</v>
          </cell>
        </row>
        <row r="327">
          <cell r="A327">
            <v>10943</v>
          </cell>
          <cell r="B327">
            <v>102083532953</v>
          </cell>
        </row>
        <row r="328">
          <cell r="A328">
            <v>11243</v>
          </cell>
          <cell r="B328">
            <v>102153853904</v>
          </cell>
        </row>
        <row r="329">
          <cell r="A329">
            <v>11248</v>
          </cell>
          <cell r="B329">
            <v>101954172580</v>
          </cell>
        </row>
        <row r="330">
          <cell r="A330">
            <v>11269</v>
          </cell>
          <cell r="B330">
            <v>102107467281</v>
          </cell>
        </row>
        <row r="331">
          <cell r="A331">
            <v>11295</v>
          </cell>
          <cell r="B331">
            <v>102027774854</v>
          </cell>
        </row>
        <row r="332">
          <cell r="A332">
            <v>11270</v>
          </cell>
          <cell r="B332">
            <v>101911049960</v>
          </cell>
        </row>
        <row r="333">
          <cell r="A333" t="str">
            <v>2019/141</v>
          </cell>
          <cell r="B333">
            <v>101366451240</v>
          </cell>
        </row>
        <row r="334">
          <cell r="A334" t="str">
            <v>2020/221</v>
          </cell>
          <cell r="B334">
            <v>101636601289</v>
          </cell>
        </row>
        <row r="335">
          <cell r="A335">
            <v>10213</v>
          </cell>
          <cell r="B335">
            <v>100798107971</v>
          </cell>
        </row>
        <row r="336">
          <cell r="A336">
            <v>10696</v>
          </cell>
          <cell r="B336">
            <v>101794580140</v>
          </cell>
        </row>
        <row r="337">
          <cell r="A337" t="str">
            <v>2019/114</v>
          </cell>
          <cell r="B337">
            <v>100552846122</v>
          </cell>
        </row>
        <row r="338">
          <cell r="A338">
            <v>10717</v>
          </cell>
          <cell r="B338">
            <v>102022163149</v>
          </cell>
        </row>
        <row r="339">
          <cell r="A339">
            <v>11350</v>
          </cell>
          <cell r="B339">
            <v>101745131621</v>
          </cell>
        </row>
        <row r="340">
          <cell r="A340">
            <v>11128</v>
          </cell>
          <cell r="B340">
            <v>102012721397</v>
          </cell>
        </row>
        <row r="341">
          <cell r="A341">
            <v>10040</v>
          </cell>
          <cell r="B341">
            <v>101501245427</v>
          </cell>
        </row>
        <row r="342">
          <cell r="A342" t="str">
            <v>2019/153</v>
          </cell>
          <cell r="B342">
            <v>100589984388</v>
          </cell>
        </row>
        <row r="343">
          <cell r="A343">
            <v>11332</v>
          </cell>
          <cell r="B343">
            <v>102125181275</v>
          </cell>
        </row>
        <row r="344">
          <cell r="A344">
            <v>11245</v>
          </cell>
          <cell r="B344">
            <v>102153895880</v>
          </cell>
        </row>
        <row r="345">
          <cell r="A345">
            <v>10526</v>
          </cell>
          <cell r="B345">
            <v>101942974458</v>
          </cell>
        </row>
        <row r="346">
          <cell r="A346">
            <v>10226</v>
          </cell>
          <cell r="B346">
            <v>101732532516</v>
          </cell>
        </row>
        <row r="347">
          <cell r="A347" t="str">
            <v>2019/158</v>
          </cell>
          <cell r="B347">
            <v>101425633083</v>
          </cell>
        </row>
        <row r="348">
          <cell r="A348">
            <v>11161</v>
          </cell>
          <cell r="B348">
            <v>101166941799</v>
          </cell>
        </row>
        <row r="349">
          <cell r="A349">
            <v>10313</v>
          </cell>
          <cell r="B349">
            <v>100262651287</v>
          </cell>
        </row>
        <row r="350">
          <cell r="A350">
            <v>10939</v>
          </cell>
          <cell r="B350">
            <v>102082995439</v>
          </cell>
        </row>
        <row r="351">
          <cell r="A351">
            <v>11187</v>
          </cell>
          <cell r="B351">
            <v>102135391050</v>
          </cell>
        </row>
        <row r="352">
          <cell r="A352">
            <v>11287</v>
          </cell>
          <cell r="B352">
            <v>102163519911</v>
          </cell>
        </row>
        <row r="353">
          <cell r="A353">
            <v>11256</v>
          </cell>
          <cell r="B353">
            <v>102155632619</v>
          </cell>
        </row>
        <row r="354">
          <cell r="A354">
            <v>11277</v>
          </cell>
          <cell r="B354">
            <v>101875871531</v>
          </cell>
        </row>
        <row r="355">
          <cell r="A355">
            <v>10706</v>
          </cell>
          <cell r="B355">
            <v>100595915770</v>
          </cell>
        </row>
        <row r="356">
          <cell r="A356">
            <v>11346</v>
          </cell>
          <cell r="B356">
            <v>101882269712</v>
          </cell>
        </row>
        <row r="357">
          <cell r="A357">
            <v>11364</v>
          </cell>
          <cell r="B357">
            <v>100589999083</v>
          </cell>
        </row>
        <row r="358">
          <cell r="A358">
            <v>11391</v>
          </cell>
          <cell r="B358">
            <v>101114431341</v>
          </cell>
        </row>
        <row r="359">
          <cell r="A359">
            <v>11366</v>
          </cell>
          <cell r="B359">
            <v>101636813753</v>
          </cell>
        </row>
        <row r="360">
          <cell r="A360">
            <v>11365</v>
          </cell>
          <cell r="B360">
            <v>101294830082</v>
          </cell>
        </row>
        <row r="361">
          <cell r="A361">
            <v>11367</v>
          </cell>
          <cell r="B361">
            <v>101069502495</v>
          </cell>
        </row>
        <row r="362">
          <cell r="A362">
            <v>11064</v>
          </cell>
          <cell r="B362">
            <v>101591489642</v>
          </cell>
        </row>
        <row r="363">
          <cell r="A363">
            <v>11368</v>
          </cell>
          <cell r="B363">
            <v>101834555853</v>
          </cell>
        </row>
        <row r="364">
          <cell r="A364">
            <v>11351</v>
          </cell>
          <cell r="B364">
            <v>101878254820</v>
          </cell>
        </row>
        <row r="365">
          <cell r="A365">
            <v>11369</v>
          </cell>
          <cell r="B365">
            <v>102160027945</v>
          </cell>
        </row>
        <row r="366">
          <cell r="A366">
            <v>11370</v>
          </cell>
          <cell r="B366">
            <v>100678483239</v>
          </cell>
        </row>
        <row r="367">
          <cell r="A367">
            <v>11371</v>
          </cell>
          <cell r="B367">
            <v>101866887713</v>
          </cell>
        </row>
        <row r="368">
          <cell r="A368">
            <v>11358</v>
          </cell>
          <cell r="B368">
            <v>102191147300</v>
          </cell>
        </row>
        <row r="369">
          <cell r="A369">
            <v>11349</v>
          </cell>
          <cell r="B369">
            <v>102189485471</v>
          </cell>
        </row>
        <row r="370">
          <cell r="A370">
            <v>11411</v>
          </cell>
          <cell r="B370">
            <v>102194848425</v>
          </cell>
        </row>
        <row r="371">
          <cell r="A371">
            <v>11410</v>
          </cell>
          <cell r="B371">
            <v>102194829214</v>
          </cell>
        </row>
        <row r="372">
          <cell r="A372">
            <v>11372</v>
          </cell>
          <cell r="B372">
            <v>102040868041</v>
          </cell>
        </row>
        <row r="373">
          <cell r="A373">
            <v>11379</v>
          </cell>
          <cell r="B373">
            <v>100916451300</v>
          </cell>
        </row>
        <row r="374">
          <cell r="A374">
            <v>11380</v>
          </cell>
          <cell r="B374">
            <v>102000373913</v>
          </cell>
        </row>
        <row r="375">
          <cell r="A375">
            <v>11381</v>
          </cell>
          <cell r="B375">
            <v>101130600676</v>
          </cell>
        </row>
        <row r="376">
          <cell r="A376">
            <v>11407</v>
          </cell>
          <cell r="B376">
            <v>101560605267</v>
          </cell>
        </row>
        <row r="377">
          <cell r="A377">
            <v>11382</v>
          </cell>
          <cell r="B377">
            <v>101329361690</v>
          </cell>
        </row>
        <row r="378">
          <cell r="A378">
            <v>11393</v>
          </cell>
          <cell r="B378">
            <v>102130466567</v>
          </cell>
        </row>
        <row r="379">
          <cell r="A379">
            <v>11392</v>
          </cell>
          <cell r="B379">
            <v>102118844493</v>
          </cell>
        </row>
        <row r="380">
          <cell r="A380">
            <v>11374</v>
          </cell>
          <cell r="B380">
            <v>101833783524</v>
          </cell>
        </row>
        <row r="381">
          <cell r="A381">
            <v>11373</v>
          </cell>
          <cell r="B381">
            <v>101439083210</v>
          </cell>
        </row>
        <row r="382">
          <cell r="A382">
            <v>11375</v>
          </cell>
          <cell r="B382">
            <v>102045678618</v>
          </cell>
        </row>
        <row r="383">
          <cell r="A383">
            <v>10214</v>
          </cell>
          <cell r="B383">
            <v>100469573552</v>
          </cell>
        </row>
        <row r="384">
          <cell r="A384">
            <v>11377</v>
          </cell>
          <cell r="B384">
            <v>101471889153</v>
          </cell>
        </row>
        <row r="385">
          <cell r="A385">
            <v>11403</v>
          </cell>
          <cell r="B385">
            <v>102193712275</v>
          </cell>
        </row>
        <row r="386">
          <cell r="A386">
            <v>11394</v>
          </cell>
          <cell r="B386">
            <v>101432218759</v>
          </cell>
        </row>
        <row r="387">
          <cell r="A387">
            <v>11383</v>
          </cell>
          <cell r="B387">
            <v>101933818657</v>
          </cell>
        </row>
        <row r="388">
          <cell r="A388">
            <v>11384</v>
          </cell>
          <cell r="B388">
            <v>101962637943</v>
          </cell>
        </row>
        <row r="389">
          <cell r="A389">
            <v>11395</v>
          </cell>
          <cell r="B389">
            <v>101686377954</v>
          </cell>
        </row>
        <row r="390">
          <cell r="A390">
            <v>11396</v>
          </cell>
          <cell r="B390">
            <v>100273326288</v>
          </cell>
        </row>
        <row r="391">
          <cell r="A391">
            <v>11397</v>
          </cell>
          <cell r="B391">
            <v>102005970009</v>
          </cell>
        </row>
        <row r="392">
          <cell r="A392">
            <v>11398</v>
          </cell>
          <cell r="B392">
            <v>101254369461</v>
          </cell>
        </row>
        <row r="393">
          <cell r="A393">
            <v>11399</v>
          </cell>
          <cell r="B393">
            <v>101141120382</v>
          </cell>
        </row>
        <row r="394">
          <cell r="A394">
            <v>11387</v>
          </cell>
          <cell r="B394">
            <v>101901880836</v>
          </cell>
        </row>
        <row r="395">
          <cell r="A395">
            <v>11385</v>
          </cell>
          <cell r="B395">
            <v>102155089093</v>
          </cell>
        </row>
        <row r="396">
          <cell r="A396">
            <v>11386</v>
          </cell>
          <cell r="B396">
            <v>102051405422</v>
          </cell>
        </row>
        <row r="397">
          <cell r="A397">
            <v>10324</v>
          </cell>
          <cell r="B397">
            <v>101812919680</v>
          </cell>
        </row>
        <row r="398">
          <cell r="A398">
            <v>10064</v>
          </cell>
          <cell r="B398">
            <v>101339294646</v>
          </cell>
        </row>
        <row r="399">
          <cell r="A399">
            <v>11036</v>
          </cell>
          <cell r="B399">
            <v>101620329460</v>
          </cell>
        </row>
        <row r="400">
          <cell r="A400">
            <v>10410</v>
          </cell>
          <cell r="B400">
            <v>101084203530</v>
          </cell>
        </row>
        <row r="401">
          <cell r="A401">
            <v>10885</v>
          </cell>
          <cell r="B401">
            <v>101510575264</v>
          </cell>
        </row>
        <row r="402">
          <cell r="A402">
            <v>10413</v>
          </cell>
          <cell r="B402">
            <v>101084176195</v>
          </cell>
        </row>
        <row r="403">
          <cell r="A403">
            <v>10450</v>
          </cell>
          <cell r="B403">
            <v>101448099028</v>
          </cell>
        </row>
        <row r="404">
          <cell r="A404">
            <v>11315</v>
          </cell>
          <cell r="B404">
            <v>101569541443</v>
          </cell>
        </row>
        <row r="405">
          <cell r="A405">
            <v>10935</v>
          </cell>
          <cell r="B405">
            <v>101832266943</v>
          </cell>
        </row>
        <row r="406">
          <cell r="A406">
            <v>10502</v>
          </cell>
          <cell r="B406">
            <v>100209627800</v>
          </cell>
        </row>
        <row r="407">
          <cell r="A407">
            <v>10886</v>
          </cell>
          <cell r="B407">
            <v>101971795621</v>
          </cell>
        </row>
        <row r="408">
          <cell r="A408">
            <v>11289</v>
          </cell>
          <cell r="B408">
            <v>101919558098</v>
          </cell>
        </row>
        <row r="409">
          <cell r="A409">
            <v>10426</v>
          </cell>
          <cell r="B409">
            <v>101874970158</v>
          </cell>
        </row>
        <row r="410">
          <cell r="A410">
            <v>10436</v>
          </cell>
          <cell r="B410">
            <v>101617961289</v>
          </cell>
        </row>
        <row r="411">
          <cell r="A411">
            <v>10815</v>
          </cell>
          <cell r="B411">
            <v>101331690273</v>
          </cell>
        </row>
        <row r="412">
          <cell r="A412">
            <v>10714</v>
          </cell>
          <cell r="B412">
            <v>102022139221</v>
          </cell>
        </row>
        <row r="413">
          <cell r="A413">
            <v>11025</v>
          </cell>
          <cell r="B413">
            <v>101710867497</v>
          </cell>
        </row>
        <row r="414">
          <cell r="A414">
            <v>11317</v>
          </cell>
          <cell r="B414">
            <v>102170791810</v>
          </cell>
        </row>
        <row r="415">
          <cell r="A415">
            <v>10396</v>
          </cell>
          <cell r="B415">
            <v>101159052235</v>
          </cell>
        </row>
        <row r="416">
          <cell r="A416">
            <v>10746</v>
          </cell>
          <cell r="B416">
            <v>102029808125</v>
          </cell>
        </row>
        <row r="417">
          <cell r="A417">
            <v>11330</v>
          </cell>
          <cell r="B417">
            <v>101406826870</v>
          </cell>
        </row>
        <row r="418">
          <cell r="A418">
            <v>11345</v>
          </cell>
          <cell r="B418">
            <v>102008948889</v>
          </cell>
        </row>
        <row r="419">
          <cell r="A419">
            <v>10437</v>
          </cell>
          <cell r="B419">
            <v>101696000582</v>
          </cell>
        </row>
        <row r="420">
          <cell r="A420">
            <v>10397</v>
          </cell>
          <cell r="B420">
            <v>101084175763</v>
          </cell>
        </row>
        <row r="421">
          <cell r="A421">
            <v>11042</v>
          </cell>
          <cell r="B421">
            <v>101166095986</v>
          </cell>
        </row>
        <row r="422">
          <cell r="A422">
            <v>10790</v>
          </cell>
          <cell r="B422">
            <v>102041104621</v>
          </cell>
        </row>
        <row r="423">
          <cell r="A423">
            <v>10417</v>
          </cell>
          <cell r="B423">
            <v>101329673607</v>
          </cell>
        </row>
        <row r="424">
          <cell r="A424">
            <v>11200</v>
          </cell>
          <cell r="B424">
            <v>102093274859</v>
          </cell>
        </row>
        <row r="425">
          <cell r="A425">
            <v>11274</v>
          </cell>
          <cell r="B425">
            <v>101919558080</v>
          </cell>
        </row>
        <row r="426">
          <cell r="A426">
            <v>10610</v>
          </cell>
          <cell r="B426">
            <v>101773898892</v>
          </cell>
        </row>
        <row r="427">
          <cell r="A427">
            <v>11137</v>
          </cell>
          <cell r="B427">
            <v>101250501020</v>
          </cell>
        </row>
        <row r="428">
          <cell r="A428">
            <v>10416</v>
          </cell>
          <cell r="B428">
            <v>101085081520</v>
          </cell>
        </row>
        <row r="429">
          <cell r="A429">
            <v>11347</v>
          </cell>
          <cell r="B429">
            <v>102189403941</v>
          </cell>
        </row>
        <row r="430">
          <cell r="A430">
            <v>11352</v>
          </cell>
          <cell r="B430">
            <v>102190657254</v>
          </cell>
        </row>
        <row r="431">
          <cell r="A431">
            <v>10398</v>
          </cell>
          <cell r="B431">
            <v>101084143371</v>
          </cell>
        </row>
        <row r="432">
          <cell r="A432" t="str">
            <v>2019/117</v>
          </cell>
          <cell r="B432">
            <v>101154917693</v>
          </cell>
        </row>
        <row r="433">
          <cell r="A433">
            <v>11006</v>
          </cell>
          <cell r="B433">
            <v>101810439465</v>
          </cell>
        </row>
        <row r="434">
          <cell r="A434">
            <v>10789</v>
          </cell>
          <cell r="B434">
            <v>100663635004</v>
          </cell>
        </row>
        <row r="435">
          <cell r="A435">
            <v>10425</v>
          </cell>
          <cell r="B435">
            <v>101874965963</v>
          </cell>
        </row>
        <row r="436">
          <cell r="A436">
            <v>10779</v>
          </cell>
          <cell r="B436">
            <v>100751863219</v>
          </cell>
        </row>
        <row r="437">
          <cell r="A437">
            <v>10784</v>
          </cell>
          <cell r="B437">
            <v>101193717008</v>
          </cell>
        </row>
        <row r="438">
          <cell r="A438">
            <v>10778</v>
          </cell>
          <cell r="B438">
            <v>100461564038</v>
          </cell>
        </row>
        <row r="439">
          <cell r="A439" t="str">
            <v>2024/001</v>
          </cell>
          <cell r="B439">
            <v>102085484993</v>
          </cell>
        </row>
        <row r="440">
          <cell r="A440">
            <v>10751</v>
          </cell>
          <cell r="B440">
            <v>101741666795</v>
          </cell>
        </row>
        <row r="441">
          <cell r="A441">
            <v>10752</v>
          </cell>
          <cell r="B441">
            <v>101797154820</v>
          </cell>
        </row>
        <row r="442">
          <cell r="A442">
            <v>10852</v>
          </cell>
          <cell r="B442">
            <v>102052943573</v>
          </cell>
        </row>
        <row r="443">
          <cell r="A443">
            <v>11061</v>
          </cell>
          <cell r="B443">
            <v>101185696274</v>
          </cell>
        </row>
        <row r="444">
          <cell r="A444">
            <v>11228</v>
          </cell>
          <cell r="B444">
            <v>102068683541</v>
          </cell>
        </row>
        <row r="445">
          <cell r="A445">
            <v>10835</v>
          </cell>
          <cell r="B445">
            <v>102058663490</v>
          </cell>
        </row>
        <row r="446">
          <cell r="A446">
            <v>10750</v>
          </cell>
          <cell r="B446">
            <v>100839163249</v>
          </cell>
        </row>
        <row r="447">
          <cell r="A447">
            <v>10753</v>
          </cell>
          <cell r="B447">
            <v>101700244825</v>
          </cell>
        </row>
        <row r="448">
          <cell r="A448">
            <v>10755</v>
          </cell>
          <cell r="B448">
            <v>101223700676</v>
          </cell>
        </row>
        <row r="449">
          <cell r="A449">
            <v>10756</v>
          </cell>
          <cell r="B449">
            <v>100908189595</v>
          </cell>
        </row>
        <row r="450">
          <cell r="A450">
            <v>10748</v>
          </cell>
          <cell r="B450">
            <v>101371793580</v>
          </cell>
        </row>
        <row r="451">
          <cell r="A451">
            <v>10754</v>
          </cell>
          <cell r="B451">
            <v>101498500879</v>
          </cell>
        </row>
        <row r="452">
          <cell r="A452">
            <v>10758</v>
          </cell>
          <cell r="B452">
            <v>102030507555</v>
          </cell>
        </row>
        <row r="453">
          <cell r="A453">
            <v>10788</v>
          </cell>
          <cell r="B453">
            <v>102039287756</v>
          </cell>
        </row>
        <row r="454">
          <cell r="A454">
            <v>10836</v>
          </cell>
          <cell r="B454">
            <v>102058670346</v>
          </cell>
        </row>
        <row r="455">
          <cell r="A455">
            <v>11239</v>
          </cell>
          <cell r="B455">
            <v>100445336114</v>
          </cell>
        </row>
        <row r="456">
          <cell r="A456">
            <v>11348</v>
          </cell>
          <cell r="B456">
            <v>102189472978</v>
          </cell>
        </row>
        <row r="457">
          <cell r="A457">
            <v>10471</v>
          </cell>
          <cell r="B457">
            <v>101797537057</v>
          </cell>
        </row>
        <row r="458">
          <cell r="A458">
            <v>10473</v>
          </cell>
          <cell r="B458">
            <v>101276562388</v>
          </cell>
        </row>
        <row r="459">
          <cell r="A459">
            <v>11080</v>
          </cell>
          <cell r="B459">
            <v>101922562690</v>
          </cell>
        </row>
        <row r="460">
          <cell r="A460">
            <v>11166</v>
          </cell>
          <cell r="B460">
            <v>101871401122</v>
          </cell>
        </row>
        <row r="461">
          <cell r="A461">
            <v>11307</v>
          </cell>
          <cell r="B461">
            <v>101490680773</v>
          </cell>
        </row>
        <row r="462">
          <cell r="A462">
            <v>11306</v>
          </cell>
          <cell r="B462">
            <v>101938226980</v>
          </cell>
        </row>
        <row r="463">
          <cell r="A463">
            <v>10613</v>
          </cell>
          <cell r="B463">
            <v>101130682502</v>
          </cell>
        </row>
        <row r="464">
          <cell r="A464">
            <v>10619</v>
          </cell>
          <cell r="B464">
            <v>101959766845</v>
          </cell>
        </row>
        <row r="465">
          <cell r="A465">
            <v>10617</v>
          </cell>
          <cell r="B465">
            <v>101986366791</v>
          </cell>
        </row>
        <row r="466">
          <cell r="A466">
            <v>10620</v>
          </cell>
          <cell r="B466">
            <v>101512896139</v>
          </cell>
        </row>
        <row r="467">
          <cell r="A467">
            <v>10925</v>
          </cell>
          <cell r="B467">
            <v>101301984665</v>
          </cell>
        </row>
        <row r="468">
          <cell r="A468">
            <v>10618</v>
          </cell>
          <cell r="B468">
            <v>101329327064</v>
          </cell>
        </row>
        <row r="469">
          <cell r="A469">
            <v>10616</v>
          </cell>
          <cell r="B469">
            <v>101852944913</v>
          </cell>
        </row>
        <row r="470">
          <cell r="A470">
            <v>11127</v>
          </cell>
          <cell r="B470">
            <v>101213144296</v>
          </cell>
        </row>
        <row r="471">
          <cell r="A471">
            <v>11190</v>
          </cell>
          <cell r="B471">
            <v>101491527611</v>
          </cell>
        </row>
        <row r="472">
          <cell r="A472">
            <v>10691</v>
          </cell>
          <cell r="B472">
            <v>101138985127</v>
          </cell>
        </row>
        <row r="473">
          <cell r="A473">
            <v>10521</v>
          </cell>
          <cell r="B473">
            <v>101218708185</v>
          </cell>
        </row>
        <row r="474">
          <cell r="A474">
            <v>10351</v>
          </cell>
          <cell r="B474">
            <v>101653085282</v>
          </cell>
        </row>
        <row r="475">
          <cell r="A475">
            <v>10554</v>
          </cell>
          <cell r="B475">
            <v>101134463240</v>
          </cell>
        </row>
        <row r="476">
          <cell r="A476">
            <v>10391</v>
          </cell>
          <cell r="B476">
            <v>101134463272</v>
          </cell>
        </row>
        <row r="477">
          <cell r="A477">
            <v>10576</v>
          </cell>
          <cell r="B477">
            <v>101871916035</v>
          </cell>
        </row>
        <row r="478">
          <cell r="A478">
            <v>10927</v>
          </cell>
          <cell r="B478">
            <v>101921514991</v>
          </cell>
        </row>
        <row r="479">
          <cell r="A479">
            <v>10903</v>
          </cell>
          <cell r="B479">
            <v>102074080178</v>
          </cell>
        </row>
        <row r="480">
          <cell r="A480">
            <v>10891</v>
          </cell>
          <cell r="B480">
            <v>102065510419</v>
          </cell>
        </row>
        <row r="481">
          <cell r="A481">
            <v>10605</v>
          </cell>
          <cell r="B481">
            <v>101645927849</v>
          </cell>
        </row>
        <row r="482">
          <cell r="A482">
            <v>10737</v>
          </cell>
          <cell r="B482">
            <v>101976460134</v>
          </cell>
        </row>
        <row r="483">
          <cell r="A483">
            <v>11149</v>
          </cell>
          <cell r="B483">
            <v>100664728581</v>
          </cell>
        </row>
        <row r="484">
          <cell r="A484">
            <v>11204</v>
          </cell>
          <cell r="B484">
            <v>102140481910</v>
          </cell>
        </row>
        <row r="485">
          <cell r="A485">
            <v>10341</v>
          </cell>
          <cell r="B485">
            <v>101279327061</v>
          </cell>
        </row>
        <row r="486">
          <cell r="A486">
            <v>10347</v>
          </cell>
          <cell r="B486">
            <v>100664789073</v>
          </cell>
        </row>
        <row r="487">
          <cell r="A487">
            <v>10376</v>
          </cell>
          <cell r="B487">
            <v>100775657873</v>
          </cell>
        </row>
        <row r="488">
          <cell r="A488">
            <v>10340</v>
          </cell>
          <cell r="B488">
            <v>101427469477</v>
          </cell>
        </row>
        <row r="489">
          <cell r="A489">
            <v>10353</v>
          </cell>
          <cell r="B489">
            <v>101222620006</v>
          </cell>
        </row>
        <row r="490">
          <cell r="A490">
            <v>10363</v>
          </cell>
          <cell r="B490">
            <v>101216749013</v>
          </cell>
        </row>
        <row r="491">
          <cell r="A491">
            <v>10359</v>
          </cell>
          <cell r="B491">
            <v>100664727245</v>
          </cell>
        </row>
        <row r="492">
          <cell r="A492">
            <v>10357</v>
          </cell>
          <cell r="B492">
            <v>100581331234</v>
          </cell>
        </row>
        <row r="493">
          <cell r="A493">
            <v>10338</v>
          </cell>
          <cell r="B493">
            <v>101266231121</v>
          </cell>
        </row>
        <row r="494">
          <cell r="A494">
            <v>10345</v>
          </cell>
          <cell r="B494">
            <v>101293095106</v>
          </cell>
        </row>
        <row r="495">
          <cell r="A495">
            <v>10362</v>
          </cell>
          <cell r="B495">
            <v>101056610724</v>
          </cell>
        </row>
        <row r="496">
          <cell r="A496">
            <v>10360</v>
          </cell>
          <cell r="B496">
            <v>101183263931</v>
          </cell>
        </row>
        <row r="497">
          <cell r="A497">
            <v>10348</v>
          </cell>
          <cell r="B497">
            <v>101653099212</v>
          </cell>
        </row>
        <row r="498">
          <cell r="A498">
            <v>11331</v>
          </cell>
          <cell r="B498">
            <v>102179910161</v>
          </cell>
        </row>
        <row r="499">
          <cell r="A499">
            <v>10933</v>
          </cell>
          <cell r="B499">
            <v>101826795816</v>
          </cell>
        </row>
        <row r="500">
          <cell r="A500">
            <v>10743</v>
          </cell>
          <cell r="B500">
            <v>100208023019</v>
          </cell>
        </row>
        <row r="501">
          <cell r="A501">
            <v>10929</v>
          </cell>
          <cell r="B501">
            <v>100799588061</v>
          </cell>
        </row>
        <row r="502">
          <cell r="A502">
            <v>11047</v>
          </cell>
          <cell r="B502">
            <v>100633890664</v>
          </cell>
        </row>
        <row r="503">
          <cell r="A503">
            <v>11152</v>
          </cell>
          <cell r="B503">
            <v>101384586232</v>
          </cell>
        </row>
        <row r="504">
          <cell r="A504">
            <v>11390</v>
          </cell>
          <cell r="B504">
            <v>101425005944</v>
          </cell>
        </row>
        <row r="505">
          <cell r="A505">
            <v>10383</v>
          </cell>
          <cell r="B505">
            <v>101135611160</v>
          </cell>
        </row>
        <row r="506">
          <cell r="A506">
            <v>10830</v>
          </cell>
          <cell r="B506">
            <v>101328510850</v>
          </cell>
        </row>
        <row r="507">
          <cell r="A507">
            <v>10887</v>
          </cell>
          <cell r="B507">
            <v>101316695891</v>
          </cell>
        </row>
        <row r="508">
          <cell r="A508">
            <v>10531</v>
          </cell>
          <cell r="B508">
            <v>101524486437</v>
          </cell>
        </row>
        <row r="509">
          <cell r="A509">
            <v>10681</v>
          </cell>
          <cell r="B509">
            <v>101480183386</v>
          </cell>
        </row>
        <row r="510">
          <cell r="A510">
            <v>11290</v>
          </cell>
          <cell r="B510">
            <v>102164689623</v>
          </cell>
        </row>
        <row r="511">
          <cell r="A511">
            <v>10296</v>
          </cell>
          <cell r="B511">
            <v>101023216919</v>
          </cell>
        </row>
        <row r="512">
          <cell r="A512">
            <v>11335</v>
          </cell>
          <cell r="B512">
            <v>102106637264</v>
          </cell>
        </row>
        <row r="513">
          <cell r="A513">
            <v>10667</v>
          </cell>
          <cell r="B513">
            <v>101432013549</v>
          </cell>
        </row>
        <row r="514">
          <cell r="A514">
            <v>11119</v>
          </cell>
          <cell r="B514">
            <v>101694320811</v>
          </cell>
        </row>
        <row r="515">
          <cell r="A515">
            <v>11117</v>
          </cell>
          <cell r="B515">
            <v>101268519194</v>
          </cell>
        </row>
        <row r="516">
          <cell r="A516">
            <v>11118</v>
          </cell>
          <cell r="B516">
            <v>101866095470</v>
          </cell>
        </row>
        <row r="517">
          <cell r="A517">
            <v>11123</v>
          </cell>
          <cell r="B517">
            <v>101441143667</v>
          </cell>
        </row>
        <row r="518">
          <cell r="A518">
            <v>11124</v>
          </cell>
          <cell r="B518">
            <v>101441143622</v>
          </cell>
        </row>
        <row r="519">
          <cell r="A519">
            <v>10950</v>
          </cell>
          <cell r="B519">
            <v>101513364506</v>
          </cell>
        </row>
        <row r="520">
          <cell r="A520">
            <v>10951</v>
          </cell>
          <cell r="B520">
            <v>101562528089</v>
          </cell>
        </row>
        <row r="521">
          <cell r="A521">
            <v>10949</v>
          </cell>
          <cell r="B521">
            <v>101209146397</v>
          </cell>
        </row>
        <row r="522">
          <cell r="A522">
            <v>10960</v>
          </cell>
          <cell r="B522">
            <v>101840632558</v>
          </cell>
        </row>
        <row r="523">
          <cell r="A523">
            <v>11077</v>
          </cell>
          <cell r="B523">
            <v>102102845163</v>
          </cell>
        </row>
        <row r="524">
          <cell r="A524">
            <v>11076</v>
          </cell>
          <cell r="B524">
            <v>102102803783</v>
          </cell>
        </row>
        <row r="525">
          <cell r="A525">
            <v>11145</v>
          </cell>
          <cell r="B525">
            <v>102125127557</v>
          </cell>
        </row>
        <row r="526">
          <cell r="A526">
            <v>11237</v>
          </cell>
          <cell r="B526">
            <v>102056795976</v>
          </cell>
        </row>
        <row r="527">
          <cell r="A527">
            <v>11291</v>
          </cell>
          <cell r="B527">
            <v>102164694469</v>
          </cell>
        </row>
        <row r="528">
          <cell r="A528">
            <v>11323</v>
          </cell>
          <cell r="B528">
            <v>101415313589</v>
          </cell>
        </row>
        <row r="529">
          <cell r="A529">
            <v>11020</v>
          </cell>
          <cell r="B529">
            <v>101942461588</v>
          </cell>
        </row>
        <row r="530">
          <cell r="A530">
            <v>11091</v>
          </cell>
          <cell r="B530">
            <v>101270727649</v>
          </cell>
        </row>
        <row r="531">
          <cell r="A531">
            <v>11131</v>
          </cell>
          <cell r="B531">
            <v>101145772575</v>
          </cell>
        </row>
        <row r="532">
          <cell r="A532">
            <v>11409</v>
          </cell>
          <cell r="B532">
            <v>102124327752</v>
          </cell>
        </row>
        <row r="533">
          <cell r="A533">
            <v>11339</v>
          </cell>
          <cell r="B533">
            <v>102180602491</v>
          </cell>
        </row>
        <row r="534">
          <cell r="A534">
            <v>11362</v>
          </cell>
          <cell r="B534">
            <v>102110685631</v>
          </cell>
        </row>
        <row r="535">
          <cell r="A535">
            <v>11361</v>
          </cell>
          <cell r="B535">
            <v>102191353911</v>
          </cell>
        </row>
        <row r="536">
          <cell r="A536">
            <v>11402</v>
          </cell>
          <cell r="B536">
            <v>102193605125</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mployee Data"/>
      <sheetName val="Customer Details"/>
      <sheetName val="CONSOLIDATE SUMMARY"/>
      <sheetName val="PF"/>
      <sheetName val="ESIC"/>
      <sheetName val="INSURANCE"/>
      <sheetName val="Sheet3"/>
    </sheetNames>
    <sheetDataSet>
      <sheetData sheetId="0"/>
      <sheetData sheetId="1"/>
      <sheetData sheetId="2"/>
      <sheetData sheetId="3">
        <row r="2">
          <cell r="B2">
            <v>10310</v>
          </cell>
          <cell r="C2">
            <v>100855038442</v>
          </cell>
        </row>
        <row r="3">
          <cell r="B3">
            <v>10189</v>
          </cell>
          <cell r="C3">
            <v>101699660082</v>
          </cell>
        </row>
        <row r="4">
          <cell r="B4">
            <v>10470</v>
          </cell>
          <cell r="C4">
            <v>100926173121</v>
          </cell>
        </row>
        <row r="5">
          <cell r="B5">
            <v>11167</v>
          </cell>
          <cell r="C5">
            <v>102132393603</v>
          </cell>
        </row>
        <row r="6">
          <cell r="B6">
            <v>10823</v>
          </cell>
          <cell r="C6">
            <v>101334407549</v>
          </cell>
        </row>
        <row r="7">
          <cell r="B7">
            <v>11183</v>
          </cell>
          <cell r="C7">
            <v>101152507138</v>
          </cell>
        </row>
        <row r="8">
          <cell r="B8">
            <v>10355</v>
          </cell>
          <cell r="C8">
            <v>101576097175</v>
          </cell>
        </row>
        <row r="9">
          <cell r="B9">
            <v>10371</v>
          </cell>
          <cell r="C9">
            <v>101270731525</v>
          </cell>
        </row>
        <row r="10">
          <cell r="B10">
            <v>10283</v>
          </cell>
          <cell r="C10">
            <v>100649196626</v>
          </cell>
        </row>
        <row r="11">
          <cell r="B11">
            <v>10585</v>
          </cell>
          <cell r="C11">
            <v>101201162069</v>
          </cell>
        </row>
        <row r="12">
          <cell r="B12">
            <v>10650</v>
          </cell>
          <cell r="C12">
            <v>102002282968</v>
          </cell>
        </row>
        <row r="13">
          <cell r="B13">
            <v>10649</v>
          </cell>
          <cell r="C13">
            <v>101981046197</v>
          </cell>
        </row>
        <row r="14">
          <cell r="B14">
            <v>10861</v>
          </cell>
          <cell r="C14">
            <v>101974640927</v>
          </cell>
        </row>
        <row r="15">
          <cell r="B15">
            <v>11098</v>
          </cell>
          <cell r="C15">
            <v>102081894590</v>
          </cell>
        </row>
        <row r="16">
          <cell r="B16">
            <v>11144</v>
          </cell>
          <cell r="C16">
            <v>102125120909</v>
          </cell>
        </row>
        <row r="17">
          <cell r="B17">
            <v>11168</v>
          </cell>
          <cell r="C17">
            <v>102132429423</v>
          </cell>
        </row>
        <row r="18">
          <cell r="B18">
            <v>10908</v>
          </cell>
          <cell r="C18">
            <v>101974640943</v>
          </cell>
        </row>
        <row r="19">
          <cell r="B19">
            <v>10602</v>
          </cell>
          <cell r="C19">
            <v>100896454728</v>
          </cell>
        </row>
        <row r="20">
          <cell r="B20">
            <v>10578</v>
          </cell>
          <cell r="C20">
            <v>101965831934</v>
          </cell>
        </row>
        <row r="21">
          <cell r="B21">
            <v>11209</v>
          </cell>
          <cell r="C21">
            <v>102078665083</v>
          </cell>
        </row>
        <row r="22">
          <cell r="B22">
            <v>10655</v>
          </cell>
          <cell r="C22">
            <v>100967600899</v>
          </cell>
        </row>
        <row r="23">
          <cell r="B23">
            <v>10296</v>
          </cell>
          <cell r="C23">
            <v>101023216919</v>
          </cell>
        </row>
        <row r="24">
          <cell r="B24">
            <v>10664</v>
          </cell>
          <cell r="C24">
            <v>101954174011</v>
          </cell>
        </row>
        <row r="25">
          <cell r="B25">
            <v>10261</v>
          </cell>
          <cell r="C25">
            <v>101743682453</v>
          </cell>
        </row>
        <row r="26">
          <cell r="B26">
            <v>10892</v>
          </cell>
          <cell r="C26">
            <v>102055116322</v>
          </cell>
        </row>
        <row r="27">
          <cell r="B27">
            <v>11087</v>
          </cell>
          <cell r="C27">
            <v>102109793745</v>
          </cell>
        </row>
        <row r="28">
          <cell r="B28">
            <v>11191</v>
          </cell>
          <cell r="C28">
            <v>102136403166</v>
          </cell>
        </row>
        <row r="29">
          <cell r="B29">
            <v>10710</v>
          </cell>
          <cell r="C29">
            <v>101235929645</v>
          </cell>
        </row>
        <row r="30">
          <cell r="B30">
            <v>10293</v>
          </cell>
          <cell r="C30">
            <v>101793955281</v>
          </cell>
        </row>
        <row r="31">
          <cell r="B31">
            <v>10713</v>
          </cell>
          <cell r="C31">
            <v>100757165763</v>
          </cell>
        </row>
        <row r="32">
          <cell r="B32">
            <v>11019</v>
          </cell>
          <cell r="C32">
            <v>102088065435</v>
          </cell>
        </row>
        <row r="33">
          <cell r="B33">
            <v>10946</v>
          </cell>
          <cell r="C33">
            <v>101545857145</v>
          </cell>
        </row>
        <row r="34">
          <cell r="B34">
            <v>11170</v>
          </cell>
          <cell r="C34">
            <v>101135610688</v>
          </cell>
        </row>
        <row r="35">
          <cell r="B35">
            <v>11066</v>
          </cell>
          <cell r="C35">
            <v>101420924099</v>
          </cell>
        </row>
        <row r="36">
          <cell r="B36">
            <v>11153</v>
          </cell>
          <cell r="C36">
            <v>101354019536</v>
          </cell>
        </row>
        <row r="37">
          <cell r="B37">
            <v>10762</v>
          </cell>
          <cell r="C37">
            <v>101464842237</v>
          </cell>
        </row>
        <row r="38">
          <cell r="B38">
            <v>11081</v>
          </cell>
          <cell r="C38">
            <v>101623532692</v>
          </cell>
        </row>
        <row r="39">
          <cell r="B39">
            <v>10083</v>
          </cell>
          <cell r="C39">
            <v>101236328368</v>
          </cell>
        </row>
        <row r="40">
          <cell r="B40">
            <v>10101</v>
          </cell>
          <cell r="C40">
            <v>101254717595</v>
          </cell>
        </row>
        <row r="41">
          <cell r="B41">
            <v>10479</v>
          </cell>
          <cell r="C41">
            <v>101609715709</v>
          </cell>
        </row>
        <row r="42">
          <cell r="B42">
            <v>11043</v>
          </cell>
          <cell r="C42">
            <v>102090573913</v>
          </cell>
        </row>
        <row r="43">
          <cell r="B43">
            <v>10097</v>
          </cell>
          <cell r="C43">
            <v>101340368098</v>
          </cell>
        </row>
        <row r="44">
          <cell r="B44">
            <v>10294</v>
          </cell>
          <cell r="C44">
            <v>101298193593</v>
          </cell>
        </row>
        <row r="45">
          <cell r="B45">
            <v>10581</v>
          </cell>
          <cell r="C45">
            <v>101387398868</v>
          </cell>
        </row>
        <row r="46">
          <cell r="B46">
            <v>10478</v>
          </cell>
          <cell r="C46">
            <v>101891804540</v>
          </cell>
        </row>
        <row r="47">
          <cell r="B47">
            <v>10532</v>
          </cell>
          <cell r="C47">
            <v>101917861447</v>
          </cell>
        </row>
        <row r="48">
          <cell r="B48">
            <v>10533</v>
          </cell>
          <cell r="C48">
            <v>101887742675</v>
          </cell>
        </row>
        <row r="49">
          <cell r="B49">
            <v>10774</v>
          </cell>
          <cell r="C49">
            <v>102037499870</v>
          </cell>
        </row>
        <row r="50">
          <cell r="B50">
            <v>10881</v>
          </cell>
          <cell r="C50">
            <v>101163951695</v>
          </cell>
        </row>
        <row r="51">
          <cell r="B51">
            <v>10611</v>
          </cell>
          <cell r="C51">
            <v>100000707467</v>
          </cell>
        </row>
        <row r="52">
          <cell r="B52">
            <v>10952</v>
          </cell>
          <cell r="C52">
            <v>101835274895</v>
          </cell>
        </row>
        <row r="53">
          <cell r="B53">
            <v>10964</v>
          </cell>
          <cell r="C53">
            <v>101903408207</v>
          </cell>
        </row>
        <row r="54">
          <cell r="B54">
            <v>11102</v>
          </cell>
          <cell r="C54">
            <v>101373347674</v>
          </cell>
        </row>
        <row r="55">
          <cell r="B55">
            <v>11210</v>
          </cell>
          <cell r="C55">
            <v>101945431027</v>
          </cell>
        </row>
        <row r="56">
          <cell r="B56">
            <v>11172</v>
          </cell>
          <cell r="C56">
            <v>101373347321</v>
          </cell>
        </row>
        <row r="57">
          <cell r="B57">
            <v>10637</v>
          </cell>
          <cell r="C57">
            <v>101333656960</v>
          </cell>
        </row>
        <row r="58">
          <cell r="B58">
            <v>11199</v>
          </cell>
          <cell r="C58">
            <v>101999012675</v>
          </cell>
        </row>
        <row r="59">
          <cell r="B59">
            <v>10895</v>
          </cell>
          <cell r="C59">
            <v>102068356022</v>
          </cell>
        </row>
        <row r="60">
          <cell r="B60">
            <v>10697</v>
          </cell>
          <cell r="C60">
            <v>100868697651</v>
          </cell>
        </row>
        <row r="61">
          <cell r="B61">
            <v>10695</v>
          </cell>
          <cell r="C61">
            <v>101122043564</v>
          </cell>
        </row>
        <row r="62">
          <cell r="B62">
            <v>10687</v>
          </cell>
          <cell r="C62">
            <v>101461234657</v>
          </cell>
        </row>
        <row r="63">
          <cell r="B63">
            <v>11054</v>
          </cell>
          <cell r="C63">
            <v>100663842254</v>
          </cell>
        </row>
        <row r="64">
          <cell r="B64">
            <v>10720</v>
          </cell>
          <cell r="C64">
            <v>101737852753</v>
          </cell>
        </row>
        <row r="65">
          <cell r="B65">
            <v>10197</v>
          </cell>
          <cell r="C65">
            <v>101707827906</v>
          </cell>
        </row>
        <row r="66">
          <cell r="B66">
            <v>11171</v>
          </cell>
          <cell r="C66">
            <v>102038772359</v>
          </cell>
        </row>
        <row r="67">
          <cell r="B67">
            <v>11100</v>
          </cell>
          <cell r="C67">
            <v>102112812596</v>
          </cell>
        </row>
        <row r="68">
          <cell r="B68">
            <v>11053</v>
          </cell>
          <cell r="C68">
            <v>101273125424</v>
          </cell>
        </row>
        <row r="69">
          <cell r="B69">
            <v>11051</v>
          </cell>
          <cell r="C69">
            <v>101186719635</v>
          </cell>
        </row>
        <row r="70">
          <cell r="B70">
            <v>10809</v>
          </cell>
          <cell r="C70">
            <v>102049083309</v>
          </cell>
        </row>
        <row r="71">
          <cell r="B71">
            <v>11086</v>
          </cell>
          <cell r="C71">
            <v>100834677250</v>
          </cell>
        </row>
        <row r="72">
          <cell r="B72">
            <v>11008</v>
          </cell>
          <cell r="C72">
            <v>101564757437</v>
          </cell>
        </row>
        <row r="73">
          <cell r="B73">
            <v>11139</v>
          </cell>
          <cell r="C73">
            <v>102123198923</v>
          </cell>
        </row>
        <row r="74">
          <cell r="B74">
            <v>10875</v>
          </cell>
          <cell r="C74">
            <v>102035800478</v>
          </cell>
        </row>
        <row r="75">
          <cell r="B75">
            <v>10638</v>
          </cell>
          <cell r="C75">
            <v>101616832865</v>
          </cell>
        </row>
        <row r="76">
          <cell r="B76">
            <v>10712</v>
          </cell>
          <cell r="C76">
            <v>102000528319</v>
          </cell>
        </row>
        <row r="77">
          <cell r="B77">
            <v>10741</v>
          </cell>
          <cell r="C77">
            <v>100670405059</v>
          </cell>
        </row>
        <row r="78">
          <cell r="B78">
            <v>11104</v>
          </cell>
          <cell r="C78">
            <v>100987187358</v>
          </cell>
        </row>
        <row r="79">
          <cell r="B79">
            <v>11189</v>
          </cell>
          <cell r="C79">
            <v>100954337647</v>
          </cell>
        </row>
        <row r="80">
          <cell r="B80">
            <v>10388</v>
          </cell>
          <cell r="C80">
            <v>101284943885</v>
          </cell>
        </row>
        <row r="81">
          <cell r="B81">
            <v>10240</v>
          </cell>
          <cell r="C81">
            <v>101098740357</v>
          </cell>
        </row>
        <row r="82">
          <cell r="B82">
            <v>10242</v>
          </cell>
          <cell r="C82">
            <v>101098740388</v>
          </cell>
        </row>
        <row r="83">
          <cell r="B83">
            <v>10248</v>
          </cell>
          <cell r="C83">
            <v>101098740374</v>
          </cell>
        </row>
        <row r="84">
          <cell r="B84">
            <v>10249</v>
          </cell>
          <cell r="C84">
            <v>101098740498</v>
          </cell>
        </row>
        <row r="85">
          <cell r="B85">
            <v>10546</v>
          </cell>
          <cell r="C85">
            <v>101360236241</v>
          </cell>
        </row>
        <row r="86">
          <cell r="B86">
            <v>11044</v>
          </cell>
          <cell r="C86">
            <v>101304634159</v>
          </cell>
        </row>
        <row r="87">
          <cell r="B87">
            <v>11082</v>
          </cell>
          <cell r="C87">
            <v>102084836155</v>
          </cell>
        </row>
        <row r="88">
          <cell r="B88">
            <v>10544</v>
          </cell>
          <cell r="C88">
            <v>101063221124</v>
          </cell>
        </row>
        <row r="89">
          <cell r="B89">
            <v>10542</v>
          </cell>
          <cell r="C89">
            <v>101386668738</v>
          </cell>
        </row>
        <row r="90">
          <cell r="B90">
            <v>10548</v>
          </cell>
          <cell r="C90">
            <v>101528757047</v>
          </cell>
        </row>
        <row r="91">
          <cell r="B91">
            <v>10545</v>
          </cell>
          <cell r="C91">
            <v>101801121386</v>
          </cell>
        </row>
        <row r="92">
          <cell r="B92">
            <v>10727</v>
          </cell>
          <cell r="C92">
            <v>100885926638</v>
          </cell>
        </row>
        <row r="93">
          <cell r="B93">
            <v>10968</v>
          </cell>
          <cell r="C93">
            <v>101624204968</v>
          </cell>
        </row>
        <row r="94">
          <cell r="B94">
            <v>10961</v>
          </cell>
          <cell r="C94">
            <v>101577443239</v>
          </cell>
        </row>
        <row r="95">
          <cell r="B95">
            <v>11067</v>
          </cell>
          <cell r="C95">
            <v>101545856369</v>
          </cell>
        </row>
        <row r="96">
          <cell r="B96">
            <v>10633</v>
          </cell>
          <cell r="C96">
            <v>101955473980</v>
          </cell>
        </row>
        <row r="97">
          <cell r="B97">
            <v>11099</v>
          </cell>
          <cell r="C97">
            <v>101038030588</v>
          </cell>
        </row>
        <row r="98">
          <cell r="B98">
            <v>10582</v>
          </cell>
          <cell r="C98">
            <v>101777823372</v>
          </cell>
        </row>
        <row r="99">
          <cell r="B99">
            <v>11101</v>
          </cell>
          <cell r="C99">
            <v>101287813144</v>
          </cell>
        </row>
        <row r="100">
          <cell r="B100">
            <v>11185</v>
          </cell>
          <cell r="C100">
            <v>102090452365</v>
          </cell>
        </row>
        <row r="101">
          <cell r="B101">
            <v>11184</v>
          </cell>
          <cell r="C101">
            <v>101449170207</v>
          </cell>
        </row>
        <row r="102">
          <cell r="B102">
            <v>11206</v>
          </cell>
          <cell r="C102">
            <v>101705874179</v>
          </cell>
        </row>
        <row r="103">
          <cell r="B103">
            <v>10700</v>
          </cell>
          <cell r="C103">
            <v>101489008445</v>
          </cell>
        </row>
        <row r="104">
          <cell r="B104">
            <v>10305</v>
          </cell>
          <cell r="C104">
            <v>101519320939</v>
          </cell>
        </row>
        <row r="105">
          <cell r="B105">
            <v>10704</v>
          </cell>
          <cell r="C105">
            <v>102021285465</v>
          </cell>
        </row>
        <row r="106">
          <cell r="B106">
            <v>10302</v>
          </cell>
          <cell r="C106">
            <v>101538121427</v>
          </cell>
        </row>
        <row r="107">
          <cell r="B107">
            <v>10307</v>
          </cell>
          <cell r="C107">
            <v>100636053046</v>
          </cell>
        </row>
        <row r="108">
          <cell r="B108">
            <v>10304</v>
          </cell>
          <cell r="C108">
            <v>101381542340</v>
          </cell>
        </row>
        <row r="109">
          <cell r="B109">
            <v>10303</v>
          </cell>
          <cell r="C109">
            <v>101449158378</v>
          </cell>
        </row>
        <row r="110">
          <cell r="B110">
            <v>10510</v>
          </cell>
          <cell r="C110">
            <v>101270728330</v>
          </cell>
        </row>
        <row r="111">
          <cell r="B111">
            <v>10680</v>
          </cell>
          <cell r="C111">
            <v>101922836689</v>
          </cell>
        </row>
        <row r="112">
          <cell r="B112">
            <v>10624</v>
          </cell>
          <cell r="C112">
            <v>101611223770</v>
          </cell>
        </row>
        <row r="113">
          <cell r="B113">
            <v>11131</v>
          </cell>
          <cell r="C113">
            <v>101145772575</v>
          </cell>
        </row>
        <row r="114">
          <cell r="B114">
            <v>11178</v>
          </cell>
          <cell r="C114">
            <v>102074144326</v>
          </cell>
        </row>
        <row r="115">
          <cell r="B115">
            <v>11208</v>
          </cell>
          <cell r="C115">
            <v>101118361613</v>
          </cell>
        </row>
        <row r="116">
          <cell r="B116">
            <v>11205</v>
          </cell>
          <cell r="C116">
            <v>102090097415</v>
          </cell>
        </row>
        <row r="117">
          <cell r="B117">
            <v>11224</v>
          </cell>
          <cell r="C117">
            <v>101933880880</v>
          </cell>
        </row>
        <row r="118">
          <cell r="B118">
            <v>10906</v>
          </cell>
          <cell r="C118">
            <v>100485141701</v>
          </cell>
        </row>
        <row r="119">
          <cell r="B119">
            <v>10905</v>
          </cell>
          <cell r="C119">
            <v>101252450609</v>
          </cell>
        </row>
        <row r="120">
          <cell r="B120">
            <v>10947</v>
          </cell>
          <cell r="C120">
            <v>101897031030</v>
          </cell>
        </row>
        <row r="121">
          <cell r="B121">
            <v>11046</v>
          </cell>
          <cell r="C121">
            <v>101187041563</v>
          </cell>
        </row>
        <row r="122">
          <cell r="B122">
            <v>11057</v>
          </cell>
          <cell r="C122">
            <v>101303655148</v>
          </cell>
        </row>
        <row r="123">
          <cell r="B123">
            <v>10864</v>
          </cell>
          <cell r="C123">
            <v>101490216981</v>
          </cell>
        </row>
        <row r="124">
          <cell r="B124">
            <v>11132</v>
          </cell>
          <cell r="C124">
            <v>100626221464</v>
          </cell>
        </row>
        <row r="125">
          <cell r="B125">
            <v>11126</v>
          </cell>
          <cell r="C125">
            <v>100757165595</v>
          </cell>
        </row>
        <row r="126">
          <cell r="B126">
            <v>10694</v>
          </cell>
          <cell r="C126">
            <v>101257041650</v>
          </cell>
        </row>
        <row r="127">
          <cell r="B127">
            <v>11140</v>
          </cell>
          <cell r="C127">
            <v>101886228893</v>
          </cell>
        </row>
        <row r="128">
          <cell r="B128">
            <v>11114</v>
          </cell>
          <cell r="C128">
            <v>101821850423</v>
          </cell>
        </row>
        <row r="129">
          <cell r="B129">
            <v>11112</v>
          </cell>
          <cell r="C129">
            <v>101231262224</v>
          </cell>
        </row>
        <row r="130">
          <cell r="B130">
            <v>11017</v>
          </cell>
          <cell r="C130">
            <v>101933781667</v>
          </cell>
        </row>
        <row r="131">
          <cell r="B131">
            <v>11211</v>
          </cell>
          <cell r="C131">
            <v>101861756727</v>
          </cell>
        </row>
        <row r="132">
          <cell r="B132">
            <v>11093</v>
          </cell>
          <cell r="C132">
            <v>100569320931</v>
          </cell>
        </row>
        <row r="133">
          <cell r="B133">
            <v>10839</v>
          </cell>
          <cell r="C133">
            <v>101389814426</v>
          </cell>
        </row>
        <row r="134">
          <cell r="B134">
            <v>10798</v>
          </cell>
          <cell r="C134">
            <v>101408905518</v>
          </cell>
        </row>
        <row r="135">
          <cell r="B135">
            <v>10816</v>
          </cell>
          <cell r="C135">
            <v>101247834522</v>
          </cell>
        </row>
        <row r="136">
          <cell r="B136">
            <v>10849</v>
          </cell>
          <cell r="C136">
            <v>101573402067</v>
          </cell>
        </row>
        <row r="137">
          <cell r="B137">
            <v>11141</v>
          </cell>
          <cell r="C137">
            <v>101329119208</v>
          </cell>
        </row>
        <row r="138">
          <cell r="B138">
            <v>10845</v>
          </cell>
          <cell r="C138">
            <v>101990500843</v>
          </cell>
        </row>
        <row r="139">
          <cell r="B139">
            <v>10856</v>
          </cell>
          <cell r="C139">
            <v>102063264805</v>
          </cell>
        </row>
        <row r="140">
          <cell r="B140">
            <v>10872</v>
          </cell>
          <cell r="C140">
            <v>101871050787</v>
          </cell>
        </row>
        <row r="141">
          <cell r="B141">
            <v>10863</v>
          </cell>
          <cell r="C141">
            <v>102063472658</v>
          </cell>
        </row>
        <row r="142">
          <cell r="B142">
            <v>10873</v>
          </cell>
          <cell r="C142">
            <v>101901407207</v>
          </cell>
        </row>
        <row r="143">
          <cell r="B143">
            <v>10869</v>
          </cell>
          <cell r="C143">
            <v>101513160054</v>
          </cell>
        </row>
        <row r="144">
          <cell r="B144">
            <v>10877</v>
          </cell>
          <cell r="C144">
            <v>101669903266</v>
          </cell>
        </row>
        <row r="145">
          <cell r="B145">
            <v>10894</v>
          </cell>
          <cell r="C145">
            <v>101715521952</v>
          </cell>
        </row>
        <row r="146">
          <cell r="B146">
            <v>10896</v>
          </cell>
          <cell r="C146">
            <v>102023347435</v>
          </cell>
        </row>
        <row r="147">
          <cell r="B147">
            <v>10893</v>
          </cell>
          <cell r="C147">
            <v>102067956799</v>
          </cell>
        </row>
        <row r="148">
          <cell r="B148">
            <v>10928</v>
          </cell>
          <cell r="C148">
            <v>101441864372</v>
          </cell>
        </row>
        <row r="149">
          <cell r="B149">
            <v>11011</v>
          </cell>
          <cell r="C149">
            <v>102087994011</v>
          </cell>
        </row>
        <row r="150">
          <cell r="B150">
            <v>11009</v>
          </cell>
          <cell r="C150">
            <v>102087878745</v>
          </cell>
        </row>
        <row r="151">
          <cell r="B151">
            <v>11016</v>
          </cell>
          <cell r="C151">
            <v>102088043276</v>
          </cell>
        </row>
        <row r="152">
          <cell r="B152">
            <v>11010</v>
          </cell>
          <cell r="C152">
            <v>102087927445</v>
          </cell>
        </row>
        <row r="153">
          <cell r="B153">
            <v>11033</v>
          </cell>
          <cell r="C153">
            <v>102088877622</v>
          </cell>
        </row>
        <row r="154">
          <cell r="B154">
            <v>11041</v>
          </cell>
          <cell r="C154">
            <v>102089656878</v>
          </cell>
        </row>
        <row r="155">
          <cell r="B155">
            <v>11013</v>
          </cell>
          <cell r="C155">
            <v>102088006073</v>
          </cell>
        </row>
        <row r="156">
          <cell r="B156">
            <v>11031</v>
          </cell>
          <cell r="C156">
            <v>102088800151</v>
          </cell>
        </row>
        <row r="157">
          <cell r="B157">
            <v>11020</v>
          </cell>
          <cell r="C157">
            <v>101942461588</v>
          </cell>
        </row>
        <row r="158">
          <cell r="B158">
            <v>11113</v>
          </cell>
          <cell r="C158">
            <v>101621754703</v>
          </cell>
        </row>
        <row r="159">
          <cell r="B159">
            <v>11125</v>
          </cell>
          <cell r="C159">
            <v>101403423723</v>
          </cell>
        </row>
        <row r="160">
          <cell r="B160">
            <v>10366</v>
          </cell>
          <cell r="C160">
            <v>101839261311</v>
          </cell>
        </row>
        <row r="161">
          <cell r="B161">
            <v>10367</v>
          </cell>
          <cell r="C161">
            <v>101839267246</v>
          </cell>
        </row>
        <row r="162">
          <cell r="B162">
            <v>11174</v>
          </cell>
          <cell r="C162">
            <v>101260343456</v>
          </cell>
        </row>
        <row r="163">
          <cell r="B163">
            <v>11179</v>
          </cell>
          <cell r="C163">
            <v>102133576760</v>
          </cell>
        </row>
        <row r="164">
          <cell r="B164">
            <v>11173</v>
          </cell>
          <cell r="C164">
            <v>101889388890</v>
          </cell>
        </row>
        <row r="165">
          <cell r="B165">
            <v>11213</v>
          </cell>
          <cell r="C165">
            <v>101546786271</v>
          </cell>
        </row>
        <row r="166">
          <cell r="B166">
            <v>10857</v>
          </cell>
          <cell r="C166">
            <v>102049506142</v>
          </cell>
        </row>
        <row r="167">
          <cell r="B167">
            <v>11212</v>
          </cell>
          <cell r="C167">
            <v>102092749233</v>
          </cell>
        </row>
        <row r="168">
          <cell r="B168">
            <v>10771</v>
          </cell>
          <cell r="C168">
            <v>101377603896</v>
          </cell>
        </row>
        <row r="169">
          <cell r="B169">
            <v>10279</v>
          </cell>
          <cell r="C169">
            <v>101483518934</v>
          </cell>
        </row>
        <row r="170">
          <cell r="B170">
            <v>10278</v>
          </cell>
          <cell r="C170">
            <v>101419153234</v>
          </cell>
        </row>
        <row r="171">
          <cell r="B171">
            <v>10281</v>
          </cell>
          <cell r="C171">
            <v>101459617560</v>
          </cell>
        </row>
        <row r="172">
          <cell r="B172">
            <v>10781</v>
          </cell>
          <cell r="C172">
            <v>101883130133</v>
          </cell>
        </row>
        <row r="173">
          <cell r="B173">
            <v>10272</v>
          </cell>
          <cell r="C173">
            <v>100752389798</v>
          </cell>
        </row>
        <row r="174">
          <cell r="B174">
            <v>10763</v>
          </cell>
          <cell r="C174">
            <v>101448395127</v>
          </cell>
        </row>
        <row r="175">
          <cell r="B175">
            <v>10764</v>
          </cell>
          <cell r="C175">
            <v>101928669373</v>
          </cell>
        </row>
        <row r="176">
          <cell r="B176">
            <v>10897</v>
          </cell>
          <cell r="C176">
            <v>101123231321</v>
          </cell>
        </row>
        <row r="177">
          <cell r="B177">
            <v>11029</v>
          </cell>
          <cell r="C177">
            <v>100776108439</v>
          </cell>
        </row>
        <row r="178">
          <cell r="B178">
            <v>10984</v>
          </cell>
          <cell r="C178">
            <v>101433827014</v>
          </cell>
        </row>
        <row r="179">
          <cell r="B179">
            <v>10976</v>
          </cell>
          <cell r="C179">
            <v>101132041760</v>
          </cell>
        </row>
        <row r="180">
          <cell r="B180">
            <v>10987</v>
          </cell>
          <cell r="C180">
            <v>101354500139</v>
          </cell>
        </row>
        <row r="181">
          <cell r="B181">
            <v>10986</v>
          </cell>
          <cell r="C181">
            <v>101303714313</v>
          </cell>
        </row>
        <row r="182">
          <cell r="B182">
            <v>10989</v>
          </cell>
          <cell r="C182">
            <v>101366451264</v>
          </cell>
        </row>
        <row r="183">
          <cell r="B183">
            <v>10988</v>
          </cell>
          <cell r="C183">
            <v>101419332060</v>
          </cell>
        </row>
        <row r="184">
          <cell r="B184">
            <v>11215</v>
          </cell>
          <cell r="C184">
            <v>101817835987</v>
          </cell>
        </row>
        <row r="185">
          <cell r="B185">
            <v>10339</v>
          </cell>
          <cell r="C185">
            <v>101401592178</v>
          </cell>
        </row>
        <row r="186">
          <cell r="B186">
            <v>11030</v>
          </cell>
          <cell r="C186">
            <v>101195365890</v>
          </cell>
        </row>
        <row r="187">
          <cell r="B187">
            <v>11002</v>
          </cell>
          <cell r="C187">
            <v>101247198972</v>
          </cell>
        </row>
        <row r="188">
          <cell r="B188">
            <v>10970</v>
          </cell>
          <cell r="C188">
            <v>101397264446</v>
          </cell>
        </row>
        <row r="189">
          <cell r="B189">
            <v>10979</v>
          </cell>
          <cell r="C189">
            <v>101460853033</v>
          </cell>
        </row>
        <row r="190">
          <cell r="B190">
            <v>10982</v>
          </cell>
          <cell r="C190">
            <v>101296008357</v>
          </cell>
        </row>
        <row r="191">
          <cell r="B191">
            <v>11050</v>
          </cell>
          <cell r="C191">
            <v>102095609825</v>
          </cell>
        </row>
        <row r="192">
          <cell r="B192">
            <v>11049</v>
          </cell>
          <cell r="C192">
            <v>102095604570</v>
          </cell>
        </row>
        <row r="193">
          <cell r="B193">
            <v>11032</v>
          </cell>
          <cell r="C193">
            <v>101760846764</v>
          </cell>
        </row>
        <row r="194">
          <cell r="B194">
            <v>11116</v>
          </cell>
          <cell r="C194">
            <v>102120711813</v>
          </cell>
        </row>
        <row r="195">
          <cell r="B195">
            <v>11217</v>
          </cell>
          <cell r="C195">
            <v>102106814769</v>
          </cell>
        </row>
        <row r="196">
          <cell r="B196">
            <v>11022</v>
          </cell>
          <cell r="C196">
            <v>101467151132</v>
          </cell>
        </row>
        <row r="197">
          <cell r="B197">
            <v>10990</v>
          </cell>
          <cell r="C197">
            <v>101881581733</v>
          </cell>
        </row>
        <row r="198">
          <cell r="B198">
            <v>10981</v>
          </cell>
          <cell r="C198">
            <v>101730007908</v>
          </cell>
        </row>
        <row r="199">
          <cell r="B199">
            <v>11135</v>
          </cell>
          <cell r="C199">
            <v>101196241535</v>
          </cell>
        </row>
        <row r="200">
          <cell r="B200">
            <v>10977</v>
          </cell>
          <cell r="C200">
            <v>101823804746</v>
          </cell>
        </row>
        <row r="201">
          <cell r="B201">
            <v>11000</v>
          </cell>
          <cell r="C201">
            <v>101617561953</v>
          </cell>
        </row>
        <row r="202">
          <cell r="B202">
            <v>11026</v>
          </cell>
          <cell r="C202">
            <v>101807637370</v>
          </cell>
        </row>
        <row r="203">
          <cell r="B203">
            <v>11028</v>
          </cell>
          <cell r="C203">
            <v>101632172914</v>
          </cell>
        </row>
        <row r="204">
          <cell r="B204">
            <v>10991</v>
          </cell>
          <cell r="C204">
            <v>100589905743</v>
          </cell>
        </row>
        <row r="205">
          <cell r="B205">
            <v>10998</v>
          </cell>
          <cell r="C205">
            <v>101892177114</v>
          </cell>
        </row>
        <row r="206">
          <cell r="B206">
            <v>11023</v>
          </cell>
          <cell r="C206">
            <v>101807637362</v>
          </cell>
        </row>
        <row r="207">
          <cell r="B207">
            <v>10999</v>
          </cell>
          <cell r="C207">
            <v>101593955135</v>
          </cell>
        </row>
        <row r="208">
          <cell r="B208">
            <v>11182</v>
          </cell>
          <cell r="C208">
            <v>101155846091</v>
          </cell>
        </row>
        <row r="209">
          <cell r="B209">
            <v>11195</v>
          </cell>
          <cell r="C209">
            <v>101361203437</v>
          </cell>
        </row>
        <row r="210">
          <cell r="B210">
            <v>10980</v>
          </cell>
          <cell r="C210">
            <v>101455564664</v>
          </cell>
        </row>
        <row r="211">
          <cell r="B211">
            <v>10978</v>
          </cell>
          <cell r="C211">
            <v>101574086938</v>
          </cell>
        </row>
        <row r="212">
          <cell r="B212">
            <v>10985</v>
          </cell>
          <cell r="C212">
            <v>101611612492</v>
          </cell>
        </row>
        <row r="213">
          <cell r="B213">
            <v>10974</v>
          </cell>
          <cell r="C213">
            <v>101978749567</v>
          </cell>
        </row>
        <row r="214">
          <cell r="B214">
            <v>10983</v>
          </cell>
          <cell r="C214">
            <v>102012365701</v>
          </cell>
        </row>
        <row r="215">
          <cell r="B215">
            <v>11158</v>
          </cell>
          <cell r="C215">
            <v>101220132820</v>
          </cell>
        </row>
        <row r="216">
          <cell r="B216">
            <v>11203</v>
          </cell>
          <cell r="C216">
            <v>102140355601</v>
          </cell>
        </row>
        <row r="217">
          <cell r="B217">
            <v>10993</v>
          </cell>
          <cell r="C217">
            <v>101274362476</v>
          </cell>
        </row>
        <row r="218">
          <cell r="B218">
            <v>10997</v>
          </cell>
          <cell r="C218">
            <v>101129929727</v>
          </cell>
        </row>
        <row r="219">
          <cell r="B219">
            <v>11214</v>
          </cell>
          <cell r="C219">
            <v>102141445630</v>
          </cell>
        </row>
        <row r="220">
          <cell r="B220">
            <v>11058</v>
          </cell>
          <cell r="C220">
            <v>101818246573</v>
          </cell>
        </row>
        <row r="221">
          <cell r="B221">
            <v>10199</v>
          </cell>
          <cell r="C221">
            <v>100972165519</v>
          </cell>
        </row>
        <row r="222">
          <cell r="B222">
            <v>10200</v>
          </cell>
          <cell r="C222">
            <v>101709382238</v>
          </cell>
        </row>
        <row r="223">
          <cell r="B223">
            <v>10198</v>
          </cell>
          <cell r="C223">
            <v>101709364131</v>
          </cell>
        </row>
        <row r="224">
          <cell r="B224">
            <v>10054</v>
          </cell>
          <cell r="C224">
            <v>101405639352</v>
          </cell>
        </row>
        <row r="225">
          <cell r="B225">
            <v>10222</v>
          </cell>
          <cell r="C225">
            <v>101367022989</v>
          </cell>
        </row>
        <row r="226">
          <cell r="B226">
            <v>11196</v>
          </cell>
          <cell r="C226">
            <v>102136912664</v>
          </cell>
        </row>
        <row r="227">
          <cell r="B227">
            <v>11198</v>
          </cell>
          <cell r="C227">
            <v>102137565177</v>
          </cell>
        </row>
        <row r="228">
          <cell r="B228">
            <v>11108</v>
          </cell>
          <cell r="C228">
            <v>102120060214</v>
          </cell>
        </row>
        <row r="229">
          <cell r="B229">
            <v>10202</v>
          </cell>
          <cell r="C229">
            <v>101335348795</v>
          </cell>
        </row>
        <row r="230">
          <cell r="B230">
            <v>10218</v>
          </cell>
          <cell r="C230">
            <v>101490501814</v>
          </cell>
        </row>
        <row r="231">
          <cell r="B231">
            <v>11138</v>
          </cell>
          <cell r="C231">
            <v>102122808232</v>
          </cell>
        </row>
        <row r="232">
          <cell r="B232">
            <v>11163</v>
          </cell>
          <cell r="C232">
            <v>102130298813</v>
          </cell>
        </row>
        <row r="233">
          <cell r="B233">
            <v>11216</v>
          </cell>
          <cell r="C233">
            <v>102141829556</v>
          </cell>
        </row>
        <row r="234">
          <cell r="B234">
            <v>10208</v>
          </cell>
          <cell r="C234">
            <v>101712573007</v>
          </cell>
        </row>
        <row r="235">
          <cell r="B235">
            <v>10251</v>
          </cell>
          <cell r="C235">
            <v>101598408417</v>
          </cell>
        </row>
        <row r="236">
          <cell r="B236">
            <v>11176</v>
          </cell>
          <cell r="C236">
            <v>101202926095</v>
          </cell>
        </row>
        <row r="237">
          <cell r="B237">
            <v>11188</v>
          </cell>
          <cell r="C237">
            <v>101982984415</v>
          </cell>
        </row>
        <row r="238">
          <cell r="B238">
            <v>10265</v>
          </cell>
          <cell r="C238">
            <v>101767119796</v>
          </cell>
        </row>
        <row r="239">
          <cell r="B239">
            <v>10311</v>
          </cell>
          <cell r="C239">
            <v>101497454382</v>
          </cell>
        </row>
        <row r="240">
          <cell r="B240">
            <v>10883</v>
          </cell>
          <cell r="C240">
            <v>102063777568</v>
          </cell>
        </row>
        <row r="241">
          <cell r="B241">
            <v>11194</v>
          </cell>
          <cell r="C241">
            <v>102136414959</v>
          </cell>
        </row>
        <row r="242">
          <cell r="B242">
            <v>10459</v>
          </cell>
          <cell r="C242">
            <v>101866113509</v>
          </cell>
        </row>
        <row r="243">
          <cell r="B243">
            <v>10846</v>
          </cell>
          <cell r="C243">
            <v>101654401258</v>
          </cell>
        </row>
        <row r="244">
          <cell r="B244">
            <v>11160</v>
          </cell>
          <cell r="C244">
            <v>102130074981</v>
          </cell>
        </row>
        <row r="245">
          <cell r="B245">
            <v>10375</v>
          </cell>
          <cell r="C245">
            <v>101850873317</v>
          </cell>
        </row>
        <row r="246">
          <cell r="B246">
            <v>11103</v>
          </cell>
          <cell r="C246">
            <v>101660953063</v>
          </cell>
        </row>
        <row r="247">
          <cell r="B247">
            <v>11056</v>
          </cell>
          <cell r="C247">
            <v>102097292437</v>
          </cell>
        </row>
        <row r="248">
          <cell r="B248">
            <v>10141</v>
          </cell>
          <cell r="C248">
            <v>101108164847</v>
          </cell>
        </row>
        <row r="249">
          <cell r="B249">
            <v>10213</v>
          </cell>
          <cell r="C249">
            <v>100798107971</v>
          </cell>
        </row>
        <row r="250">
          <cell r="B250">
            <v>10221</v>
          </cell>
          <cell r="C250">
            <v>101727230319</v>
          </cell>
        </row>
        <row r="251">
          <cell r="B251">
            <v>10513</v>
          </cell>
          <cell r="C251">
            <v>101388576613</v>
          </cell>
        </row>
        <row r="252">
          <cell r="B252">
            <v>10476</v>
          </cell>
          <cell r="C252">
            <v>101477591305</v>
          </cell>
        </row>
        <row r="253">
          <cell r="B253">
            <v>10422</v>
          </cell>
          <cell r="C253">
            <v>101873885594</v>
          </cell>
        </row>
        <row r="254">
          <cell r="B254">
            <v>10786</v>
          </cell>
          <cell r="C254">
            <v>101859193285</v>
          </cell>
        </row>
        <row r="255">
          <cell r="B255">
            <v>11192</v>
          </cell>
          <cell r="C255">
            <v>102136409098</v>
          </cell>
        </row>
        <row r="256">
          <cell r="B256">
            <v>10209</v>
          </cell>
          <cell r="C256">
            <v>101712576210</v>
          </cell>
        </row>
        <row r="257">
          <cell r="B257">
            <v>10733</v>
          </cell>
          <cell r="C257">
            <v>102019991090</v>
          </cell>
        </row>
        <row r="258">
          <cell r="B258">
            <v>10372</v>
          </cell>
          <cell r="C258">
            <v>101848724135</v>
          </cell>
        </row>
        <row r="259">
          <cell r="B259">
            <v>10936</v>
          </cell>
          <cell r="C259">
            <v>101970363135</v>
          </cell>
        </row>
        <row r="260">
          <cell r="B260">
            <v>10319</v>
          </cell>
          <cell r="C260">
            <v>101001651099</v>
          </cell>
        </row>
        <row r="261">
          <cell r="B261">
            <v>10795</v>
          </cell>
          <cell r="C261">
            <v>101417484639</v>
          </cell>
        </row>
        <row r="262">
          <cell r="B262">
            <v>10900</v>
          </cell>
          <cell r="C262">
            <v>102070500328</v>
          </cell>
        </row>
        <row r="263">
          <cell r="B263">
            <v>10937</v>
          </cell>
          <cell r="C263">
            <v>102082864005</v>
          </cell>
        </row>
        <row r="264">
          <cell r="B264">
            <v>10493</v>
          </cell>
          <cell r="C264">
            <v>101925813981</v>
          </cell>
        </row>
        <row r="265">
          <cell r="B265">
            <v>10975</v>
          </cell>
          <cell r="C265">
            <v>102086190893</v>
          </cell>
        </row>
        <row r="266">
          <cell r="B266">
            <v>11155</v>
          </cell>
          <cell r="C266">
            <v>102129858480</v>
          </cell>
        </row>
        <row r="267">
          <cell r="B267">
            <v>11186</v>
          </cell>
          <cell r="C267">
            <v>102012242310</v>
          </cell>
        </row>
        <row r="268">
          <cell r="B268">
            <v>10551</v>
          </cell>
          <cell r="C268">
            <v>101562667766</v>
          </cell>
        </row>
        <row r="269">
          <cell r="B269">
            <v>10652</v>
          </cell>
          <cell r="C269">
            <v>101426454395</v>
          </cell>
        </row>
        <row r="270">
          <cell r="B270">
            <v>10007</v>
          </cell>
          <cell r="C270">
            <v>100553356360</v>
          </cell>
        </row>
        <row r="271">
          <cell r="B271">
            <v>10038</v>
          </cell>
          <cell r="C271">
            <v>100920328752</v>
          </cell>
        </row>
        <row r="272">
          <cell r="B272">
            <v>10006</v>
          </cell>
          <cell r="C272">
            <v>100552524361</v>
          </cell>
        </row>
        <row r="273">
          <cell r="B273">
            <v>10729</v>
          </cell>
          <cell r="C273">
            <v>102025249779</v>
          </cell>
        </row>
        <row r="274">
          <cell r="B274">
            <v>10848</v>
          </cell>
          <cell r="C274">
            <v>102062806914</v>
          </cell>
        </row>
        <row r="275">
          <cell r="B275">
            <v>10948</v>
          </cell>
          <cell r="C275">
            <v>101422147015</v>
          </cell>
        </row>
        <row r="276">
          <cell r="B276">
            <v>10693</v>
          </cell>
          <cell r="C276">
            <v>101895638404</v>
          </cell>
        </row>
        <row r="277">
          <cell r="B277">
            <v>10024</v>
          </cell>
          <cell r="C277">
            <v>100552673652</v>
          </cell>
        </row>
        <row r="278">
          <cell r="B278">
            <v>10037</v>
          </cell>
          <cell r="C278">
            <v>100553283113</v>
          </cell>
        </row>
        <row r="279">
          <cell r="B279">
            <v>10018</v>
          </cell>
          <cell r="C279">
            <v>100553080157</v>
          </cell>
        </row>
        <row r="280">
          <cell r="B280">
            <v>10002</v>
          </cell>
          <cell r="C280">
            <v>100552529222</v>
          </cell>
        </row>
        <row r="281">
          <cell r="B281">
            <v>10034</v>
          </cell>
          <cell r="C281">
            <v>100552892940</v>
          </cell>
        </row>
        <row r="282">
          <cell r="B282">
            <v>10575</v>
          </cell>
          <cell r="C282">
            <v>101965831923</v>
          </cell>
        </row>
        <row r="283">
          <cell r="B283">
            <v>11159</v>
          </cell>
          <cell r="C283">
            <v>102130070788</v>
          </cell>
        </row>
        <row r="284">
          <cell r="B284">
            <v>10008</v>
          </cell>
          <cell r="C284">
            <v>100732096571</v>
          </cell>
        </row>
        <row r="285">
          <cell r="B285">
            <v>10539</v>
          </cell>
          <cell r="C285">
            <v>101165930889</v>
          </cell>
        </row>
        <row r="286">
          <cell r="B286">
            <v>10609</v>
          </cell>
          <cell r="C286">
            <v>101483658937</v>
          </cell>
        </row>
        <row r="287">
          <cell r="B287" t="str">
            <v>2020/214</v>
          </cell>
          <cell r="C287">
            <v>101540178181</v>
          </cell>
        </row>
        <row r="288">
          <cell r="B288">
            <v>10837</v>
          </cell>
          <cell r="C288">
            <v>102058687472</v>
          </cell>
        </row>
        <row r="289">
          <cell r="B289">
            <v>11162</v>
          </cell>
          <cell r="C289">
            <v>102113935746</v>
          </cell>
        </row>
        <row r="290">
          <cell r="B290">
            <v>10785</v>
          </cell>
          <cell r="C290">
            <v>102038522068</v>
          </cell>
        </row>
        <row r="291">
          <cell r="B291">
            <v>11070</v>
          </cell>
          <cell r="C291">
            <v>102101491796</v>
          </cell>
        </row>
        <row r="292">
          <cell r="B292">
            <v>11142</v>
          </cell>
          <cell r="C292">
            <v>102124764387</v>
          </cell>
        </row>
        <row r="293">
          <cell r="B293">
            <v>11177</v>
          </cell>
          <cell r="C293">
            <v>102133130187</v>
          </cell>
        </row>
        <row r="294">
          <cell r="B294">
            <v>10517</v>
          </cell>
          <cell r="C294">
            <v>101491025422</v>
          </cell>
        </row>
        <row r="295">
          <cell r="B295">
            <v>10631</v>
          </cell>
          <cell r="C295">
            <v>101995909807</v>
          </cell>
        </row>
        <row r="296">
          <cell r="B296">
            <v>10683</v>
          </cell>
          <cell r="C296">
            <v>102012773768</v>
          </cell>
        </row>
        <row r="297">
          <cell r="B297">
            <v>10705</v>
          </cell>
          <cell r="C297">
            <v>101957756383</v>
          </cell>
        </row>
        <row r="298">
          <cell r="B298">
            <v>10943</v>
          </cell>
          <cell r="C298">
            <v>102083532953</v>
          </cell>
        </row>
        <row r="299">
          <cell r="B299" t="str">
            <v>2020/209</v>
          </cell>
          <cell r="C299">
            <v>101596364053</v>
          </cell>
        </row>
        <row r="300">
          <cell r="B300">
            <v>10787</v>
          </cell>
          <cell r="C300">
            <v>102039256927</v>
          </cell>
        </row>
        <row r="301">
          <cell r="B301" t="str">
            <v>2021/299</v>
          </cell>
          <cell r="C301">
            <v>101391242990</v>
          </cell>
        </row>
        <row r="302">
          <cell r="B302">
            <v>10027</v>
          </cell>
          <cell r="C302">
            <v>101366451240</v>
          </cell>
        </row>
        <row r="303">
          <cell r="B303" t="str">
            <v>2020/221</v>
          </cell>
          <cell r="C303">
            <v>101636601289</v>
          </cell>
        </row>
        <row r="304">
          <cell r="B304">
            <v>10013</v>
          </cell>
          <cell r="C304">
            <v>101336134979</v>
          </cell>
        </row>
        <row r="305">
          <cell r="B305">
            <v>11201</v>
          </cell>
          <cell r="C305">
            <v>101384329012</v>
          </cell>
        </row>
        <row r="306">
          <cell r="B306">
            <v>10010</v>
          </cell>
          <cell r="C306">
            <v>100552846122</v>
          </cell>
        </row>
        <row r="307">
          <cell r="B307">
            <v>10717</v>
          </cell>
          <cell r="C307">
            <v>102022163149</v>
          </cell>
        </row>
        <row r="308">
          <cell r="B308">
            <v>11157</v>
          </cell>
          <cell r="C308">
            <v>102108534042</v>
          </cell>
        </row>
        <row r="309">
          <cell r="B309">
            <v>10528</v>
          </cell>
          <cell r="C309">
            <v>101811241975</v>
          </cell>
        </row>
        <row r="310">
          <cell r="B310">
            <v>10941</v>
          </cell>
          <cell r="C310">
            <v>102083040092</v>
          </cell>
        </row>
        <row r="311">
          <cell r="B311">
            <v>11097</v>
          </cell>
          <cell r="C311">
            <v>102031497967</v>
          </cell>
        </row>
        <row r="312">
          <cell r="B312">
            <v>11128</v>
          </cell>
          <cell r="C312">
            <v>102012721397</v>
          </cell>
        </row>
        <row r="313">
          <cell r="B313" t="str">
            <v>2020/170</v>
          </cell>
          <cell r="C313">
            <v>101558076438</v>
          </cell>
        </row>
        <row r="314">
          <cell r="B314">
            <v>10526</v>
          </cell>
          <cell r="C314">
            <v>101942974458</v>
          </cell>
        </row>
        <row r="315">
          <cell r="B315">
            <v>10226</v>
          </cell>
          <cell r="C315">
            <v>101732532516</v>
          </cell>
        </row>
        <row r="316">
          <cell r="B316">
            <v>10045</v>
          </cell>
          <cell r="C316">
            <v>101425633083</v>
          </cell>
        </row>
        <row r="317">
          <cell r="B317">
            <v>11161</v>
          </cell>
          <cell r="C317">
            <v>101166941799</v>
          </cell>
        </row>
        <row r="318">
          <cell r="B318">
            <v>10313</v>
          </cell>
          <cell r="C318">
            <v>100262651287</v>
          </cell>
        </row>
        <row r="319">
          <cell r="B319">
            <v>10939</v>
          </cell>
          <cell r="C319">
            <v>102082995439</v>
          </cell>
        </row>
        <row r="320">
          <cell r="B320">
            <v>11094</v>
          </cell>
          <cell r="C320">
            <v>102108436846</v>
          </cell>
        </row>
        <row r="321">
          <cell r="B321">
            <v>11071</v>
          </cell>
          <cell r="C321">
            <v>102101650022</v>
          </cell>
        </row>
        <row r="322">
          <cell r="B322">
            <v>11106</v>
          </cell>
          <cell r="C322">
            <v>102120015776</v>
          </cell>
        </row>
        <row r="323">
          <cell r="B323">
            <v>10571</v>
          </cell>
          <cell r="C323">
            <v>101965759466</v>
          </cell>
        </row>
        <row r="324">
          <cell r="B324">
            <v>11187</v>
          </cell>
          <cell r="C324">
            <v>102135391050</v>
          </cell>
        </row>
        <row r="325">
          <cell r="B325">
            <v>11202</v>
          </cell>
          <cell r="C325">
            <v>102021736060</v>
          </cell>
        </row>
        <row r="326">
          <cell r="B326">
            <v>10374</v>
          </cell>
          <cell r="C326">
            <v>101848765001</v>
          </cell>
        </row>
        <row r="327">
          <cell r="B327">
            <v>10706</v>
          </cell>
          <cell r="C327">
            <v>100595915770</v>
          </cell>
        </row>
        <row r="328">
          <cell r="B328">
            <v>10324</v>
          </cell>
          <cell r="C328">
            <v>101812919680</v>
          </cell>
        </row>
        <row r="329">
          <cell r="B329">
            <v>10064</v>
          </cell>
          <cell r="C329">
            <v>101339294646</v>
          </cell>
        </row>
        <row r="330">
          <cell r="B330">
            <v>11036</v>
          </cell>
          <cell r="C330">
            <v>101620329460</v>
          </cell>
        </row>
        <row r="331">
          <cell r="B331">
            <v>10410</v>
          </cell>
          <cell r="C331">
            <v>101084203530</v>
          </cell>
        </row>
        <row r="332">
          <cell r="B332">
            <v>10885</v>
          </cell>
          <cell r="C332">
            <v>101510575264</v>
          </cell>
        </row>
        <row r="333">
          <cell r="B333">
            <v>10413</v>
          </cell>
          <cell r="C333">
            <v>101084176195</v>
          </cell>
        </row>
        <row r="334">
          <cell r="B334">
            <v>10450</v>
          </cell>
          <cell r="C334">
            <v>101448099028</v>
          </cell>
        </row>
        <row r="335">
          <cell r="B335">
            <v>10935</v>
          </cell>
          <cell r="C335">
            <v>101832266943</v>
          </cell>
        </row>
        <row r="336">
          <cell r="B336">
            <v>10408</v>
          </cell>
          <cell r="C336">
            <v>101383457552</v>
          </cell>
        </row>
        <row r="337">
          <cell r="B337">
            <v>10502</v>
          </cell>
          <cell r="C337">
            <v>100209627800</v>
          </cell>
        </row>
        <row r="338">
          <cell r="B338">
            <v>10886</v>
          </cell>
          <cell r="C338">
            <v>101971795621</v>
          </cell>
        </row>
        <row r="339">
          <cell r="B339">
            <v>10934</v>
          </cell>
          <cell r="C339">
            <v>101974676370</v>
          </cell>
        </row>
        <row r="340">
          <cell r="B340">
            <v>10426</v>
          </cell>
          <cell r="C340">
            <v>101874970158</v>
          </cell>
        </row>
        <row r="341">
          <cell r="B341">
            <v>11150</v>
          </cell>
          <cell r="C341">
            <v>100422438392</v>
          </cell>
        </row>
        <row r="342">
          <cell r="B342">
            <v>10436</v>
          </cell>
          <cell r="C342">
            <v>101617961289</v>
          </cell>
        </row>
        <row r="343">
          <cell r="B343">
            <v>10815</v>
          </cell>
          <cell r="C343">
            <v>101331690273</v>
          </cell>
        </row>
        <row r="344">
          <cell r="B344">
            <v>10714</v>
          </cell>
          <cell r="C344">
            <v>102022139221</v>
          </cell>
        </row>
        <row r="345">
          <cell r="B345">
            <v>10938</v>
          </cell>
          <cell r="C345">
            <v>102082941651</v>
          </cell>
        </row>
        <row r="346">
          <cell r="B346">
            <v>11025</v>
          </cell>
          <cell r="C346">
            <v>101710867497</v>
          </cell>
        </row>
        <row r="347">
          <cell r="B347">
            <v>10651</v>
          </cell>
          <cell r="C347">
            <v>101326446090</v>
          </cell>
        </row>
        <row r="348">
          <cell r="B348">
            <v>10396</v>
          </cell>
          <cell r="C348">
            <v>101159052235</v>
          </cell>
        </row>
        <row r="349">
          <cell r="B349">
            <v>10746</v>
          </cell>
          <cell r="C349">
            <v>102029808125</v>
          </cell>
        </row>
        <row r="350">
          <cell r="B350">
            <v>10437</v>
          </cell>
          <cell r="C350">
            <v>101696000582</v>
          </cell>
        </row>
        <row r="351">
          <cell r="B351">
            <v>10397</v>
          </cell>
          <cell r="C351">
            <v>101084175763</v>
          </cell>
        </row>
        <row r="352">
          <cell r="B352">
            <v>11042</v>
          </cell>
          <cell r="C352">
            <v>101166095986</v>
          </cell>
        </row>
        <row r="353">
          <cell r="B353">
            <v>11105</v>
          </cell>
          <cell r="C353">
            <v>102116523969</v>
          </cell>
        </row>
        <row r="354">
          <cell r="B354">
            <v>10790</v>
          </cell>
          <cell r="C354">
            <v>102041104621</v>
          </cell>
        </row>
        <row r="355">
          <cell r="B355">
            <v>10417</v>
          </cell>
          <cell r="C355">
            <v>101329673607</v>
          </cell>
        </row>
        <row r="356">
          <cell r="B356">
            <v>11200</v>
          </cell>
          <cell r="C356">
            <v>102093274859</v>
          </cell>
        </row>
        <row r="357">
          <cell r="B357">
            <v>10404</v>
          </cell>
          <cell r="C357">
            <v>101844860023</v>
          </cell>
        </row>
        <row r="358">
          <cell r="B358">
            <v>10610</v>
          </cell>
          <cell r="C358">
            <v>101773898892</v>
          </cell>
        </row>
        <row r="359">
          <cell r="B359">
            <v>10992</v>
          </cell>
          <cell r="C359">
            <v>102086306923</v>
          </cell>
        </row>
        <row r="360">
          <cell r="B360">
            <v>11137</v>
          </cell>
          <cell r="C360">
            <v>101250501020</v>
          </cell>
        </row>
        <row r="361">
          <cell r="B361">
            <v>10416</v>
          </cell>
          <cell r="C361">
            <v>101085081520</v>
          </cell>
        </row>
        <row r="362">
          <cell r="B362">
            <v>10398</v>
          </cell>
          <cell r="C362">
            <v>101084143371</v>
          </cell>
        </row>
        <row r="363">
          <cell r="B363">
            <v>11048</v>
          </cell>
          <cell r="C363">
            <v>102094942706</v>
          </cell>
        </row>
        <row r="364">
          <cell r="B364">
            <v>11164</v>
          </cell>
          <cell r="C364">
            <v>101247345768</v>
          </cell>
        </row>
        <row r="365">
          <cell r="B365">
            <v>10031</v>
          </cell>
          <cell r="C365">
            <v>101154917693</v>
          </cell>
        </row>
        <row r="366">
          <cell r="B366">
            <v>11006</v>
          </cell>
          <cell r="C366">
            <v>101810439465</v>
          </cell>
        </row>
        <row r="367">
          <cell r="B367">
            <v>10789</v>
          </cell>
          <cell r="C367">
            <v>100663635004</v>
          </cell>
        </row>
        <row r="368">
          <cell r="B368">
            <v>10425</v>
          </cell>
          <cell r="C368">
            <v>101874965963</v>
          </cell>
        </row>
        <row r="369">
          <cell r="B369">
            <v>10994</v>
          </cell>
          <cell r="C369">
            <v>101300040028</v>
          </cell>
        </row>
        <row r="370">
          <cell r="B370">
            <v>10784</v>
          </cell>
          <cell r="C370">
            <v>101193717008</v>
          </cell>
        </row>
        <row r="371">
          <cell r="B371">
            <v>10778</v>
          </cell>
          <cell r="C371">
            <v>100461564038</v>
          </cell>
        </row>
        <row r="372">
          <cell r="B372">
            <v>10779</v>
          </cell>
          <cell r="C372">
            <v>100751863219</v>
          </cell>
        </row>
        <row r="373">
          <cell r="B373" t="str">
            <v>2024/001</v>
          </cell>
          <cell r="C373">
            <v>102085484993</v>
          </cell>
        </row>
        <row r="374">
          <cell r="B374">
            <v>10751</v>
          </cell>
          <cell r="C374">
            <v>101741666795</v>
          </cell>
        </row>
        <row r="375">
          <cell r="B375">
            <v>10759</v>
          </cell>
          <cell r="C375">
            <v>101969887101</v>
          </cell>
        </row>
        <row r="376">
          <cell r="B376">
            <v>10752</v>
          </cell>
          <cell r="C376">
            <v>101797154820</v>
          </cell>
        </row>
        <row r="377">
          <cell r="B377">
            <v>10852</v>
          </cell>
          <cell r="C377">
            <v>102052943573</v>
          </cell>
        </row>
        <row r="378">
          <cell r="B378">
            <v>11064</v>
          </cell>
          <cell r="C378">
            <v>101591489642</v>
          </cell>
        </row>
        <row r="379">
          <cell r="B379">
            <v>11061</v>
          </cell>
          <cell r="C379">
            <v>101185696274</v>
          </cell>
        </row>
        <row r="380">
          <cell r="B380">
            <v>10750</v>
          </cell>
          <cell r="C380">
            <v>100839163249</v>
          </cell>
        </row>
        <row r="381">
          <cell r="B381">
            <v>10753</v>
          </cell>
          <cell r="C381">
            <v>101700244825</v>
          </cell>
        </row>
        <row r="382">
          <cell r="B382">
            <v>10755</v>
          </cell>
          <cell r="C382">
            <v>101223700676</v>
          </cell>
        </row>
        <row r="383">
          <cell r="B383">
            <v>10756</v>
          </cell>
          <cell r="C383">
            <v>100908189595</v>
          </cell>
        </row>
        <row r="384">
          <cell r="B384">
            <v>10748</v>
          </cell>
          <cell r="C384">
            <v>101371793580</v>
          </cell>
        </row>
        <row r="385">
          <cell r="B385">
            <v>10754</v>
          </cell>
          <cell r="C385">
            <v>101498500879</v>
          </cell>
        </row>
        <row r="386">
          <cell r="B386">
            <v>10758</v>
          </cell>
          <cell r="C386">
            <v>102030507555</v>
          </cell>
        </row>
        <row r="387">
          <cell r="B387">
            <v>10788</v>
          </cell>
          <cell r="C387">
            <v>102039287756</v>
          </cell>
        </row>
        <row r="388">
          <cell r="B388">
            <v>10836</v>
          </cell>
          <cell r="C388">
            <v>102058670346</v>
          </cell>
        </row>
        <row r="389">
          <cell r="B389">
            <v>10835</v>
          </cell>
          <cell r="C389">
            <v>102058663490</v>
          </cell>
        </row>
        <row r="390">
          <cell r="B390">
            <v>11095</v>
          </cell>
          <cell r="C390">
            <v>102016512573</v>
          </cell>
        </row>
        <row r="391">
          <cell r="B391">
            <v>10613</v>
          </cell>
          <cell r="C391">
            <v>101130682502</v>
          </cell>
        </row>
        <row r="392">
          <cell r="B392">
            <v>10619</v>
          </cell>
          <cell r="C392">
            <v>101959766845</v>
          </cell>
        </row>
        <row r="393">
          <cell r="B393">
            <v>10617</v>
          </cell>
          <cell r="C393">
            <v>101986366791</v>
          </cell>
        </row>
        <row r="394">
          <cell r="B394">
            <v>10620</v>
          </cell>
          <cell r="C394">
            <v>101512896139</v>
          </cell>
        </row>
        <row r="395">
          <cell r="B395">
            <v>10925</v>
          </cell>
          <cell r="C395">
            <v>101301984665</v>
          </cell>
        </row>
        <row r="396">
          <cell r="B396">
            <v>10618</v>
          </cell>
          <cell r="C396">
            <v>101329327064</v>
          </cell>
        </row>
        <row r="397">
          <cell r="B397">
            <v>10616</v>
          </cell>
          <cell r="C397">
            <v>101852944913</v>
          </cell>
        </row>
        <row r="398">
          <cell r="B398">
            <v>11127</v>
          </cell>
          <cell r="C398">
            <v>101213144296</v>
          </cell>
        </row>
        <row r="399">
          <cell r="B399">
            <v>10473</v>
          </cell>
          <cell r="C399">
            <v>101276562388</v>
          </cell>
        </row>
        <row r="400">
          <cell r="B400">
            <v>11080</v>
          </cell>
          <cell r="C400">
            <v>101922562690</v>
          </cell>
        </row>
        <row r="401">
          <cell r="B401">
            <v>11166</v>
          </cell>
          <cell r="C401">
            <v>101871401122</v>
          </cell>
        </row>
        <row r="402">
          <cell r="B402">
            <v>11084</v>
          </cell>
          <cell r="C402">
            <v>100927265086</v>
          </cell>
        </row>
        <row r="403">
          <cell r="B403">
            <v>10471</v>
          </cell>
          <cell r="C403">
            <v>101797537057</v>
          </cell>
        </row>
        <row r="404">
          <cell r="B404">
            <v>11190</v>
          </cell>
          <cell r="C404">
            <v>101491527611</v>
          </cell>
        </row>
        <row r="405">
          <cell r="B405">
            <v>10681</v>
          </cell>
          <cell r="C405">
            <v>101480183386</v>
          </cell>
        </row>
        <row r="406">
          <cell r="B406">
            <v>10828</v>
          </cell>
          <cell r="C406">
            <v>101608214756</v>
          </cell>
        </row>
        <row r="407">
          <cell r="B407">
            <v>10691</v>
          </cell>
          <cell r="C407">
            <v>101138985127</v>
          </cell>
        </row>
        <row r="408">
          <cell r="B408">
            <v>10351</v>
          </cell>
          <cell r="C408">
            <v>101653085282</v>
          </cell>
        </row>
        <row r="409">
          <cell r="B409">
            <v>10554</v>
          </cell>
          <cell r="C409">
            <v>101134463240</v>
          </cell>
        </row>
        <row r="410">
          <cell r="B410">
            <v>10391</v>
          </cell>
          <cell r="C410">
            <v>101134463272</v>
          </cell>
        </row>
        <row r="411">
          <cell r="B411">
            <v>10927</v>
          </cell>
          <cell r="C411">
            <v>101921514991</v>
          </cell>
        </row>
        <row r="412">
          <cell r="B412">
            <v>10903</v>
          </cell>
          <cell r="C412">
            <v>102074080178</v>
          </cell>
        </row>
        <row r="413">
          <cell r="B413">
            <v>10891</v>
          </cell>
          <cell r="C413">
            <v>102065510419</v>
          </cell>
        </row>
        <row r="414">
          <cell r="B414">
            <v>10605</v>
          </cell>
          <cell r="C414">
            <v>101645927849</v>
          </cell>
        </row>
        <row r="415">
          <cell r="B415">
            <v>10737</v>
          </cell>
          <cell r="C415">
            <v>101976460134</v>
          </cell>
        </row>
        <row r="416">
          <cell r="B416">
            <v>11149</v>
          </cell>
          <cell r="C416">
            <v>100664728581</v>
          </cell>
        </row>
        <row r="417">
          <cell r="B417">
            <v>11204</v>
          </cell>
          <cell r="C417">
            <v>102140481910</v>
          </cell>
        </row>
        <row r="418">
          <cell r="B418">
            <v>10341</v>
          </cell>
          <cell r="C418">
            <v>101279327061</v>
          </cell>
        </row>
        <row r="419">
          <cell r="B419">
            <v>10347</v>
          </cell>
          <cell r="C419">
            <v>100664789073</v>
          </cell>
        </row>
        <row r="420">
          <cell r="B420">
            <v>10376</v>
          </cell>
          <cell r="C420">
            <v>100775657873</v>
          </cell>
        </row>
        <row r="421">
          <cell r="B421">
            <v>10340</v>
          </cell>
          <cell r="C421">
            <v>101427469477</v>
          </cell>
        </row>
        <row r="422">
          <cell r="B422">
            <v>10353</v>
          </cell>
          <cell r="C422">
            <v>101222620006</v>
          </cell>
        </row>
        <row r="423">
          <cell r="B423">
            <v>10363</v>
          </cell>
          <cell r="C423">
            <v>101216749013</v>
          </cell>
        </row>
        <row r="424">
          <cell r="B424">
            <v>10359</v>
          </cell>
          <cell r="C424">
            <v>100664727245</v>
          </cell>
        </row>
        <row r="425">
          <cell r="B425">
            <v>10357</v>
          </cell>
          <cell r="C425">
            <v>100581331234</v>
          </cell>
        </row>
        <row r="426">
          <cell r="B426">
            <v>10338</v>
          </cell>
          <cell r="C426">
            <v>101266231121</v>
          </cell>
        </row>
        <row r="427">
          <cell r="B427">
            <v>10345</v>
          </cell>
          <cell r="C427">
            <v>101293095106</v>
          </cell>
        </row>
        <row r="428">
          <cell r="B428">
            <v>10362</v>
          </cell>
          <cell r="C428">
            <v>101056610724</v>
          </cell>
        </row>
        <row r="429">
          <cell r="B429">
            <v>10360</v>
          </cell>
          <cell r="C429">
            <v>101183263931</v>
          </cell>
        </row>
        <row r="430">
          <cell r="B430">
            <v>10348</v>
          </cell>
          <cell r="C430">
            <v>101653099212</v>
          </cell>
        </row>
        <row r="431">
          <cell r="B431">
            <v>10909</v>
          </cell>
          <cell r="C431">
            <v>102074214807</v>
          </cell>
        </row>
        <row r="432">
          <cell r="B432">
            <v>10933</v>
          </cell>
          <cell r="C432">
            <v>101826795816</v>
          </cell>
        </row>
        <row r="433">
          <cell r="B433">
            <v>10929</v>
          </cell>
          <cell r="C433">
            <v>100799588061</v>
          </cell>
        </row>
        <row r="434">
          <cell r="B434">
            <v>11047</v>
          </cell>
          <cell r="C434">
            <v>100633890664</v>
          </cell>
        </row>
        <row r="435">
          <cell r="B435">
            <v>10743</v>
          </cell>
          <cell r="C435">
            <v>100208023019</v>
          </cell>
        </row>
        <row r="436">
          <cell r="B436">
            <v>11152</v>
          </cell>
          <cell r="C436">
            <v>101384586232</v>
          </cell>
        </row>
        <row r="437">
          <cell r="B437">
            <v>10383</v>
          </cell>
          <cell r="C437">
            <v>101135611160</v>
          </cell>
        </row>
        <row r="438">
          <cell r="B438">
            <v>10830</v>
          </cell>
          <cell r="C438">
            <v>101328510850</v>
          </cell>
        </row>
        <row r="439">
          <cell r="B439">
            <v>10887</v>
          </cell>
          <cell r="C439">
            <v>101316695891</v>
          </cell>
        </row>
        <row r="440">
          <cell r="B440">
            <v>10531</v>
          </cell>
          <cell r="C440">
            <v>101524486437</v>
          </cell>
        </row>
        <row r="441">
          <cell r="B441">
            <v>11151</v>
          </cell>
          <cell r="C441">
            <v>100735039809</v>
          </cell>
        </row>
        <row r="442">
          <cell r="B442">
            <v>11134</v>
          </cell>
          <cell r="C442">
            <v>101555426291</v>
          </cell>
        </row>
        <row r="443">
          <cell r="B443">
            <v>10667</v>
          </cell>
          <cell r="C443">
            <v>101432013549</v>
          </cell>
        </row>
        <row r="444">
          <cell r="B444">
            <v>10660</v>
          </cell>
          <cell r="C444">
            <v>101653705703</v>
          </cell>
        </row>
        <row r="445">
          <cell r="B445">
            <v>11119</v>
          </cell>
          <cell r="C445">
            <v>101694320811</v>
          </cell>
        </row>
        <row r="446">
          <cell r="B446">
            <v>11117</v>
          </cell>
          <cell r="C446">
            <v>101268519194</v>
          </cell>
        </row>
        <row r="447">
          <cell r="B447">
            <v>11118</v>
          </cell>
          <cell r="C447">
            <v>101866095470</v>
          </cell>
        </row>
        <row r="448">
          <cell r="B448">
            <v>11123</v>
          </cell>
          <cell r="C448">
            <v>101441143667</v>
          </cell>
        </row>
        <row r="449">
          <cell r="B449">
            <v>11124</v>
          </cell>
          <cell r="C449">
            <v>101441143622</v>
          </cell>
        </row>
        <row r="450">
          <cell r="B450">
            <v>10950</v>
          </cell>
          <cell r="C450">
            <v>101513364506</v>
          </cell>
        </row>
        <row r="451">
          <cell r="B451">
            <v>10957</v>
          </cell>
          <cell r="C451">
            <v>101887957097</v>
          </cell>
        </row>
        <row r="452">
          <cell r="B452">
            <v>10951</v>
          </cell>
          <cell r="C452">
            <v>101562528089</v>
          </cell>
        </row>
        <row r="453">
          <cell r="B453">
            <v>10956</v>
          </cell>
          <cell r="C453">
            <v>101574421599</v>
          </cell>
        </row>
        <row r="454">
          <cell r="B454">
            <v>10949</v>
          </cell>
          <cell r="C454">
            <v>101209146397</v>
          </cell>
        </row>
        <row r="455">
          <cell r="B455">
            <v>10963</v>
          </cell>
          <cell r="C455">
            <v>101957544353</v>
          </cell>
        </row>
        <row r="456">
          <cell r="B456">
            <v>10960</v>
          </cell>
          <cell r="C456">
            <v>101840632558</v>
          </cell>
        </row>
        <row r="457">
          <cell r="B457">
            <v>10966</v>
          </cell>
          <cell r="C457">
            <v>102085191542</v>
          </cell>
        </row>
        <row r="458">
          <cell r="B458">
            <v>10965</v>
          </cell>
          <cell r="C458">
            <v>101216447133</v>
          </cell>
        </row>
        <row r="459">
          <cell r="B459">
            <v>11014</v>
          </cell>
          <cell r="C459">
            <v>102088023742</v>
          </cell>
        </row>
        <row r="460">
          <cell r="B460">
            <v>11077</v>
          </cell>
          <cell r="C460">
            <v>102102845163</v>
          </cell>
        </row>
        <row r="461">
          <cell r="B461">
            <v>11074</v>
          </cell>
          <cell r="C461">
            <v>102059303460</v>
          </cell>
        </row>
        <row r="462">
          <cell r="B462">
            <v>11076</v>
          </cell>
          <cell r="C462">
            <v>102102803783</v>
          </cell>
        </row>
        <row r="463">
          <cell r="B463">
            <v>11091</v>
          </cell>
          <cell r="C463">
            <v>101270727649</v>
          </cell>
        </row>
        <row r="464">
          <cell r="B464">
            <v>11143</v>
          </cell>
          <cell r="C464">
            <v>102125112245</v>
          </cell>
        </row>
        <row r="465">
          <cell r="B465">
            <v>11146</v>
          </cell>
          <cell r="C465">
            <v>101865597580</v>
          </cell>
        </row>
        <row r="466">
          <cell r="B466">
            <v>11145</v>
          </cell>
          <cell r="C466">
            <v>102125127557</v>
          </cell>
        </row>
        <row r="467">
          <cell r="B467">
            <v>11136</v>
          </cell>
          <cell r="C467">
            <v>102122109446</v>
          </cell>
        </row>
        <row r="468">
          <cell r="B468">
            <v>11180</v>
          </cell>
          <cell r="C468">
            <v>102133578551</v>
          </cell>
        </row>
        <row r="469">
          <cell r="B469">
            <v>11220</v>
          </cell>
          <cell r="C469">
            <v>101538586267</v>
          </cell>
        </row>
        <row r="470">
          <cell r="B470">
            <v>11222</v>
          </cell>
          <cell r="C470">
            <v>101923279456</v>
          </cell>
        </row>
        <row r="471">
          <cell r="B471">
            <v>11221</v>
          </cell>
          <cell r="C471">
            <v>101933563335</v>
          </cell>
        </row>
        <row r="472">
          <cell r="B472">
            <v>11219</v>
          </cell>
          <cell r="C472">
            <v>101420924579</v>
          </cell>
        </row>
        <row r="473">
          <cell r="B473">
            <v>11207</v>
          </cell>
          <cell r="C473">
            <v>102140816668</v>
          </cell>
        </row>
        <row r="474">
          <cell r="B474">
            <v>10797</v>
          </cell>
          <cell r="C474">
            <v>102048403297</v>
          </cell>
        </row>
        <row r="475">
          <cell r="B475">
            <v>10907</v>
          </cell>
          <cell r="C475">
            <v>101378459867</v>
          </cell>
        </row>
        <row r="476">
          <cell r="B476">
            <v>10902</v>
          </cell>
          <cell r="C476">
            <v>101903515340</v>
          </cell>
        </row>
        <row r="477">
          <cell r="B477">
            <v>10932</v>
          </cell>
          <cell r="C477">
            <v>101196640177</v>
          </cell>
        </row>
        <row r="478">
          <cell r="B478">
            <v>11021</v>
          </cell>
          <cell r="C478">
            <v>102088242004</v>
          </cell>
        </row>
        <row r="479">
          <cell r="B479">
            <v>10592</v>
          </cell>
          <cell r="C479">
            <v>101979889018</v>
          </cell>
        </row>
        <row r="480">
          <cell r="B480">
            <v>10569</v>
          </cell>
          <cell r="C480">
            <v>100126050414</v>
          </cell>
        </row>
        <row r="481">
          <cell r="B481">
            <v>10563</v>
          </cell>
          <cell r="C481">
            <v>101877237534</v>
          </cell>
        </row>
        <row r="482">
          <cell r="B482">
            <v>10561</v>
          </cell>
          <cell r="C482">
            <v>100209914287</v>
          </cell>
        </row>
        <row r="483">
          <cell r="B483">
            <v>11129</v>
          </cell>
          <cell r="C483">
            <v>101953334516</v>
          </cell>
        </row>
        <row r="484">
          <cell r="B484">
            <v>10562</v>
          </cell>
          <cell r="C484">
            <v>100788779347</v>
          </cell>
        </row>
        <row r="485">
          <cell r="B485">
            <v>10568</v>
          </cell>
          <cell r="C485">
            <v>101877237547</v>
          </cell>
        </row>
        <row r="486">
          <cell r="B486">
            <v>11045</v>
          </cell>
          <cell r="C486">
            <v>101504129359</v>
          </cell>
        </row>
        <row r="487">
          <cell r="B487">
            <v>10791</v>
          </cell>
          <cell r="C487">
            <v>102041553689</v>
          </cell>
        </row>
        <row r="488">
          <cell r="B488">
            <v>11121</v>
          </cell>
          <cell r="C488">
            <v>101601614510</v>
          </cell>
        </row>
        <row r="489">
          <cell r="B489">
            <v>10973</v>
          </cell>
          <cell r="C489">
            <v>102086166454</v>
          </cell>
        </row>
        <row r="490">
          <cell r="B490">
            <v>11059</v>
          </cell>
          <cell r="C490">
            <v>101250929560</v>
          </cell>
        </row>
        <row r="491">
          <cell r="B491">
            <v>11096</v>
          </cell>
          <cell r="C491">
            <v>100555877253</v>
          </cell>
        </row>
        <row r="492">
          <cell r="B492">
            <v>10850</v>
          </cell>
          <cell r="C492">
            <v>100668773736</v>
          </cell>
        </row>
        <row r="493">
          <cell r="B493">
            <v>10559</v>
          </cell>
          <cell r="C493">
            <v>101303933752</v>
          </cell>
        </row>
        <row r="494">
          <cell r="B494">
            <v>10972</v>
          </cell>
          <cell r="C494">
            <v>102086162342</v>
          </cell>
        </row>
        <row r="495">
          <cell r="B495">
            <v>10591</v>
          </cell>
          <cell r="C495">
            <v>100063139618</v>
          </cell>
        </row>
        <row r="496">
          <cell r="B496">
            <v>10557</v>
          </cell>
          <cell r="C496">
            <v>101460534565</v>
          </cell>
        </row>
        <row r="497">
          <cell r="B497">
            <v>10560</v>
          </cell>
          <cell r="C497">
            <v>101741456171</v>
          </cell>
        </row>
        <row r="498">
          <cell r="B498">
            <v>10567</v>
          </cell>
          <cell r="C498">
            <v>100209914294</v>
          </cell>
        </row>
        <row r="499">
          <cell r="B499">
            <v>11218</v>
          </cell>
          <cell r="C499">
            <v>102142943287</v>
          </cell>
        </row>
      </sheetData>
      <sheetData sheetId="4">
        <row r="5">
          <cell r="D5">
            <v>10283</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mployee Data"/>
      <sheetName val="Customer Details"/>
      <sheetName val="CONSOLIDATE SUMMARY"/>
      <sheetName val="PF"/>
      <sheetName val="ESIC"/>
      <sheetName val="NOT PAID ESI"/>
      <sheetName val="Sheet1"/>
    </sheetNames>
    <sheetDataSet>
      <sheetData sheetId="0"/>
      <sheetData sheetId="1"/>
      <sheetData sheetId="2"/>
      <sheetData sheetId="3">
        <row r="3">
          <cell r="C3">
            <v>10310</v>
          </cell>
          <cell r="D3">
            <v>100855038442</v>
          </cell>
        </row>
        <row r="4">
          <cell r="C4" t="str">
            <v>2019/169</v>
          </cell>
          <cell r="D4">
            <v>101699660082</v>
          </cell>
        </row>
        <row r="5">
          <cell r="C5" t="str">
            <v>2021/262</v>
          </cell>
          <cell r="D5">
            <v>100926173121</v>
          </cell>
        </row>
        <row r="6">
          <cell r="C6">
            <v>11167</v>
          </cell>
          <cell r="D6">
            <v>102132393603</v>
          </cell>
        </row>
        <row r="7">
          <cell r="C7">
            <v>10823</v>
          </cell>
          <cell r="D7">
            <v>101334407549</v>
          </cell>
        </row>
        <row r="8">
          <cell r="C8">
            <v>11183</v>
          </cell>
          <cell r="D8">
            <v>101152507138</v>
          </cell>
        </row>
        <row r="9">
          <cell r="C9">
            <v>10355</v>
          </cell>
          <cell r="D9">
            <v>101576097175</v>
          </cell>
        </row>
        <row r="10">
          <cell r="C10">
            <v>10371</v>
          </cell>
          <cell r="D10">
            <v>101270731525</v>
          </cell>
        </row>
        <row r="11">
          <cell r="C11">
            <v>10283</v>
          </cell>
          <cell r="D11">
            <v>100649196626</v>
          </cell>
        </row>
        <row r="12">
          <cell r="C12">
            <v>10650</v>
          </cell>
          <cell r="D12">
            <v>102002282968</v>
          </cell>
        </row>
        <row r="13">
          <cell r="C13">
            <v>10649</v>
          </cell>
          <cell r="D13">
            <v>101981046197</v>
          </cell>
        </row>
        <row r="14">
          <cell r="C14">
            <v>11098</v>
          </cell>
          <cell r="D14">
            <v>102081894590</v>
          </cell>
        </row>
        <row r="15">
          <cell r="C15">
            <v>11144</v>
          </cell>
          <cell r="D15">
            <v>102125120909</v>
          </cell>
        </row>
        <row r="16">
          <cell r="C16">
            <v>11168</v>
          </cell>
          <cell r="D16">
            <v>102132429423</v>
          </cell>
        </row>
        <row r="17">
          <cell r="C17">
            <v>10908</v>
          </cell>
          <cell r="D17">
            <v>101974640943</v>
          </cell>
        </row>
        <row r="18">
          <cell r="C18">
            <v>10602</v>
          </cell>
          <cell r="D18">
            <v>100896454728</v>
          </cell>
        </row>
        <row r="19">
          <cell r="C19">
            <v>10578</v>
          </cell>
          <cell r="D19">
            <v>101965831934</v>
          </cell>
        </row>
        <row r="20">
          <cell r="C20">
            <v>11209</v>
          </cell>
          <cell r="D20">
            <v>102078665083</v>
          </cell>
        </row>
        <row r="21">
          <cell r="C21">
            <v>10655</v>
          </cell>
          <cell r="D21">
            <v>100967600899</v>
          </cell>
        </row>
        <row r="22">
          <cell r="C22">
            <v>10296</v>
          </cell>
          <cell r="D22">
            <v>101023216919</v>
          </cell>
        </row>
        <row r="23">
          <cell r="C23">
            <v>10664</v>
          </cell>
          <cell r="D23">
            <v>101954174011</v>
          </cell>
        </row>
        <row r="24">
          <cell r="C24">
            <v>10261</v>
          </cell>
          <cell r="D24">
            <v>101743682453</v>
          </cell>
        </row>
        <row r="25">
          <cell r="C25">
            <v>11087</v>
          </cell>
          <cell r="D25">
            <v>102109793745</v>
          </cell>
        </row>
        <row r="26">
          <cell r="C26">
            <v>11191</v>
          </cell>
          <cell r="D26">
            <v>102136403166</v>
          </cell>
        </row>
        <row r="27">
          <cell r="C27">
            <v>10965</v>
          </cell>
          <cell r="D27">
            <v>101216447133</v>
          </cell>
        </row>
        <row r="28">
          <cell r="C28">
            <v>11249</v>
          </cell>
          <cell r="D28">
            <v>101820491872</v>
          </cell>
        </row>
        <row r="29">
          <cell r="C29">
            <v>11251</v>
          </cell>
          <cell r="D29">
            <v>102049670247</v>
          </cell>
        </row>
        <row r="30">
          <cell r="C30">
            <v>10710</v>
          </cell>
          <cell r="D30">
            <v>101235929645</v>
          </cell>
        </row>
        <row r="31">
          <cell r="C31">
            <v>10293</v>
          </cell>
          <cell r="D31">
            <v>101793955281</v>
          </cell>
        </row>
        <row r="32">
          <cell r="C32">
            <v>10713</v>
          </cell>
          <cell r="D32">
            <v>100757165763</v>
          </cell>
        </row>
        <row r="33">
          <cell r="C33">
            <v>10946</v>
          </cell>
          <cell r="D33">
            <v>101545857145</v>
          </cell>
        </row>
        <row r="34">
          <cell r="C34">
            <v>11170</v>
          </cell>
          <cell r="D34">
            <v>101135610688</v>
          </cell>
        </row>
        <row r="35">
          <cell r="C35">
            <v>11066</v>
          </cell>
          <cell r="D35">
            <v>101420924099</v>
          </cell>
        </row>
        <row r="36">
          <cell r="C36">
            <v>11153</v>
          </cell>
          <cell r="D36">
            <v>101354019536</v>
          </cell>
        </row>
        <row r="37">
          <cell r="C37">
            <v>11224</v>
          </cell>
          <cell r="D37">
            <v>101933880880</v>
          </cell>
        </row>
        <row r="38">
          <cell r="C38">
            <v>11254</v>
          </cell>
          <cell r="D38">
            <v>102154705237</v>
          </cell>
        </row>
        <row r="39">
          <cell r="C39">
            <v>10762</v>
          </cell>
          <cell r="D39">
            <v>101464842237</v>
          </cell>
        </row>
        <row r="40">
          <cell r="C40">
            <v>11081</v>
          </cell>
          <cell r="D40">
            <v>101623532692</v>
          </cell>
        </row>
        <row r="41">
          <cell r="C41">
            <v>10585</v>
          </cell>
          <cell r="D41">
            <v>101201162069</v>
          </cell>
        </row>
        <row r="42">
          <cell r="C42" t="str">
            <v>2020/188</v>
          </cell>
          <cell r="D42">
            <v>101236328368</v>
          </cell>
        </row>
        <row r="43">
          <cell r="C43" t="str">
            <v>2020/207</v>
          </cell>
          <cell r="D43">
            <v>101254717595</v>
          </cell>
        </row>
        <row r="44">
          <cell r="C44">
            <v>10479</v>
          </cell>
          <cell r="D44">
            <v>101609715709</v>
          </cell>
        </row>
        <row r="45">
          <cell r="C45">
            <v>11043</v>
          </cell>
          <cell r="D45">
            <v>102090573913</v>
          </cell>
        </row>
        <row r="46">
          <cell r="C46" t="str">
            <v>2020/206</v>
          </cell>
          <cell r="D46">
            <v>101340368098</v>
          </cell>
        </row>
        <row r="47">
          <cell r="C47">
            <v>10294</v>
          </cell>
          <cell r="D47">
            <v>101298193593</v>
          </cell>
        </row>
        <row r="48">
          <cell r="C48" t="str">
            <v>2020/190</v>
          </cell>
          <cell r="D48">
            <v>101387398868</v>
          </cell>
        </row>
        <row r="49">
          <cell r="C49">
            <v>10478</v>
          </cell>
          <cell r="D49">
            <v>101891804540</v>
          </cell>
        </row>
        <row r="50">
          <cell r="C50">
            <v>10532</v>
          </cell>
          <cell r="D50">
            <v>101917861447</v>
          </cell>
        </row>
        <row r="51">
          <cell r="C51">
            <v>10533</v>
          </cell>
          <cell r="D51">
            <v>101887742675</v>
          </cell>
        </row>
        <row r="52">
          <cell r="C52">
            <v>10774</v>
          </cell>
          <cell r="D52">
            <v>102037499870</v>
          </cell>
        </row>
        <row r="53">
          <cell r="C53">
            <v>10881</v>
          </cell>
          <cell r="D53">
            <v>101163951695</v>
          </cell>
        </row>
        <row r="54">
          <cell r="C54">
            <v>10611</v>
          </cell>
          <cell r="D54">
            <v>100000707467</v>
          </cell>
        </row>
        <row r="55">
          <cell r="C55">
            <v>10952</v>
          </cell>
          <cell r="D55">
            <v>101835274895</v>
          </cell>
        </row>
        <row r="56">
          <cell r="C56">
            <v>10964</v>
          </cell>
          <cell r="D56">
            <v>101903408207</v>
          </cell>
        </row>
        <row r="57">
          <cell r="C57">
            <v>11102</v>
          </cell>
          <cell r="D57">
            <v>101373347674</v>
          </cell>
        </row>
        <row r="58">
          <cell r="C58">
            <v>11210</v>
          </cell>
          <cell r="D58">
            <v>101945431027</v>
          </cell>
        </row>
        <row r="59">
          <cell r="C59">
            <v>11172</v>
          </cell>
          <cell r="D59">
            <v>101373347321</v>
          </cell>
        </row>
        <row r="60">
          <cell r="C60">
            <v>10637</v>
          </cell>
          <cell r="D60">
            <v>101333656960</v>
          </cell>
        </row>
        <row r="61">
          <cell r="C61">
            <v>10838</v>
          </cell>
          <cell r="D61">
            <v>101443045467</v>
          </cell>
        </row>
        <row r="62">
          <cell r="C62">
            <v>11199</v>
          </cell>
          <cell r="D62">
            <v>101999012675</v>
          </cell>
        </row>
        <row r="63">
          <cell r="C63">
            <v>10697</v>
          </cell>
          <cell r="D63">
            <v>100868697651</v>
          </cell>
        </row>
        <row r="64">
          <cell r="C64">
            <v>10695</v>
          </cell>
          <cell r="D64">
            <v>101122043564</v>
          </cell>
        </row>
        <row r="65">
          <cell r="C65">
            <v>10687</v>
          </cell>
          <cell r="D65">
            <v>101461234657</v>
          </cell>
        </row>
        <row r="66">
          <cell r="C66">
            <v>11054</v>
          </cell>
          <cell r="D66">
            <v>100663842254</v>
          </cell>
        </row>
        <row r="67">
          <cell r="C67">
            <v>10720</v>
          </cell>
          <cell r="D67">
            <v>101737852753</v>
          </cell>
        </row>
        <row r="68">
          <cell r="C68">
            <v>10197</v>
          </cell>
          <cell r="D68">
            <v>101707827906</v>
          </cell>
        </row>
        <row r="69">
          <cell r="C69">
            <v>11100</v>
          </cell>
          <cell r="D69">
            <v>102112812596</v>
          </cell>
        </row>
        <row r="70">
          <cell r="C70">
            <v>11051</v>
          </cell>
          <cell r="D70">
            <v>101186719635</v>
          </cell>
        </row>
        <row r="71">
          <cell r="C71">
            <v>10809</v>
          </cell>
          <cell r="D71">
            <v>102049083309</v>
          </cell>
        </row>
        <row r="72">
          <cell r="C72">
            <v>11086</v>
          </cell>
          <cell r="D72">
            <v>100834677250</v>
          </cell>
        </row>
        <row r="73">
          <cell r="C73">
            <v>11008</v>
          </cell>
          <cell r="D73">
            <v>101564757437</v>
          </cell>
        </row>
        <row r="74">
          <cell r="C74">
            <v>11139</v>
          </cell>
          <cell r="D74">
            <v>102123198923</v>
          </cell>
        </row>
        <row r="75">
          <cell r="C75">
            <v>10875</v>
          </cell>
          <cell r="D75">
            <v>102035800478</v>
          </cell>
        </row>
        <row r="76">
          <cell r="C76">
            <v>10638</v>
          </cell>
          <cell r="D76">
            <v>101616832865</v>
          </cell>
        </row>
        <row r="77">
          <cell r="C77">
            <v>10741</v>
          </cell>
          <cell r="D77">
            <v>100670405059</v>
          </cell>
        </row>
        <row r="78">
          <cell r="C78">
            <v>11104</v>
          </cell>
          <cell r="D78">
            <v>100987187358</v>
          </cell>
        </row>
        <row r="79">
          <cell r="C79">
            <v>11189</v>
          </cell>
          <cell r="D79">
            <v>100954337647</v>
          </cell>
        </row>
        <row r="80">
          <cell r="C80">
            <v>10388</v>
          </cell>
          <cell r="D80">
            <v>101284943885</v>
          </cell>
        </row>
        <row r="81">
          <cell r="C81">
            <v>10240</v>
          </cell>
          <cell r="D81">
            <v>101098740357</v>
          </cell>
        </row>
        <row r="82">
          <cell r="C82">
            <v>10242</v>
          </cell>
          <cell r="D82">
            <v>101098740388</v>
          </cell>
        </row>
        <row r="83">
          <cell r="C83">
            <v>10248</v>
          </cell>
          <cell r="D83">
            <v>101098740374</v>
          </cell>
        </row>
        <row r="84">
          <cell r="C84">
            <v>10249</v>
          </cell>
          <cell r="D84">
            <v>101098740498</v>
          </cell>
        </row>
        <row r="85">
          <cell r="C85">
            <v>11029</v>
          </cell>
          <cell r="D85">
            <v>100776108439</v>
          </cell>
        </row>
        <row r="86">
          <cell r="C86">
            <v>10984</v>
          </cell>
          <cell r="D86">
            <v>101433827014</v>
          </cell>
        </row>
        <row r="87">
          <cell r="C87">
            <v>10976</v>
          </cell>
          <cell r="D87">
            <v>101132041760</v>
          </cell>
        </row>
        <row r="88">
          <cell r="C88">
            <v>10987</v>
          </cell>
          <cell r="D88">
            <v>101354500139</v>
          </cell>
        </row>
        <row r="89">
          <cell r="C89">
            <v>10986</v>
          </cell>
          <cell r="D89">
            <v>101303714313</v>
          </cell>
        </row>
        <row r="90">
          <cell r="C90">
            <v>10989</v>
          </cell>
          <cell r="D90">
            <v>101366451264</v>
          </cell>
        </row>
        <row r="91">
          <cell r="C91">
            <v>10988</v>
          </cell>
          <cell r="D91">
            <v>101419332060</v>
          </cell>
        </row>
        <row r="92">
          <cell r="C92">
            <v>11215</v>
          </cell>
          <cell r="D92">
            <v>101817835987</v>
          </cell>
        </row>
        <row r="93">
          <cell r="C93">
            <v>10339</v>
          </cell>
          <cell r="D93">
            <v>101401592178</v>
          </cell>
        </row>
        <row r="94">
          <cell r="C94">
            <v>11030</v>
          </cell>
          <cell r="D94">
            <v>101195365890</v>
          </cell>
        </row>
        <row r="95">
          <cell r="C95">
            <v>11002</v>
          </cell>
          <cell r="D95">
            <v>101247198972</v>
          </cell>
        </row>
        <row r="96">
          <cell r="C96">
            <v>10970</v>
          </cell>
          <cell r="D96">
            <v>101397264446</v>
          </cell>
        </row>
        <row r="97">
          <cell r="C97">
            <v>10979</v>
          </cell>
          <cell r="D97">
            <v>101460853033</v>
          </cell>
        </row>
        <row r="98">
          <cell r="C98">
            <v>10982</v>
          </cell>
          <cell r="D98">
            <v>101296008357</v>
          </cell>
        </row>
        <row r="99">
          <cell r="C99">
            <v>11050</v>
          </cell>
          <cell r="D99">
            <v>102095609825</v>
          </cell>
        </row>
        <row r="100">
          <cell r="C100">
            <v>11049</v>
          </cell>
          <cell r="D100">
            <v>102095604570</v>
          </cell>
        </row>
        <row r="101">
          <cell r="C101">
            <v>11032</v>
          </cell>
          <cell r="D101">
            <v>101760846764</v>
          </cell>
        </row>
        <row r="102">
          <cell r="C102">
            <v>11217</v>
          </cell>
          <cell r="D102">
            <v>102106814769</v>
          </cell>
        </row>
        <row r="103">
          <cell r="C103">
            <v>11247</v>
          </cell>
          <cell r="D103">
            <v>101626727030</v>
          </cell>
        </row>
        <row r="104">
          <cell r="C104">
            <v>11246</v>
          </cell>
          <cell r="D104">
            <v>101858145524</v>
          </cell>
        </row>
        <row r="105">
          <cell r="C105">
            <v>11244</v>
          </cell>
          <cell r="D105">
            <v>102153892212</v>
          </cell>
        </row>
        <row r="106">
          <cell r="C106">
            <v>11022</v>
          </cell>
          <cell r="D106">
            <v>101467151132</v>
          </cell>
        </row>
        <row r="107">
          <cell r="C107">
            <v>10990</v>
          </cell>
          <cell r="D107">
            <v>101881581733</v>
          </cell>
        </row>
        <row r="108">
          <cell r="C108">
            <v>10981</v>
          </cell>
          <cell r="D108">
            <v>101730007908</v>
          </cell>
        </row>
        <row r="109">
          <cell r="C109">
            <v>11135</v>
          </cell>
          <cell r="D109">
            <v>101196241535</v>
          </cell>
        </row>
        <row r="110">
          <cell r="C110">
            <v>10977</v>
          </cell>
          <cell r="D110">
            <v>101823804746</v>
          </cell>
        </row>
        <row r="111">
          <cell r="C111">
            <v>11000</v>
          </cell>
          <cell r="D111">
            <v>101617561953</v>
          </cell>
        </row>
        <row r="112">
          <cell r="C112">
            <v>11026</v>
          </cell>
          <cell r="D112">
            <v>101807637370</v>
          </cell>
        </row>
        <row r="113">
          <cell r="C113">
            <v>11028</v>
          </cell>
          <cell r="D113">
            <v>101632172914</v>
          </cell>
        </row>
        <row r="114">
          <cell r="C114">
            <v>10991</v>
          </cell>
          <cell r="D114">
            <v>100589905743</v>
          </cell>
        </row>
        <row r="115">
          <cell r="C115">
            <v>10998</v>
          </cell>
          <cell r="D115">
            <v>101892177114</v>
          </cell>
        </row>
        <row r="116">
          <cell r="C116">
            <v>11023</v>
          </cell>
          <cell r="D116">
            <v>101807637362</v>
          </cell>
        </row>
        <row r="117">
          <cell r="C117">
            <v>10999</v>
          </cell>
          <cell r="D117">
            <v>101593955135</v>
          </cell>
        </row>
        <row r="118">
          <cell r="C118">
            <v>11182</v>
          </cell>
          <cell r="D118">
            <v>101155846091</v>
          </cell>
        </row>
        <row r="119">
          <cell r="C119">
            <v>11195</v>
          </cell>
          <cell r="D119">
            <v>101361203437</v>
          </cell>
        </row>
        <row r="120">
          <cell r="C120">
            <v>11241</v>
          </cell>
          <cell r="D120">
            <v>102153844190</v>
          </cell>
        </row>
        <row r="121">
          <cell r="C121">
            <v>10980</v>
          </cell>
          <cell r="D121">
            <v>101455564664</v>
          </cell>
        </row>
        <row r="122">
          <cell r="C122">
            <v>10978</v>
          </cell>
          <cell r="D122">
            <v>101574086938</v>
          </cell>
        </row>
        <row r="123">
          <cell r="C123">
            <v>10985</v>
          </cell>
          <cell r="D123">
            <v>101611612492</v>
          </cell>
        </row>
        <row r="124">
          <cell r="C124">
            <v>10974</v>
          </cell>
          <cell r="D124">
            <v>101978749567</v>
          </cell>
        </row>
        <row r="125">
          <cell r="C125">
            <v>10983</v>
          </cell>
          <cell r="D125">
            <v>102012365701</v>
          </cell>
        </row>
        <row r="126">
          <cell r="C126">
            <v>11158</v>
          </cell>
          <cell r="D126">
            <v>101220132820</v>
          </cell>
        </row>
        <row r="127">
          <cell r="C127">
            <v>11203</v>
          </cell>
          <cell r="D127">
            <v>102140355601</v>
          </cell>
        </row>
        <row r="128">
          <cell r="C128">
            <v>10993</v>
          </cell>
          <cell r="D128">
            <v>101274362476</v>
          </cell>
        </row>
        <row r="129">
          <cell r="C129">
            <v>10997</v>
          </cell>
          <cell r="D129">
            <v>101129929727</v>
          </cell>
        </row>
        <row r="130">
          <cell r="C130">
            <v>11214</v>
          </cell>
          <cell r="D130">
            <v>102141445630</v>
          </cell>
        </row>
        <row r="131">
          <cell r="C131">
            <v>11058</v>
          </cell>
          <cell r="D131">
            <v>101818246573</v>
          </cell>
        </row>
        <row r="132">
          <cell r="C132">
            <v>10199</v>
          </cell>
          <cell r="D132">
            <v>100972165519</v>
          </cell>
        </row>
        <row r="133">
          <cell r="C133">
            <v>10200</v>
          </cell>
          <cell r="D133">
            <v>101709382238</v>
          </cell>
        </row>
        <row r="134">
          <cell r="C134">
            <v>10198</v>
          </cell>
          <cell r="D134">
            <v>101709364131</v>
          </cell>
        </row>
        <row r="135">
          <cell r="C135" t="str">
            <v>2019/132</v>
          </cell>
          <cell r="D135">
            <v>101405639352</v>
          </cell>
        </row>
        <row r="136">
          <cell r="C136">
            <v>10222</v>
          </cell>
          <cell r="D136">
            <v>101367022989</v>
          </cell>
        </row>
        <row r="137">
          <cell r="C137">
            <v>11196</v>
          </cell>
          <cell r="D137">
            <v>102136912664</v>
          </cell>
        </row>
        <row r="138">
          <cell r="C138">
            <v>11108</v>
          </cell>
          <cell r="D138">
            <v>102120060214</v>
          </cell>
        </row>
        <row r="139">
          <cell r="C139">
            <v>10202</v>
          </cell>
          <cell r="D139">
            <v>101335348795</v>
          </cell>
        </row>
        <row r="140">
          <cell r="C140">
            <v>10218</v>
          </cell>
          <cell r="D140">
            <v>101490501814</v>
          </cell>
        </row>
        <row r="141">
          <cell r="C141">
            <v>11138</v>
          </cell>
          <cell r="D141">
            <v>102122808232</v>
          </cell>
        </row>
        <row r="142">
          <cell r="C142">
            <v>11163</v>
          </cell>
          <cell r="D142">
            <v>102130298813</v>
          </cell>
        </row>
        <row r="143">
          <cell r="C143">
            <v>11242</v>
          </cell>
          <cell r="D143">
            <v>101637951357</v>
          </cell>
        </row>
        <row r="144">
          <cell r="C144">
            <v>11216</v>
          </cell>
          <cell r="D144">
            <v>102141829556</v>
          </cell>
        </row>
        <row r="145">
          <cell r="C145">
            <v>10208</v>
          </cell>
          <cell r="D145">
            <v>101712573007</v>
          </cell>
        </row>
        <row r="146">
          <cell r="C146">
            <v>10251</v>
          </cell>
          <cell r="D146">
            <v>101598408417</v>
          </cell>
        </row>
        <row r="147">
          <cell r="C147">
            <v>11176</v>
          </cell>
          <cell r="D147">
            <v>101202926095</v>
          </cell>
        </row>
        <row r="148">
          <cell r="C148">
            <v>11188</v>
          </cell>
          <cell r="D148">
            <v>101982984415</v>
          </cell>
        </row>
        <row r="149">
          <cell r="C149">
            <v>10265</v>
          </cell>
          <cell r="D149">
            <v>101767119796</v>
          </cell>
        </row>
        <row r="150">
          <cell r="C150">
            <v>10311</v>
          </cell>
          <cell r="D150">
            <v>101497454382</v>
          </cell>
        </row>
        <row r="151">
          <cell r="C151">
            <v>10883</v>
          </cell>
          <cell r="D151">
            <v>102063777568</v>
          </cell>
        </row>
        <row r="152">
          <cell r="C152">
            <v>10203</v>
          </cell>
          <cell r="D152">
            <v>101486023953</v>
          </cell>
        </row>
        <row r="153">
          <cell r="C153">
            <v>11194</v>
          </cell>
          <cell r="D153">
            <v>102136414959</v>
          </cell>
        </row>
        <row r="154">
          <cell r="C154">
            <v>10459</v>
          </cell>
          <cell r="D154">
            <v>101866113509</v>
          </cell>
        </row>
        <row r="155">
          <cell r="C155">
            <v>10846</v>
          </cell>
          <cell r="D155">
            <v>101654401258</v>
          </cell>
        </row>
        <row r="156">
          <cell r="C156">
            <v>11160</v>
          </cell>
          <cell r="D156">
            <v>102130074981</v>
          </cell>
        </row>
        <row r="157">
          <cell r="C157">
            <v>10375</v>
          </cell>
          <cell r="D157">
            <v>101850873317</v>
          </cell>
        </row>
        <row r="158">
          <cell r="C158">
            <v>11225</v>
          </cell>
          <cell r="D158">
            <v>101950978461</v>
          </cell>
        </row>
        <row r="159">
          <cell r="C159">
            <v>11056</v>
          </cell>
          <cell r="D159">
            <v>102097292437</v>
          </cell>
        </row>
        <row r="160">
          <cell r="C160" t="str">
            <v>2020/248</v>
          </cell>
          <cell r="D160">
            <v>101108164847</v>
          </cell>
        </row>
        <row r="161">
          <cell r="C161">
            <v>10213</v>
          </cell>
          <cell r="D161">
            <v>100798107971</v>
          </cell>
        </row>
        <row r="162">
          <cell r="C162">
            <v>10221</v>
          </cell>
          <cell r="D162">
            <v>101727230319</v>
          </cell>
        </row>
        <row r="163">
          <cell r="C163" t="str">
            <v>2021/256</v>
          </cell>
          <cell r="D163">
            <v>101388576613</v>
          </cell>
        </row>
        <row r="164">
          <cell r="C164">
            <v>10476</v>
          </cell>
          <cell r="D164">
            <v>101477591305</v>
          </cell>
        </row>
        <row r="165">
          <cell r="C165">
            <v>10422</v>
          </cell>
          <cell r="D165">
            <v>101873885594</v>
          </cell>
        </row>
        <row r="166">
          <cell r="C166">
            <v>10786</v>
          </cell>
          <cell r="D166">
            <v>101859193285</v>
          </cell>
        </row>
        <row r="167">
          <cell r="C167">
            <v>11192</v>
          </cell>
          <cell r="D167">
            <v>102136409098</v>
          </cell>
        </row>
        <row r="168">
          <cell r="C168">
            <v>10209</v>
          </cell>
          <cell r="D168">
            <v>101712576210</v>
          </cell>
        </row>
        <row r="169">
          <cell r="C169">
            <v>10372</v>
          </cell>
          <cell r="D169">
            <v>101848724135</v>
          </cell>
        </row>
        <row r="170">
          <cell r="C170">
            <v>11226</v>
          </cell>
          <cell r="D170">
            <v>101910843714</v>
          </cell>
        </row>
        <row r="171">
          <cell r="C171">
            <v>11240</v>
          </cell>
          <cell r="D171">
            <v>102153833755</v>
          </cell>
        </row>
        <row r="172">
          <cell r="C172">
            <v>10319</v>
          </cell>
          <cell r="D172">
            <v>101001651099</v>
          </cell>
        </row>
        <row r="173">
          <cell r="C173">
            <v>10795</v>
          </cell>
          <cell r="D173">
            <v>101417484639</v>
          </cell>
        </row>
        <row r="174">
          <cell r="C174">
            <v>10900</v>
          </cell>
          <cell r="D174">
            <v>102070500328</v>
          </cell>
        </row>
        <row r="175">
          <cell r="C175">
            <v>10728</v>
          </cell>
          <cell r="D175">
            <v>102025248203</v>
          </cell>
        </row>
        <row r="176">
          <cell r="C176">
            <v>10975</v>
          </cell>
          <cell r="D176">
            <v>102086190893</v>
          </cell>
        </row>
        <row r="177">
          <cell r="C177">
            <v>11155</v>
          </cell>
          <cell r="D177">
            <v>102129858480</v>
          </cell>
        </row>
        <row r="178">
          <cell r="C178">
            <v>11186</v>
          </cell>
          <cell r="D178">
            <v>102012242310</v>
          </cell>
        </row>
        <row r="179">
          <cell r="C179">
            <v>11227</v>
          </cell>
          <cell r="D179">
            <v>102150248606</v>
          </cell>
        </row>
        <row r="180">
          <cell r="C180" t="str">
            <v>2019/108</v>
          </cell>
          <cell r="D180">
            <v>100553356360</v>
          </cell>
        </row>
        <row r="181">
          <cell r="C181" t="str">
            <v>2019/120</v>
          </cell>
          <cell r="D181">
            <v>100920328752</v>
          </cell>
        </row>
        <row r="182">
          <cell r="C182" t="str">
            <v>2019/126</v>
          </cell>
          <cell r="D182">
            <v>100552524361</v>
          </cell>
        </row>
        <row r="183">
          <cell r="C183">
            <v>11239</v>
          </cell>
          <cell r="D183">
            <v>100445336114</v>
          </cell>
        </row>
        <row r="184">
          <cell r="C184">
            <v>10848</v>
          </cell>
          <cell r="D184">
            <v>102062806914</v>
          </cell>
        </row>
        <row r="185">
          <cell r="C185">
            <v>10948</v>
          </cell>
          <cell r="D185">
            <v>101422147015</v>
          </cell>
        </row>
        <row r="186">
          <cell r="C186">
            <v>11238</v>
          </cell>
          <cell r="D186">
            <v>101810780878</v>
          </cell>
        </row>
        <row r="187">
          <cell r="C187">
            <v>10693</v>
          </cell>
          <cell r="D187">
            <v>101895638404</v>
          </cell>
        </row>
        <row r="188">
          <cell r="C188" t="str">
            <v>2019/128</v>
          </cell>
          <cell r="D188">
            <v>100552673652</v>
          </cell>
        </row>
        <row r="189">
          <cell r="C189" t="str">
            <v>2019/131</v>
          </cell>
          <cell r="D189">
            <v>100553283113</v>
          </cell>
        </row>
        <row r="190">
          <cell r="C190" t="str">
            <v>2019/129</v>
          </cell>
          <cell r="D190">
            <v>100553080157</v>
          </cell>
        </row>
        <row r="191">
          <cell r="C191" t="str">
            <v>2019/130</v>
          </cell>
          <cell r="D191">
            <v>100552529222</v>
          </cell>
        </row>
        <row r="192">
          <cell r="C192" t="str">
            <v>2019/127</v>
          </cell>
          <cell r="D192">
            <v>100552892940</v>
          </cell>
        </row>
        <row r="193">
          <cell r="C193">
            <v>10575</v>
          </cell>
          <cell r="D193">
            <v>101965831923</v>
          </cell>
        </row>
        <row r="194">
          <cell r="C194">
            <v>11159</v>
          </cell>
          <cell r="D194">
            <v>102130070788</v>
          </cell>
        </row>
        <row r="195">
          <cell r="C195" t="str">
            <v>2019/124</v>
          </cell>
          <cell r="D195">
            <v>100732096571</v>
          </cell>
        </row>
        <row r="196">
          <cell r="C196">
            <v>10539</v>
          </cell>
          <cell r="D196">
            <v>101165930889</v>
          </cell>
        </row>
        <row r="197">
          <cell r="C197">
            <v>10609</v>
          </cell>
          <cell r="D197">
            <v>101483658937</v>
          </cell>
        </row>
        <row r="198">
          <cell r="C198" t="str">
            <v>2020/214</v>
          </cell>
          <cell r="D198">
            <v>101540178181</v>
          </cell>
        </row>
        <row r="199">
          <cell r="C199">
            <v>10837</v>
          </cell>
          <cell r="D199">
            <v>102058687472</v>
          </cell>
        </row>
        <row r="200">
          <cell r="C200">
            <v>10785</v>
          </cell>
          <cell r="D200">
            <v>102038522068</v>
          </cell>
        </row>
        <row r="201">
          <cell r="C201">
            <v>11070</v>
          </cell>
          <cell r="D201">
            <v>102101491796</v>
          </cell>
        </row>
        <row r="202">
          <cell r="C202">
            <v>11142</v>
          </cell>
          <cell r="D202">
            <v>102124764387</v>
          </cell>
        </row>
        <row r="203">
          <cell r="C203">
            <v>11177</v>
          </cell>
          <cell r="D203">
            <v>102133130187</v>
          </cell>
        </row>
        <row r="204">
          <cell r="C204">
            <v>10517</v>
          </cell>
          <cell r="D204">
            <v>101491025422</v>
          </cell>
        </row>
        <row r="205">
          <cell r="C205">
            <v>10631</v>
          </cell>
          <cell r="D205">
            <v>101995909807</v>
          </cell>
        </row>
        <row r="206">
          <cell r="C206">
            <v>10683</v>
          </cell>
          <cell r="D206">
            <v>102012773768</v>
          </cell>
        </row>
        <row r="207">
          <cell r="C207">
            <v>10705</v>
          </cell>
          <cell r="D207">
            <v>101957756383</v>
          </cell>
        </row>
        <row r="208">
          <cell r="C208">
            <v>10943</v>
          </cell>
          <cell r="D208">
            <v>102083532953</v>
          </cell>
        </row>
        <row r="209">
          <cell r="C209">
            <v>11243</v>
          </cell>
          <cell r="D209">
            <v>102153853904</v>
          </cell>
        </row>
        <row r="210">
          <cell r="C210">
            <v>11248</v>
          </cell>
          <cell r="D210">
            <v>101954172580</v>
          </cell>
        </row>
        <row r="211">
          <cell r="C211" t="str">
            <v>2020/209</v>
          </cell>
          <cell r="D211">
            <v>101596364053</v>
          </cell>
        </row>
        <row r="212">
          <cell r="C212">
            <v>10787</v>
          </cell>
          <cell r="D212">
            <v>102039256927</v>
          </cell>
        </row>
        <row r="213">
          <cell r="C213" t="str">
            <v>2021/299</v>
          </cell>
          <cell r="D213">
            <v>101391242990</v>
          </cell>
        </row>
        <row r="214">
          <cell r="C214" t="str">
            <v>2019/141</v>
          </cell>
          <cell r="D214">
            <v>101366451240</v>
          </cell>
        </row>
        <row r="215">
          <cell r="C215" t="str">
            <v>2020/221</v>
          </cell>
          <cell r="D215">
            <v>101636601289</v>
          </cell>
        </row>
        <row r="216">
          <cell r="C216" t="str">
            <v>2019/113</v>
          </cell>
          <cell r="D216">
            <v>101336134979</v>
          </cell>
        </row>
        <row r="217">
          <cell r="C217">
            <v>11201</v>
          </cell>
          <cell r="D217">
            <v>101384329012</v>
          </cell>
        </row>
        <row r="218">
          <cell r="C218" t="str">
            <v>2019/114</v>
          </cell>
          <cell r="D218">
            <v>100552846122</v>
          </cell>
        </row>
        <row r="219">
          <cell r="C219">
            <v>10717</v>
          </cell>
          <cell r="D219">
            <v>102022163149</v>
          </cell>
        </row>
        <row r="220">
          <cell r="C220">
            <v>11157</v>
          </cell>
          <cell r="D220">
            <v>102108534042</v>
          </cell>
        </row>
        <row r="221">
          <cell r="C221">
            <v>11106</v>
          </cell>
          <cell r="D221">
            <v>102120015776</v>
          </cell>
        </row>
        <row r="222">
          <cell r="C222">
            <v>10528</v>
          </cell>
          <cell r="D222">
            <v>101811241975</v>
          </cell>
        </row>
        <row r="223">
          <cell r="C223">
            <v>10941</v>
          </cell>
          <cell r="D223">
            <v>102083040092</v>
          </cell>
        </row>
        <row r="224">
          <cell r="C224">
            <v>11097</v>
          </cell>
          <cell r="D224">
            <v>102031497967</v>
          </cell>
        </row>
        <row r="225">
          <cell r="C225">
            <v>11128</v>
          </cell>
          <cell r="D225">
            <v>102012721397</v>
          </cell>
        </row>
        <row r="226">
          <cell r="C226" t="str">
            <v>2020/170</v>
          </cell>
          <cell r="D226">
            <v>101558076438</v>
          </cell>
        </row>
        <row r="227">
          <cell r="C227" t="str">
            <v>2019/152</v>
          </cell>
          <cell r="D227">
            <v>100589984388</v>
          </cell>
        </row>
        <row r="228">
          <cell r="C228">
            <v>11245</v>
          </cell>
          <cell r="D228">
            <v>102153895880</v>
          </cell>
        </row>
        <row r="229">
          <cell r="C229">
            <v>10526</v>
          </cell>
          <cell r="D229">
            <v>101942974458</v>
          </cell>
        </row>
        <row r="230">
          <cell r="C230">
            <v>10226</v>
          </cell>
          <cell r="D230">
            <v>101732532516</v>
          </cell>
        </row>
        <row r="231">
          <cell r="C231" t="str">
            <v>2019/158</v>
          </cell>
          <cell r="D231">
            <v>101425633083</v>
          </cell>
        </row>
        <row r="232">
          <cell r="C232">
            <v>11161</v>
          </cell>
          <cell r="D232">
            <v>101166941799</v>
          </cell>
        </row>
        <row r="233">
          <cell r="C233">
            <v>10313</v>
          </cell>
          <cell r="D233">
            <v>100262651287</v>
          </cell>
        </row>
        <row r="234">
          <cell r="C234">
            <v>10939</v>
          </cell>
          <cell r="D234">
            <v>102082995439</v>
          </cell>
        </row>
        <row r="235">
          <cell r="C235">
            <v>11071</v>
          </cell>
          <cell r="D235">
            <v>102101650022</v>
          </cell>
        </row>
        <row r="236">
          <cell r="C236">
            <v>10571</v>
          </cell>
          <cell r="D236">
            <v>101965759466</v>
          </cell>
        </row>
        <row r="237">
          <cell r="C237">
            <v>11187</v>
          </cell>
          <cell r="D237">
            <v>102135391050</v>
          </cell>
        </row>
        <row r="238">
          <cell r="C238">
            <v>11202</v>
          </cell>
          <cell r="D238">
            <v>102021736060</v>
          </cell>
        </row>
        <row r="239">
          <cell r="C239">
            <v>11256</v>
          </cell>
          <cell r="D239">
            <v>102155632619</v>
          </cell>
        </row>
        <row r="240">
          <cell r="C240">
            <v>10374</v>
          </cell>
          <cell r="D240">
            <v>101848765001</v>
          </cell>
        </row>
        <row r="241">
          <cell r="C241">
            <v>10706</v>
          </cell>
          <cell r="D241">
            <v>100595915770</v>
          </cell>
        </row>
        <row r="242">
          <cell r="C242">
            <v>10546</v>
          </cell>
          <cell r="D242">
            <v>101360236241</v>
          </cell>
        </row>
        <row r="243">
          <cell r="C243">
            <v>11044</v>
          </cell>
          <cell r="D243">
            <v>101304634159</v>
          </cell>
        </row>
        <row r="244">
          <cell r="C244">
            <v>10544</v>
          </cell>
          <cell r="D244">
            <v>101063221124</v>
          </cell>
        </row>
        <row r="245">
          <cell r="C245">
            <v>10545</v>
          </cell>
          <cell r="D245">
            <v>101801121386</v>
          </cell>
        </row>
        <row r="246">
          <cell r="C246">
            <v>10542</v>
          </cell>
          <cell r="D246">
            <v>101386668738</v>
          </cell>
        </row>
        <row r="247">
          <cell r="C247">
            <v>10548</v>
          </cell>
          <cell r="D247">
            <v>101528757047</v>
          </cell>
        </row>
        <row r="248">
          <cell r="C248">
            <v>10727</v>
          </cell>
          <cell r="D248">
            <v>100885926638</v>
          </cell>
        </row>
        <row r="249">
          <cell r="C249">
            <v>10968</v>
          </cell>
          <cell r="D249">
            <v>101624204968</v>
          </cell>
        </row>
        <row r="250">
          <cell r="C250">
            <v>10961</v>
          </cell>
          <cell r="D250">
            <v>101577443239</v>
          </cell>
        </row>
        <row r="251">
          <cell r="C251">
            <v>11067</v>
          </cell>
          <cell r="D251">
            <v>101545856369</v>
          </cell>
        </row>
        <row r="252">
          <cell r="C252">
            <v>10633</v>
          </cell>
          <cell r="D252">
            <v>101955473980</v>
          </cell>
        </row>
        <row r="253">
          <cell r="C253">
            <v>11099</v>
          </cell>
          <cell r="D253">
            <v>101038030588</v>
          </cell>
        </row>
        <row r="254">
          <cell r="C254">
            <v>10582</v>
          </cell>
          <cell r="D254">
            <v>101777823372</v>
          </cell>
        </row>
        <row r="255">
          <cell r="C255">
            <v>11101</v>
          </cell>
          <cell r="D255">
            <v>101287813144</v>
          </cell>
        </row>
        <row r="256">
          <cell r="C256">
            <v>11185</v>
          </cell>
          <cell r="D256">
            <v>102090452365</v>
          </cell>
        </row>
        <row r="257">
          <cell r="C257">
            <v>11206</v>
          </cell>
          <cell r="D257">
            <v>101705874179</v>
          </cell>
        </row>
        <row r="258">
          <cell r="C258">
            <v>11078</v>
          </cell>
          <cell r="D258">
            <v>101163312816</v>
          </cell>
        </row>
        <row r="259">
          <cell r="C259">
            <v>11253</v>
          </cell>
          <cell r="D259">
            <v>101882148700</v>
          </cell>
        </row>
        <row r="260">
          <cell r="C260">
            <v>11255</v>
          </cell>
          <cell r="D260">
            <v>101882268943</v>
          </cell>
        </row>
        <row r="261">
          <cell r="C261">
            <v>10700</v>
          </cell>
          <cell r="D261">
            <v>101489008445</v>
          </cell>
        </row>
        <row r="262">
          <cell r="C262">
            <v>10305</v>
          </cell>
          <cell r="D262">
            <v>101519320939</v>
          </cell>
        </row>
        <row r="263">
          <cell r="C263">
            <v>10704</v>
          </cell>
          <cell r="D263">
            <v>102021285465</v>
          </cell>
        </row>
        <row r="264">
          <cell r="C264">
            <v>10302</v>
          </cell>
          <cell r="D264">
            <v>101538121427</v>
          </cell>
        </row>
        <row r="265">
          <cell r="C265">
            <v>10307</v>
          </cell>
          <cell r="D265">
            <v>100636053046</v>
          </cell>
        </row>
        <row r="266">
          <cell r="C266">
            <v>10304</v>
          </cell>
          <cell r="D266">
            <v>101381542340</v>
          </cell>
        </row>
        <row r="267">
          <cell r="C267">
            <v>10303</v>
          </cell>
          <cell r="D267">
            <v>101449158378</v>
          </cell>
        </row>
        <row r="268">
          <cell r="C268">
            <v>10510</v>
          </cell>
          <cell r="D268">
            <v>101270728330</v>
          </cell>
        </row>
        <row r="269">
          <cell r="C269">
            <v>10680</v>
          </cell>
          <cell r="D269">
            <v>101922836689</v>
          </cell>
        </row>
        <row r="270">
          <cell r="C270">
            <v>10624</v>
          </cell>
          <cell r="D270">
            <v>101611223770</v>
          </cell>
        </row>
        <row r="271">
          <cell r="C271">
            <v>11208</v>
          </cell>
          <cell r="D271">
            <v>101118361613</v>
          </cell>
        </row>
        <row r="272">
          <cell r="C272">
            <v>11205</v>
          </cell>
          <cell r="D272">
            <v>102090097415</v>
          </cell>
        </row>
        <row r="273">
          <cell r="C273">
            <v>11223</v>
          </cell>
          <cell r="D273">
            <v>102028075202</v>
          </cell>
        </row>
        <row r="274">
          <cell r="C274">
            <v>11250</v>
          </cell>
          <cell r="D274">
            <v>102085639518</v>
          </cell>
        </row>
        <row r="275">
          <cell r="C275">
            <v>11148</v>
          </cell>
          <cell r="D275">
            <v>101759656591</v>
          </cell>
        </row>
        <row r="276">
          <cell r="C276">
            <v>10906</v>
          </cell>
          <cell r="D276">
            <v>100485141701</v>
          </cell>
        </row>
        <row r="277">
          <cell r="C277">
            <v>10905</v>
          </cell>
          <cell r="D277">
            <v>101252450609</v>
          </cell>
        </row>
        <row r="278">
          <cell r="C278">
            <v>10947</v>
          </cell>
          <cell r="D278">
            <v>101897031030</v>
          </cell>
        </row>
        <row r="279">
          <cell r="C279">
            <v>11046</v>
          </cell>
          <cell r="D279">
            <v>101187041563</v>
          </cell>
        </row>
        <row r="280">
          <cell r="C280">
            <v>11057</v>
          </cell>
          <cell r="D280">
            <v>101303655148</v>
          </cell>
        </row>
        <row r="281">
          <cell r="C281">
            <v>10864</v>
          </cell>
          <cell r="D281">
            <v>101490216981</v>
          </cell>
        </row>
        <row r="282">
          <cell r="C282">
            <v>11132</v>
          </cell>
          <cell r="D282">
            <v>100626221464</v>
          </cell>
        </row>
        <row r="283">
          <cell r="C283">
            <v>11126</v>
          </cell>
          <cell r="D283">
            <v>100757165595</v>
          </cell>
        </row>
        <row r="284">
          <cell r="C284">
            <v>10694</v>
          </cell>
          <cell r="D284">
            <v>101257041650</v>
          </cell>
        </row>
        <row r="285">
          <cell r="C285">
            <v>11114</v>
          </cell>
          <cell r="D285">
            <v>101821850423</v>
          </cell>
        </row>
        <row r="286">
          <cell r="C286">
            <v>11014</v>
          </cell>
          <cell r="D286">
            <v>102088023742</v>
          </cell>
        </row>
        <row r="287">
          <cell r="C287">
            <v>11017</v>
          </cell>
          <cell r="D287">
            <v>101933781667</v>
          </cell>
        </row>
        <row r="288">
          <cell r="C288">
            <v>11211</v>
          </cell>
          <cell r="D288">
            <v>101861756727</v>
          </cell>
        </row>
        <row r="289">
          <cell r="C289">
            <v>10519</v>
          </cell>
          <cell r="D289">
            <v>101935023538</v>
          </cell>
        </row>
        <row r="290">
          <cell r="C290">
            <v>11230</v>
          </cell>
          <cell r="D290">
            <v>102150282140</v>
          </cell>
        </row>
        <row r="291">
          <cell r="C291">
            <v>11093</v>
          </cell>
          <cell r="D291">
            <v>100569320931</v>
          </cell>
        </row>
        <row r="292">
          <cell r="C292">
            <v>10839</v>
          </cell>
          <cell r="D292">
            <v>101389814426</v>
          </cell>
        </row>
        <row r="293">
          <cell r="C293">
            <v>10798</v>
          </cell>
          <cell r="D293">
            <v>101408905518</v>
          </cell>
        </row>
        <row r="294">
          <cell r="C294">
            <v>10816</v>
          </cell>
          <cell r="D294">
            <v>101247834522</v>
          </cell>
        </row>
        <row r="295">
          <cell r="C295">
            <v>10849</v>
          </cell>
          <cell r="D295">
            <v>101573402067</v>
          </cell>
        </row>
        <row r="296">
          <cell r="C296">
            <v>11141</v>
          </cell>
          <cell r="D296">
            <v>101329119208</v>
          </cell>
        </row>
        <row r="297">
          <cell r="C297">
            <v>10845</v>
          </cell>
          <cell r="D297">
            <v>101990500843</v>
          </cell>
        </row>
        <row r="298">
          <cell r="C298">
            <v>10872</v>
          </cell>
          <cell r="D298">
            <v>101871050787</v>
          </cell>
        </row>
        <row r="299">
          <cell r="C299">
            <v>10863</v>
          </cell>
          <cell r="D299">
            <v>102063472658</v>
          </cell>
        </row>
        <row r="300">
          <cell r="C300">
            <v>10873</v>
          </cell>
          <cell r="D300">
            <v>101901407207</v>
          </cell>
        </row>
        <row r="301">
          <cell r="C301">
            <v>10869</v>
          </cell>
          <cell r="D301">
            <v>101513160054</v>
          </cell>
        </row>
        <row r="302">
          <cell r="C302">
            <v>10877</v>
          </cell>
          <cell r="D302">
            <v>101669903266</v>
          </cell>
        </row>
        <row r="303">
          <cell r="C303">
            <v>10894</v>
          </cell>
          <cell r="D303">
            <v>101715521952</v>
          </cell>
        </row>
        <row r="304">
          <cell r="C304">
            <v>10896</v>
          </cell>
          <cell r="D304">
            <v>102023347435</v>
          </cell>
        </row>
        <row r="305">
          <cell r="C305">
            <v>10893</v>
          </cell>
          <cell r="D305">
            <v>102067956799</v>
          </cell>
        </row>
        <row r="306">
          <cell r="C306">
            <v>10928</v>
          </cell>
          <cell r="D306">
            <v>101441864372</v>
          </cell>
        </row>
        <row r="307">
          <cell r="C307">
            <v>11011</v>
          </cell>
          <cell r="D307">
            <v>102087994011</v>
          </cell>
        </row>
        <row r="308">
          <cell r="C308">
            <v>11009</v>
          </cell>
          <cell r="D308">
            <v>102087878745</v>
          </cell>
        </row>
        <row r="309">
          <cell r="C309">
            <v>11033</v>
          </cell>
          <cell r="D309">
            <v>102088877622</v>
          </cell>
        </row>
        <row r="310">
          <cell r="C310">
            <v>11041</v>
          </cell>
          <cell r="D310">
            <v>102089656878</v>
          </cell>
        </row>
        <row r="311">
          <cell r="C311">
            <v>11013</v>
          </cell>
          <cell r="D311">
            <v>102088006073</v>
          </cell>
        </row>
        <row r="312">
          <cell r="C312">
            <v>11031</v>
          </cell>
          <cell r="D312">
            <v>102088800151</v>
          </cell>
        </row>
        <row r="313">
          <cell r="C313">
            <v>11020</v>
          </cell>
          <cell r="D313">
            <v>101942461588</v>
          </cell>
        </row>
        <row r="314">
          <cell r="C314">
            <v>11125</v>
          </cell>
          <cell r="D314">
            <v>101403423723</v>
          </cell>
        </row>
        <row r="315">
          <cell r="C315">
            <v>11173</v>
          </cell>
          <cell r="D315">
            <v>101889388890</v>
          </cell>
        </row>
        <row r="316">
          <cell r="C316">
            <v>11213</v>
          </cell>
          <cell r="D316">
            <v>101546786271</v>
          </cell>
        </row>
        <row r="317">
          <cell r="C317">
            <v>10857</v>
          </cell>
          <cell r="D317">
            <v>102049506142</v>
          </cell>
        </row>
        <row r="318">
          <cell r="C318">
            <v>11019</v>
          </cell>
          <cell r="D318">
            <v>102088065435</v>
          </cell>
        </row>
        <row r="319">
          <cell r="C319">
            <v>11212</v>
          </cell>
          <cell r="D319">
            <v>102092749233</v>
          </cell>
        </row>
        <row r="320">
          <cell r="C320">
            <v>10732</v>
          </cell>
          <cell r="D320">
            <v>102026106074</v>
          </cell>
        </row>
        <row r="321">
          <cell r="C321">
            <v>11233</v>
          </cell>
          <cell r="D321">
            <v>102079982920</v>
          </cell>
        </row>
        <row r="322">
          <cell r="C322">
            <v>11229</v>
          </cell>
          <cell r="D322">
            <v>102104500943</v>
          </cell>
        </row>
        <row r="323">
          <cell r="C323">
            <v>11232</v>
          </cell>
          <cell r="D323">
            <v>102150312760</v>
          </cell>
        </row>
        <row r="324">
          <cell r="C324">
            <v>11231</v>
          </cell>
          <cell r="D324">
            <v>102150305220</v>
          </cell>
        </row>
        <row r="325">
          <cell r="C325">
            <v>10771</v>
          </cell>
          <cell r="D325">
            <v>101377603896</v>
          </cell>
        </row>
        <row r="326">
          <cell r="C326">
            <v>10279</v>
          </cell>
          <cell r="D326">
            <v>101483518934</v>
          </cell>
        </row>
        <row r="327">
          <cell r="C327">
            <v>10278</v>
          </cell>
          <cell r="D327">
            <v>101419153234</v>
          </cell>
        </row>
        <row r="328">
          <cell r="C328">
            <v>10281</v>
          </cell>
          <cell r="D328">
            <v>101459617560</v>
          </cell>
        </row>
        <row r="329">
          <cell r="C329">
            <v>10781</v>
          </cell>
          <cell r="D329">
            <v>101883130133</v>
          </cell>
        </row>
        <row r="330">
          <cell r="C330">
            <v>10272</v>
          </cell>
          <cell r="D330">
            <v>100752389798</v>
          </cell>
        </row>
        <row r="331">
          <cell r="C331">
            <v>10763</v>
          </cell>
          <cell r="D331">
            <v>101448395127</v>
          </cell>
        </row>
        <row r="332">
          <cell r="C332">
            <v>10764</v>
          </cell>
          <cell r="D332">
            <v>101928669373</v>
          </cell>
        </row>
        <row r="333">
          <cell r="C333">
            <v>10897</v>
          </cell>
          <cell r="D333">
            <v>101123231321</v>
          </cell>
        </row>
        <row r="334">
          <cell r="C334">
            <v>10324</v>
          </cell>
          <cell r="D334">
            <v>101812919680</v>
          </cell>
        </row>
        <row r="335">
          <cell r="C335">
            <v>10064</v>
          </cell>
          <cell r="D335">
            <v>101339294646</v>
          </cell>
        </row>
        <row r="336">
          <cell r="C336">
            <v>11036</v>
          </cell>
          <cell r="D336">
            <v>101620329460</v>
          </cell>
        </row>
        <row r="337">
          <cell r="C337">
            <v>10410</v>
          </cell>
          <cell r="D337">
            <v>101084203530</v>
          </cell>
        </row>
        <row r="338">
          <cell r="C338">
            <v>10885</v>
          </cell>
          <cell r="D338">
            <v>101510575264</v>
          </cell>
        </row>
        <row r="339">
          <cell r="C339">
            <v>10413</v>
          </cell>
          <cell r="D339">
            <v>101084176195</v>
          </cell>
        </row>
        <row r="340">
          <cell r="C340">
            <v>10935</v>
          </cell>
          <cell r="D340">
            <v>101832266943</v>
          </cell>
        </row>
        <row r="341">
          <cell r="C341">
            <v>10408</v>
          </cell>
          <cell r="D341">
            <v>101383457552</v>
          </cell>
        </row>
        <row r="342">
          <cell r="C342">
            <v>10502</v>
          </cell>
          <cell r="D342">
            <v>100209627800</v>
          </cell>
        </row>
        <row r="343">
          <cell r="C343">
            <v>10886</v>
          </cell>
          <cell r="D343">
            <v>101971795621</v>
          </cell>
        </row>
        <row r="344">
          <cell r="C344">
            <v>10934</v>
          </cell>
          <cell r="D344">
            <v>101974676370</v>
          </cell>
        </row>
        <row r="345">
          <cell r="C345">
            <v>10426</v>
          </cell>
          <cell r="D345">
            <v>101874970158</v>
          </cell>
        </row>
        <row r="346">
          <cell r="C346">
            <v>11150</v>
          </cell>
          <cell r="D346">
            <v>100422438392</v>
          </cell>
        </row>
        <row r="347">
          <cell r="C347">
            <v>10436</v>
          </cell>
          <cell r="D347">
            <v>101617961289</v>
          </cell>
        </row>
        <row r="348">
          <cell r="C348">
            <v>10815</v>
          </cell>
          <cell r="D348">
            <v>101331690273</v>
          </cell>
        </row>
        <row r="349">
          <cell r="C349">
            <v>10714</v>
          </cell>
          <cell r="D349">
            <v>102022139221</v>
          </cell>
        </row>
        <row r="350">
          <cell r="C350">
            <v>10938</v>
          </cell>
          <cell r="D350">
            <v>102082941651</v>
          </cell>
        </row>
        <row r="351">
          <cell r="C351">
            <v>11025</v>
          </cell>
          <cell r="D351">
            <v>101710867497</v>
          </cell>
        </row>
        <row r="352">
          <cell r="C352">
            <v>10651</v>
          </cell>
          <cell r="D352">
            <v>101326446090</v>
          </cell>
        </row>
        <row r="353">
          <cell r="C353">
            <v>10396</v>
          </cell>
          <cell r="D353">
            <v>101159052235</v>
          </cell>
        </row>
        <row r="354">
          <cell r="C354">
            <v>10746</v>
          </cell>
          <cell r="D354">
            <v>102029808125</v>
          </cell>
        </row>
        <row r="355">
          <cell r="C355">
            <v>10437</v>
          </cell>
          <cell r="D355">
            <v>101696000582</v>
          </cell>
        </row>
        <row r="356">
          <cell r="C356">
            <v>10397</v>
          </cell>
          <cell r="D356">
            <v>101084175763</v>
          </cell>
        </row>
        <row r="357">
          <cell r="C357">
            <v>10450</v>
          </cell>
          <cell r="D357">
            <v>101448099028</v>
          </cell>
        </row>
        <row r="358">
          <cell r="C358">
            <v>10427</v>
          </cell>
          <cell r="D358">
            <v>101788779204</v>
          </cell>
        </row>
        <row r="359">
          <cell r="C359">
            <v>10790</v>
          </cell>
          <cell r="D359">
            <v>102041104621</v>
          </cell>
        </row>
        <row r="360">
          <cell r="C360">
            <v>10404</v>
          </cell>
          <cell r="D360">
            <v>101844860023</v>
          </cell>
        </row>
        <row r="361">
          <cell r="C361">
            <v>10610</v>
          </cell>
          <cell r="D361">
            <v>101773898892</v>
          </cell>
        </row>
        <row r="362">
          <cell r="C362">
            <v>10416</v>
          </cell>
          <cell r="D362">
            <v>101085081520</v>
          </cell>
        </row>
        <row r="363">
          <cell r="C363">
            <v>10398</v>
          </cell>
          <cell r="D363">
            <v>101084143371</v>
          </cell>
        </row>
        <row r="364">
          <cell r="C364" t="str">
            <v>2019/117</v>
          </cell>
          <cell r="D364">
            <v>101154917693</v>
          </cell>
        </row>
        <row r="365">
          <cell r="C365">
            <v>10789</v>
          </cell>
          <cell r="D365">
            <v>100663635004</v>
          </cell>
        </row>
        <row r="366">
          <cell r="C366">
            <v>10425</v>
          </cell>
          <cell r="D366">
            <v>101874965963</v>
          </cell>
        </row>
        <row r="367">
          <cell r="C367">
            <v>10994</v>
          </cell>
          <cell r="D367">
            <v>101300040028</v>
          </cell>
        </row>
        <row r="368">
          <cell r="C368">
            <v>10784</v>
          </cell>
          <cell r="D368">
            <v>101193717008</v>
          </cell>
        </row>
        <row r="369">
          <cell r="C369">
            <v>10778</v>
          </cell>
          <cell r="D369">
            <v>100461564038</v>
          </cell>
        </row>
        <row r="370">
          <cell r="C370">
            <v>10779</v>
          </cell>
          <cell r="D370">
            <v>100751863219</v>
          </cell>
        </row>
        <row r="371">
          <cell r="C371" t="str">
            <v>2024/001</v>
          </cell>
          <cell r="D371">
            <v>102085484993</v>
          </cell>
        </row>
        <row r="372">
          <cell r="C372">
            <v>10751</v>
          </cell>
          <cell r="D372">
            <v>101741666795</v>
          </cell>
        </row>
        <row r="373">
          <cell r="C373">
            <v>10759</v>
          </cell>
          <cell r="D373">
            <v>101969887101</v>
          </cell>
        </row>
        <row r="374">
          <cell r="C374">
            <v>10752</v>
          </cell>
          <cell r="D374">
            <v>101797154820</v>
          </cell>
        </row>
        <row r="375">
          <cell r="C375">
            <v>10852</v>
          </cell>
          <cell r="D375">
            <v>102052943573</v>
          </cell>
        </row>
        <row r="376">
          <cell r="C376">
            <v>11064</v>
          </cell>
          <cell r="D376">
            <v>101591489642</v>
          </cell>
        </row>
        <row r="377">
          <cell r="C377">
            <v>11061</v>
          </cell>
          <cell r="D377">
            <v>101185696274</v>
          </cell>
        </row>
        <row r="378">
          <cell r="C378">
            <v>11228</v>
          </cell>
          <cell r="D378">
            <v>102068683541</v>
          </cell>
        </row>
        <row r="379">
          <cell r="C379">
            <v>10750</v>
          </cell>
          <cell r="D379">
            <v>100839163249</v>
          </cell>
        </row>
        <row r="380">
          <cell r="C380">
            <v>10753</v>
          </cell>
          <cell r="D380">
            <v>101700244825</v>
          </cell>
        </row>
        <row r="381">
          <cell r="C381">
            <v>10755</v>
          </cell>
          <cell r="D381">
            <v>101223700676</v>
          </cell>
        </row>
        <row r="382">
          <cell r="C382">
            <v>10756</v>
          </cell>
          <cell r="D382">
            <v>100908189595</v>
          </cell>
        </row>
        <row r="383">
          <cell r="C383">
            <v>10748</v>
          </cell>
          <cell r="D383">
            <v>101371793580</v>
          </cell>
        </row>
        <row r="384">
          <cell r="C384">
            <v>10754</v>
          </cell>
          <cell r="D384">
            <v>101498500879</v>
          </cell>
        </row>
        <row r="385">
          <cell r="C385">
            <v>10758</v>
          </cell>
          <cell r="D385">
            <v>102030507555</v>
          </cell>
        </row>
        <row r="386">
          <cell r="C386">
            <v>10788</v>
          </cell>
          <cell r="D386">
            <v>102039287756</v>
          </cell>
        </row>
        <row r="387">
          <cell r="C387">
            <v>10836</v>
          </cell>
          <cell r="D387">
            <v>102058670346</v>
          </cell>
        </row>
        <row r="388">
          <cell r="C388">
            <v>10835</v>
          </cell>
          <cell r="D388">
            <v>102058663490</v>
          </cell>
        </row>
        <row r="389">
          <cell r="C389">
            <v>11095</v>
          </cell>
          <cell r="D389">
            <v>102016512573</v>
          </cell>
        </row>
        <row r="390">
          <cell r="C390">
            <v>10473</v>
          </cell>
          <cell r="D390">
            <v>101276562388</v>
          </cell>
        </row>
        <row r="391">
          <cell r="C391">
            <v>11080</v>
          </cell>
          <cell r="D391">
            <v>101922562690</v>
          </cell>
        </row>
        <row r="392">
          <cell r="C392">
            <v>11166</v>
          </cell>
          <cell r="D392">
            <v>101871401122</v>
          </cell>
        </row>
        <row r="393">
          <cell r="C393">
            <v>10471</v>
          </cell>
          <cell r="D393">
            <v>101797537057</v>
          </cell>
        </row>
        <row r="394">
          <cell r="C394">
            <v>11190</v>
          </cell>
          <cell r="D394">
            <v>101491527611</v>
          </cell>
        </row>
        <row r="395">
          <cell r="C395">
            <v>10691</v>
          </cell>
          <cell r="D395">
            <v>101138985127</v>
          </cell>
        </row>
        <row r="396">
          <cell r="C396">
            <v>10521</v>
          </cell>
          <cell r="D396">
            <v>101218708185</v>
          </cell>
        </row>
        <row r="397">
          <cell r="C397">
            <v>10351</v>
          </cell>
          <cell r="D397">
            <v>101653085282</v>
          </cell>
        </row>
        <row r="398">
          <cell r="C398">
            <v>10554</v>
          </cell>
          <cell r="D398">
            <v>101134463240</v>
          </cell>
        </row>
        <row r="399">
          <cell r="C399">
            <v>10391</v>
          </cell>
          <cell r="D399">
            <v>101134463272</v>
          </cell>
        </row>
        <row r="400">
          <cell r="C400">
            <v>10927</v>
          </cell>
          <cell r="D400">
            <v>101921514991</v>
          </cell>
        </row>
        <row r="401">
          <cell r="C401">
            <v>10903</v>
          </cell>
          <cell r="D401">
            <v>102074080178</v>
          </cell>
        </row>
        <row r="402">
          <cell r="C402">
            <v>10891</v>
          </cell>
          <cell r="D402">
            <v>102065510419</v>
          </cell>
        </row>
        <row r="403">
          <cell r="C403">
            <v>10605</v>
          </cell>
          <cell r="D403">
            <v>101645927849</v>
          </cell>
        </row>
        <row r="404">
          <cell r="C404">
            <v>10737</v>
          </cell>
          <cell r="D404">
            <v>101976460134</v>
          </cell>
        </row>
        <row r="405">
          <cell r="C405">
            <v>11149</v>
          </cell>
          <cell r="D405">
            <v>100664728581</v>
          </cell>
        </row>
        <row r="406">
          <cell r="C406">
            <v>11204</v>
          </cell>
          <cell r="D406">
            <v>102140481910</v>
          </cell>
        </row>
        <row r="407">
          <cell r="C407">
            <v>10341</v>
          </cell>
          <cell r="D407">
            <v>101279327061</v>
          </cell>
        </row>
        <row r="408">
          <cell r="C408">
            <v>10347</v>
          </cell>
          <cell r="D408">
            <v>100664789073</v>
          </cell>
        </row>
        <row r="409">
          <cell r="C409">
            <v>10376</v>
          </cell>
          <cell r="D409">
            <v>100775657873</v>
          </cell>
        </row>
        <row r="410">
          <cell r="C410">
            <v>10340</v>
          </cell>
          <cell r="D410">
            <v>101427469477</v>
          </cell>
        </row>
        <row r="411">
          <cell r="C411">
            <v>10353</v>
          </cell>
          <cell r="D411">
            <v>101222620006</v>
          </cell>
        </row>
        <row r="412">
          <cell r="C412">
            <v>10363</v>
          </cell>
          <cell r="D412">
            <v>101216749013</v>
          </cell>
        </row>
        <row r="413">
          <cell r="C413">
            <v>10359</v>
          </cell>
          <cell r="D413">
            <v>100664727245</v>
          </cell>
        </row>
        <row r="414">
          <cell r="C414">
            <v>10357</v>
          </cell>
          <cell r="D414">
            <v>100581331234</v>
          </cell>
        </row>
        <row r="415">
          <cell r="C415">
            <v>10338</v>
          </cell>
          <cell r="D415">
            <v>101266231121</v>
          </cell>
        </row>
        <row r="416">
          <cell r="C416">
            <v>10345</v>
          </cell>
          <cell r="D416">
            <v>101293095106</v>
          </cell>
        </row>
        <row r="417">
          <cell r="C417">
            <v>10362</v>
          </cell>
          <cell r="D417">
            <v>101056610724</v>
          </cell>
        </row>
        <row r="418">
          <cell r="C418">
            <v>10360</v>
          </cell>
          <cell r="D418">
            <v>101183263931</v>
          </cell>
        </row>
        <row r="419">
          <cell r="C419">
            <v>10348</v>
          </cell>
          <cell r="D419">
            <v>101653099212</v>
          </cell>
        </row>
        <row r="420">
          <cell r="C420">
            <v>10909</v>
          </cell>
          <cell r="D420">
            <v>102074214807</v>
          </cell>
        </row>
        <row r="421">
          <cell r="C421">
            <v>10933</v>
          </cell>
          <cell r="D421">
            <v>101826795816</v>
          </cell>
        </row>
        <row r="422">
          <cell r="C422">
            <v>10929</v>
          </cell>
          <cell r="D422">
            <v>100799588061</v>
          </cell>
        </row>
        <row r="423">
          <cell r="C423">
            <v>11047</v>
          </cell>
          <cell r="D423">
            <v>100633890664</v>
          </cell>
        </row>
        <row r="424">
          <cell r="C424">
            <v>10743</v>
          </cell>
          <cell r="D424">
            <v>100208023019</v>
          </cell>
        </row>
        <row r="425">
          <cell r="C425">
            <v>11152</v>
          </cell>
          <cell r="D425">
            <v>101384586232</v>
          </cell>
        </row>
        <row r="426">
          <cell r="C426">
            <v>10383</v>
          </cell>
          <cell r="D426">
            <v>101135611160</v>
          </cell>
        </row>
        <row r="427">
          <cell r="C427">
            <v>10830</v>
          </cell>
          <cell r="D427">
            <v>101328510850</v>
          </cell>
        </row>
        <row r="428">
          <cell r="C428">
            <v>10887</v>
          </cell>
          <cell r="D428">
            <v>101316695891</v>
          </cell>
        </row>
        <row r="429">
          <cell r="C429">
            <v>10531</v>
          </cell>
          <cell r="D429">
            <v>101524486437</v>
          </cell>
        </row>
        <row r="430">
          <cell r="C430">
            <v>11151</v>
          </cell>
          <cell r="D430">
            <v>100735039809</v>
          </cell>
        </row>
        <row r="431">
          <cell r="C431">
            <v>11134</v>
          </cell>
          <cell r="D431">
            <v>101555426291</v>
          </cell>
        </row>
        <row r="432">
          <cell r="C432">
            <v>10681</v>
          </cell>
          <cell r="D432">
            <v>101480183386</v>
          </cell>
        </row>
        <row r="433">
          <cell r="C433">
            <v>10667</v>
          </cell>
          <cell r="D433">
            <v>101432013549</v>
          </cell>
        </row>
        <row r="434">
          <cell r="C434">
            <v>10660</v>
          </cell>
          <cell r="D434">
            <v>101653705703</v>
          </cell>
        </row>
        <row r="435">
          <cell r="C435">
            <v>11119</v>
          </cell>
          <cell r="D435">
            <v>101694320811</v>
          </cell>
        </row>
        <row r="436">
          <cell r="C436">
            <v>11117</v>
          </cell>
          <cell r="D436">
            <v>101268519194</v>
          </cell>
        </row>
        <row r="437">
          <cell r="C437">
            <v>11118</v>
          </cell>
          <cell r="D437">
            <v>101866095470</v>
          </cell>
        </row>
        <row r="438">
          <cell r="C438">
            <v>11123</v>
          </cell>
          <cell r="D438">
            <v>101441143667</v>
          </cell>
        </row>
        <row r="439">
          <cell r="C439">
            <v>11124</v>
          </cell>
          <cell r="D439">
            <v>101441143622</v>
          </cell>
        </row>
        <row r="440">
          <cell r="C440">
            <v>10950</v>
          </cell>
          <cell r="D440">
            <v>101513364506</v>
          </cell>
        </row>
        <row r="441">
          <cell r="C441">
            <v>10957</v>
          </cell>
          <cell r="D441">
            <v>101887957097</v>
          </cell>
        </row>
        <row r="442">
          <cell r="C442">
            <v>10951</v>
          </cell>
          <cell r="D442">
            <v>101562528089</v>
          </cell>
        </row>
        <row r="443">
          <cell r="C443">
            <v>10949</v>
          </cell>
          <cell r="D443">
            <v>101209146397</v>
          </cell>
        </row>
        <row r="444">
          <cell r="C444">
            <v>10963</v>
          </cell>
          <cell r="D444">
            <v>101957544353</v>
          </cell>
        </row>
        <row r="445">
          <cell r="C445">
            <v>10960</v>
          </cell>
          <cell r="D445">
            <v>101840632558</v>
          </cell>
        </row>
        <row r="446">
          <cell r="C446">
            <v>10966</v>
          </cell>
          <cell r="D446">
            <v>102085191542</v>
          </cell>
        </row>
        <row r="447">
          <cell r="C447">
            <v>11077</v>
          </cell>
          <cell r="D447">
            <v>102102845163</v>
          </cell>
        </row>
        <row r="448">
          <cell r="C448">
            <v>11074</v>
          </cell>
          <cell r="D448">
            <v>102059303460</v>
          </cell>
        </row>
        <row r="449">
          <cell r="C449">
            <v>11076</v>
          </cell>
          <cell r="D449">
            <v>102102803783</v>
          </cell>
        </row>
        <row r="450">
          <cell r="C450">
            <v>11091</v>
          </cell>
          <cell r="D450">
            <v>101270727649</v>
          </cell>
        </row>
        <row r="451">
          <cell r="C451">
            <v>11146</v>
          </cell>
          <cell r="D451">
            <v>101865597580</v>
          </cell>
        </row>
        <row r="452">
          <cell r="C452">
            <v>11145</v>
          </cell>
          <cell r="D452">
            <v>102125127557</v>
          </cell>
        </row>
        <row r="453">
          <cell r="C453">
            <v>11220</v>
          </cell>
          <cell r="D453">
            <v>101538586267</v>
          </cell>
        </row>
        <row r="454">
          <cell r="C454">
            <v>11221</v>
          </cell>
          <cell r="D454">
            <v>101933563335</v>
          </cell>
        </row>
        <row r="455">
          <cell r="C455">
            <v>11219</v>
          </cell>
          <cell r="D455">
            <v>101420924579</v>
          </cell>
        </row>
        <row r="456">
          <cell r="C456">
            <v>11234</v>
          </cell>
          <cell r="D456">
            <v>101909978367</v>
          </cell>
        </row>
        <row r="457">
          <cell r="C457">
            <v>11237</v>
          </cell>
          <cell r="D457">
            <v>102056795976</v>
          </cell>
        </row>
        <row r="458">
          <cell r="C458">
            <v>11236</v>
          </cell>
          <cell r="D458">
            <v>101977457216</v>
          </cell>
        </row>
        <row r="459">
          <cell r="C459">
            <v>11252</v>
          </cell>
          <cell r="D459">
            <v>101904751840</v>
          </cell>
        </row>
        <row r="460">
          <cell r="C460">
            <v>11235</v>
          </cell>
          <cell r="D460">
            <v>102147185297</v>
          </cell>
        </row>
        <row r="461">
          <cell r="C461">
            <v>10797</v>
          </cell>
          <cell r="D461">
            <v>102048403297</v>
          </cell>
        </row>
        <row r="462">
          <cell r="C462">
            <v>10907</v>
          </cell>
          <cell r="D462">
            <v>101378459867</v>
          </cell>
        </row>
        <row r="463">
          <cell r="C463">
            <v>10902</v>
          </cell>
          <cell r="D463">
            <v>101903515340</v>
          </cell>
        </row>
        <row r="464">
          <cell r="C464">
            <v>10932</v>
          </cell>
          <cell r="D464">
            <v>101196640177</v>
          </cell>
        </row>
        <row r="465">
          <cell r="C465">
            <v>11021</v>
          </cell>
          <cell r="D465">
            <v>102088242004</v>
          </cell>
        </row>
        <row r="466">
          <cell r="C466">
            <v>10592</v>
          </cell>
          <cell r="D466">
            <v>101979889018</v>
          </cell>
        </row>
        <row r="467">
          <cell r="C467">
            <v>11045</v>
          </cell>
          <cell r="D467">
            <v>101504129359</v>
          </cell>
        </row>
        <row r="468">
          <cell r="C468">
            <v>10791</v>
          </cell>
          <cell r="D468">
            <v>102041553689</v>
          </cell>
        </row>
        <row r="469">
          <cell r="C469">
            <v>11121</v>
          </cell>
          <cell r="D469">
            <v>101601614510</v>
          </cell>
        </row>
        <row r="470">
          <cell r="C470">
            <v>10973</v>
          </cell>
          <cell r="D470">
            <v>102086166454</v>
          </cell>
        </row>
        <row r="471">
          <cell r="C471">
            <v>11059</v>
          </cell>
          <cell r="D471">
            <v>101250929560</v>
          </cell>
        </row>
        <row r="472">
          <cell r="C472">
            <v>11096</v>
          </cell>
          <cell r="D472">
            <v>100555877253</v>
          </cell>
        </row>
        <row r="473">
          <cell r="C473">
            <v>10569</v>
          </cell>
          <cell r="D473">
            <v>100126050414</v>
          </cell>
        </row>
        <row r="474">
          <cell r="C474">
            <v>10850</v>
          </cell>
          <cell r="D474">
            <v>100668773736</v>
          </cell>
        </row>
        <row r="475">
          <cell r="C475">
            <v>10559</v>
          </cell>
          <cell r="D475">
            <v>101303933752</v>
          </cell>
        </row>
        <row r="476">
          <cell r="C476">
            <v>10972</v>
          </cell>
          <cell r="D476">
            <v>102086162342</v>
          </cell>
        </row>
        <row r="477">
          <cell r="C477">
            <v>10591</v>
          </cell>
          <cell r="D477">
            <v>100063139618</v>
          </cell>
        </row>
        <row r="478">
          <cell r="C478">
            <v>11218</v>
          </cell>
          <cell r="D478">
            <v>102142943287</v>
          </cell>
        </row>
        <row r="479">
          <cell r="C479">
            <v>10557</v>
          </cell>
          <cell r="D479">
            <v>101460534565</v>
          </cell>
        </row>
        <row r="480">
          <cell r="C480">
            <v>10567</v>
          </cell>
          <cell r="D480">
            <v>100209914294</v>
          </cell>
        </row>
        <row r="481">
          <cell r="C481">
            <v>10563</v>
          </cell>
          <cell r="D481">
            <v>101877237534</v>
          </cell>
        </row>
        <row r="482">
          <cell r="C482">
            <v>10561</v>
          </cell>
          <cell r="D482">
            <v>100209914287</v>
          </cell>
        </row>
        <row r="483">
          <cell r="C483">
            <v>11129</v>
          </cell>
          <cell r="D483">
            <v>101953334516</v>
          </cell>
        </row>
        <row r="484">
          <cell r="C484">
            <v>10562</v>
          </cell>
          <cell r="D484">
            <v>100788779347</v>
          </cell>
        </row>
        <row r="485">
          <cell r="C485">
            <v>10568</v>
          </cell>
          <cell r="D485">
            <v>101877237547</v>
          </cell>
        </row>
      </sheetData>
      <sheetData sheetId="4">
        <row r="4">
          <cell r="B4">
            <v>10283</v>
          </cell>
          <cell r="C4">
            <v>5211476102</v>
          </cell>
        </row>
        <row r="5">
          <cell r="B5">
            <v>10650</v>
          </cell>
          <cell r="C5">
            <v>5219743251</v>
          </cell>
        </row>
        <row r="6">
          <cell r="B6">
            <v>10649</v>
          </cell>
          <cell r="C6">
            <v>5220148284</v>
          </cell>
        </row>
        <row r="7">
          <cell r="B7">
            <v>11098</v>
          </cell>
          <cell r="C7">
            <v>5221250076</v>
          </cell>
        </row>
        <row r="8">
          <cell r="B8">
            <v>11144</v>
          </cell>
          <cell r="C8">
            <v>5221366473</v>
          </cell>
        </row>
        <row r="9">
          <cell r="B9">
            <v>11168</v>
          </cell>
          <cell r="C9">
            <v>5221451030</v>
          </cell>
        </row>
        <row r="10">
          <cell r="B10">
            <v>10908</v>
          </cell>
          <cell r="C10">
            <v>5220241964</v>
          </cell>
        </row>
        <row r="11">
          <cell r="B11">
            <v>10602</v>
          </cell>
          <cell r="C11">
            <v>5217173729</v>
          </cell>
        </row>
        <row r="12">
          <cell r="B12">
            <v>10578</v>
          </cell>
          <cell r="C12">
            <v>5219834452</v>
          </cell>
        </row>
        <row r="13">
          <cell r="B13">
            <v>11209</v>
          </cell>
          <cell r="C13">
            <v>5220899270</v>
          </cell>
        </row>
        <row r="14">
          <cell r="B14">
            <v>10655</v>
          </cell>
          <cell r="C14">
            <v>5220223010</v>
          </cell>
        </row>
        <row r="15">
          <cell r="B15">
            <v>10296</v>
          </cell>
          <cell r="C15">
            <v>5214841531</v>
          </cell>
        </row>
        <row r="16">
          <cell r="B16">
            <v>10664</v>
          </cell>
          <cell r="C16">
            <v>5220281315</v>
          </cell>
        </row>
        <row r="17">
          <cell r="B17">
            <v>10261</v>
          </cell>
          <cell r="C17">
            <v>5218142742</v>
          </cell>
        </row>
        <row r="18">
          <cell r="B18">
            <v>11087</v>
          </cell>
          <cell r="C18">
            <v>5221216476</v>
          </cell>
        </row>
        <row r="19">
          <cell r="B19">
            <v>10965</v>
          </cell>
          <cell r="C19">
            <v>5220981715</v>
          </cell>
        </row>
        <row r="20">
          <cell r="B20">
            <v>11249</v>
          </cell>
          <cell r="C20">
            <v>5218512171</v>
          </cell>
        </row>
        <row r="21">
          <cell r="B21">
            <v>11251</v>
          </cell>
          <cell r="C21">
            <v>5220566452</v>
          </cell>
        </row>
        <row r="22">
          <cell r="B22">
            <v>10710</v>
          </cell>
          <cell r="C22">
            <v>5218395180</v>
          </cell>
        </row>
        <row r="23">
          <cell r="B23">
            <v>10293</v>
          </cell>
          <cell r="C23">
            <v>5218285618</v>
          </cell>
        </row>
        <row r="24">
          <cell r="B24">
            <v>10713</v>
          </cell>
          <cell r="C24">
            <v>5220994356</v>
          </cell>
        </row>
        <row r="25">
          <cell r="B25">
            <v>10946</v>
          </cell>
          <cell r="C25">
            <v>5218709192</v>
          </cell>
        </row>
        <row r="26">
          <cell r="B26">
            <v>11170</v>
          </cell>
          <cell r="C26">
            <v>5219940850</v>
          </cell>
        </row>
        <row r="27">
          <cell r="B27">
            <v>11066</v>
          </cell>
          <cell r="C27">
            <v>5215336989</v>
          </cell>
        </row>
        <row r="28">
          <cell r="B28">
            <v>11153</v>
          </cell>
          <cell r="C28">
            <v>5218861480</v>
          </cell>
        </row>
        <row r="29">
          <cell r="B29">
            <v>11224</v>
          </cell>
          <cell r="C29">
            <v>5219697604</v>
          </cell>
        </row>
        <row r="30">
          <cell r="B30">
            <v>11254</v>
          </cell>
          <cell r="C30">
            <v>5221624922</v>
          </cell>
        </row>
        <row r="31">
          <cell r="B31">
            <v>10479</v>
          </cell>
          <cell r="C31">
            <v>5216784221</v>
          </cell>
        </row>
        <row r="32">
          <cell r="B32">
            <v>11043</v>
          </cell>
          <cell r="C32">
            <v>5221041361</v>
          </cell>
        </row>
        <row r="33">
          <cell r="B33" t="str">
            <v>2020/206</v>
          </cell>
          <cell r="C33">
            <v>5216631040</v>
          </cell>
        </row>
        <row r="34">
          <cell r="B34">
            <v>10294</v>
          </cell>
          <cell r="C34">
            <v>5217061262</v>
          </cell>
        </row>
        <row r="35">
          <cell r="B35" t="str">
            <v>2020/190</v>
          </cell>
          <cell r="C35">
            <v>5215808721</v>
          </cell>
        </row>
        <row r="36">
          <cell r="B36">
            <v>10478</v>
          </cell>
          <cell r="C36">
            <v>5219186103</v>
          </cell>
        </row>
        <row r="37">
          <cell r="B37">
            <v>10532</v>
          </cell>
          <cell r="C37">
            <v>5219301484</v>
          </cell>
        </row>
        <row r="38">
          <cell r="B38">
            <v>10533</v>
          </cell>
          <cell r="C38">
            <v>5219634823</v>
          </cell>
        </row>
        <row r="39">
          <cell r="B39">
            <v>10774</v>
          </cell>
          <cell r="C39">
            <v>5220528581</v>
          </cell>
        </row>
        <row r="40">
          <cell r="B40">
            <v>10881</v>
          </cell>
          <cell r="C40">
            <v>5215186976</v>
          </cell>
        </row>
        <row r="41">
          <cell r="B41">
            <v>10611</v>
          </cell>
          <cell r="C41">
            <v>5216469820</v>
          </cell>
        </row>
        <row r="42">
          <cell r="B42">
            <v>10952</v>
          </cell>
          <cell r="C42">
            <v>5218596289</v>
          </cell>
        </row>
        <row r="43">
          <cell r="B43">
            <v>10964</v>
          </cell>
          <cell r="C43">
            <v>5219927897</v>
          </cell>
        </row>
        <row r="44">
          <cell r="B44">
            <v>11102</v>
          </cell>
          <cell r="C44">
            <v>5218855102</v>
          </cell>
        </row>
        <row r="45">
          <cell r="B45">
            <v>11210</v>
          </cell>
          <cell r="C45">
            <v>5219565822</v>
          </cell>
        </row>
        <row r="46">
          <cell r="B46">
            <v>11172</v>
          </cell>
          <cell r="C46">
            <v>5221450735</v>
          </cell>
        </row>
        <row r="47">
          <cell r="B47">
            <v>10838</v>
          </cell>
          <cell r="C47">
            <v>5218852076</v>
          </cell>
        </row>
        <row r="48">
          <cell r="B48">
            <v>10697</v>
          </cell>
          <cell r="C48">
            <v>5215803237</v>
          </cell>
        </row>
        <row r="49">
          <cell r="B49">
            <v>10695</v>
          </cell>
          <cell r="C49">
            <v>5217103387</v>
          </cell>
        </row>
        <row r="50">
          <cell r="B50">
            <v>10687</v>
          </cell>
          <cell r="C50">
            <v>5346353773</v>
          </cell>
        </row>
        <row r="51">
          <cell r="B51">
            <v>11054</v>
          </cell>
          <cell r="C51">
            <v>5218368876</v>
          </cell>
        </row>
        <row r="52">
          <cell r="B52">
            <v>10720</v>
          </cell>
          <cell r="C52">
            <v>5219392174</v>
          </cell>
        </row>
        <row r="53">
          <cell r="B53">
            <v>10197</v>
          </cell>
          <cell r="C53">
            <v>5221155467</v>
          </cell>
        </row>
        <row r="54">
          <cell r="B54">
            <v>11100</v>
          </cell>
          <cell r="C54">
            <v>5221250584</v>
          </cell>
        </row>
        <row r="55">
          <cell r="B55">
            <v>11051</v>
          </cell>
          <cell r="C55">
            <v>5219277704</v>
          </cell>
        </row>
        <row r="56">
          <cell r="B56">
            <v>10809</v>
          </cell>
          <cell r="C56">
            <v>5220641181</v>
          </cell>
        </row>
        <row r="57">
          <cell r="B57">
            <v>11086</v>
          </cell>
          <cell r="C57">
            <v>5214741459</v>
          </cell>
        </row>
        <row r="58">
          <cell r="B58">
            <v>11008</v>
          </cell>
          <cell r="C58">
            <v>5221013777</v>
          </cell>
        </row>
        <row r="59">
          <cell r="B59">
            <v>11139</v>
          </cell>
          <cell r="C59">
            <v>5221347201</v>
          </cell>
        </row>
        <row r="60">
          <cell r="B60">
            <v>10875</v>
          </cell>
          <cell r="C60">
            <v>5220782018</v>
          </cell>
        </row>
        <row r="61">
          <cell r="B61">
            <v>10638</v>
          </cell>
          <cell r="C61">
            <v>5216816479</v>
          </cell>
        </row>
        <row r="62">
          <cell r="B62">
            <v>10741</v>
          </cell>
          <cell r="C62">
            <v>5212045426</v>
          </cell>
        </row>
        <row r="63">
          <cell r="B63">
            <v>11104</v>
          </cell>
          <cell r="C63">
            <v>5219835153</v>
          </cell>
        </row>
        <row r="64">
          <cell r="B64">
            <v>11189</v>
          </cell>
          <cell r="C64">
            <v>5216618091</v>
          </cell>
        </row>
        <row r="65">
          <cell r="B65">
            <v>10388</v>
          </cell>
          <cell r="C65">
            <v>5218261469</v>
          </cell>
        </row>
        <row r="66">
          <cell r="B66">
            <v>10242</v>
          </cell>
          <cell r="C66">
            <v>5213594662</v>
          </cell>
        </row>
        <row r="67">
          <cell r="B67">
            <v>10248</v>
          </cell>
          <cell r="C67">
            <v>5216527520</v>
          </cell>
        </row>
        <row r="68">
          <cell r="B68">
            <v>10249</v>
          </cell>
          <cell r="C68">
            <v>5216527539</v>
          </cell>
        </row>
        <row r="69">
          <cell r="B69">
            <v>10987</v>
          </cell>
          <cell r="C69">
            <v>5214479356</v>
          </cell>
        </row>
        <row r="70">
          <cell r="B70">
            <v>10989</v>
          </cell>
          <cell r="C70">
            <v>5214712392</v>
          </cell>
        </row>
        <row r="71">
          <cell r="B71">
            <v>10988</v>
          </cell>
          <cell r="C71">
            <v>5215979469</v>
          </cell>
        </row>
        <row r="72">
          <cell r="B72">
            <v>11030</v>
          </cell>
          <cell r="C72">
            <v>5218814959</v>
          </cell>
        </row>
        <row r="73">
          <cell r="B73">
            <v>11002</v>
          </cell>
          <cell r="C73">
            <v>5218632918</v>
          </cell>
        </row>
        <row r="74">
          <cell r="B74">
            <v>10970</v>
          </cell>
          <cell r="C74">
            <v>5219189859</v>
          </cell>
        </row>
        <row r="75">
          <cell r="B75">
            <v>10979</v>
          </cell>
          <cell r="C75">
            <v>5219468803</v>
          </cell>
        </row>
        <row r="76">
          <cell r="B76">
            <v>10982</v>
          </cell>
          <cell r="C76">
            <v>5219839704</v>
          </cell>
        </row>
        <row r="77">
          <cell r="B77">
            <v>11050</v>
          </cell>
          <cell r="C77">
            <v>5221153250</v>
          </cell>
        </row>
        <row r="78">
          <cell r="B78">
            <v>11049</v>
          </cell>
          <cell r="C78">
            <v>5221153012</v>
          </cell>
        </row>
        <row r="79">
          <cell r="B79">
            <v>11032</v>
          </cell>
          <cell r="C79">
            <v>5219949923</v>
          </cell>
        </row>
        <row r="80">
          <cell r="B80">
            <v>11217</v>
          </cell>
          <cell r="C80">
            <v>5221038656</v>
          </cell>
        </row>
        <row r="81">
          <cell r="B81">
            <v>11247</v>
          </cell>
          <cell r="C81">
            <v>5220204602</v>
          </cell>
        </row>
        <row r="82">
          <cell r="B82">
            <v>11246</v>
          </cell>
          <cell r="C82">
            <v>5221618572</v>
          </cell>
        </row>
        <row r="83">
          <cell r="B83">
            <v>11244</v>
          </cell>
          <cell r="C83">
            <v>5221618151</v>
          </cell>
        </row>
        <row r="84">
          <cell r="B84">
            <v>11022</v>
          </cell>
          <cell r="C84">
            <v>5218969327</v>
          </cell>
        </row>
        <row r="85">
          <cell r="B85">
            <v>10990</v>
          </cell>
          <cell r="C85">
            <v>5221025207</v>
          </cell>
        </row>
        <row r="86">
          <cell r="B86">
            <v>10981</v>
          </cell>
          <cell r="C86">
            <v>5217740757</v>
          </cell>
        </row>
        <row r="87">
          <cell r="B87">
            <v>11135</v>
          </cell>
          <cell r="C87">
            <v>5221346643</v>
          </cell>
        </row>
        <row r="88">
          <cell r="B88">
            <v>10977</v>
          </cell>
          <cell r="C88">
            <v>5218553222</v>
          </cell>
        </row>
        <row r="89">
          <cell r="B89">
            <v>11000</v>
          </cell>
          <cell r="C89">
            <v>5216831049</v>
          </cell>
        </row>
        <row r="90">
          <cell r="B90">
            <v>11026</v>
          </cell>
          <cell r="C90">
            <v>5220167975</v>
          </cell>
        </row>
        <row r="91">
          <cell r="B91">
            <v>11028</v>
          </cell>
          <cell r="C91">
            <v>5220726427</v>
          </cell>
        </row>
        <row r="92">
          <cell r="B92">
            <v>10998</v>
          </cell>
          <cell r="C92">
            <v>5219179239</v>
          </cell>
        </row>
        <row r="93">
          <cell r="B93">
            <v>11023</v>
          </cell>
          <cell r="C93">
            <v>5219949839</v>
          </cell>
        </row>
        <row r="94">
          <cell r="B94">
            <v>10999</v>
          </cell>
          <cell r="C94">
            <v>5220029507</v>
          </cell>
        </row>
        <row r="95">
          <cell r="B95">
            <v>11182</v>
          </cell>
          <cell r="C95">
            <v>5221451665</v>
          </cell>
        </row>
        <row r="96">
          <cell r="B96">
            <v>11195</v>
          </cell>
          <cell r="C96">
            <v>5131585976</v>
          </cell>
        </row>
        <row r="97">
          <cell r="B97">
            <v>11241</v>
          </cell>
          <cell r="C97">
            <v>5221635639</v>
          </cell>
        </row>
        <row r="98">
          <cell r="B98">
            <v>10978</v>
          </cell>
          <cell r="C98">
            <v>5219179350</v>
          </cell>
        </row>
        <row r="99">
          <cell r="B99">
            <v>10985</v>
          </cell>
          <cell r="C99">
            <v>5219243373</v>
          </cell>
        </row>
        <row r="100">
          <cell r="B100">
            <v>10974</v>
          </cell>
          <cell r="C100">
            <v>5219746853</v>
          </cell>
        </row>
        <row r="101">
          <cell r="B101">
            <v>10983</v>
          </cell>
          <cell r="C101">
            <v>5220317446</v>
          </cell>
        </row>
        <row r="102">
          <cell r="B102">
            <v>11158</v>
          </cell>
          <cell r="C102">
            <v>5221391571</v>
          </cell>
        </row>
        <row r="103">
          <cell r="B103">
            <v>11203</v>
          </cell>
          <cell r="C103">
            <v>5221514932</v>
          </cell>
        </row>
        <row r="104">
          <cell r="B104">
            <v>10993</v>
          </cell>
          <cell r="C104">
            <v>5216692103</v>
          </cell>
        </row>
        <row r="105">
          <cell r="B105">
            <v>10997</v>
          </cell>
          <cell r="C105">
            <v>5219844293</v>
          </cell>
        </row>
        <row r="106">
          <cell r="B106">
            <v>11214</v>
          </cell>
          <cell r="C106">
            <v>5221635207</v>
          </cell>
        </row>
        <row r="107">
          <cell r="B107">
            <v>11058</v>
          </cell>
          <cell r="C107">
            <v>5218498974</v>
          </cell>
        </row>
        <row r="108">
          <cell r="B108">
            <v>10199</v>
          </cell>
          <cell r="C108">
            <v>5212713384</v>
          </cell>
        </row>
        <row r="109">
          <cell r="B109">
            <v>10200</v>
          </cell>
          <cell r="C109">
            <v>5217571781</v>
          </cell>
        </row>
        <row r="110">
          <cell r="B110">
            <v>10198</v>
          </cell>
          <cell r="C110">
            <v>5217582500</v>
          </cell>
        </row>
        <row r="111">
          <cell r="B111" t="str">
            <v>2019/132</v>
          </cell>
          <cell r="C111">
            <v>5216343620</v>
          </cell>
        </row>
        <row r="112">
          <cell r="B112">
            <v>10222</v>
          </cell>
          <cell r="C112">
            <v>5214937786</v>
          </cell>
        </row>
        <row r="113">
          <cell r="B113">
            <v>11196</v>
          </cell>
          <cell r="C113">
            <v>5221486213</v>
          </cell>
        </row>
        <row r="114">
          <cell r="B114">
            <v>11108</v>
          </cell>
          <cell r="C114">
            <v>5221310585</v>
          </cell>
        </row>
        <row r="115">
          <cell r="B115">
            <v>10202</v>
          </cell>
          <cell r="C115">
            <v>5214710443</v>
          </cell>
        </row>
        <row r="116">
          <cell r="B116">
            <v>10218</v>
          </cell>
          <cell r="C116">
            <v>5215831815</v>
          </cell>
        </row>
        <row r="117">
          <cell r="B117">
            <v>11138</v>
          </cell>
          <cell r="C117">
            <v>5221343094</v>
          </cell>
        </row>
        <row r="118">
          <cell r="B118">
            <v>11163</v>
          </cell>
          <cell r="C118">
            <v>5221391736</v>
          </cell>
        </row>
        <row r="119">
          <cell r="B119">
            <v>11242</v>
          </cell>
          <cell r="C119">
            <v>5221629491</v>
          </cell>
        </row>
        <row r="120">
          <cell r="B120">
            <v>11216</v>
          </cell>
          <cell r="C120">
            <v>5221535602</v>
          </cell>
        </row>
        <row r="121">
          <cell r="B121">
            <v>10208</v>
          </cell>
          <cell r="C121">
            <v>5217607014</v>
          </cell>
        </row>
        <row r="122">
          <cell r="B122">
            <v>10251</v>
          </cell>
          <cell r="C122">
            <v>5217146097</v>
          </cell>
        </row>
        <row r="123">
          <cell r="B123">
            <v>11176</v>
          </cell>
          <cell r="C123">
            <v>5221432640</v>
          </cell>
        </row>
        <row r="124">
          <cell r="B124">
            <v>11188</v>
          </cell>
          <cell r="C124">
            <v>5221470957</v>
          </cell>
        </row>
        <row r="125">
          <cell r="B125">
            <v>10265</v>
          </cell>
          <cell r="C125">
            <v>5218067118</v>
          </cell>
        </row>
        <row r="126">
          <cell r="B126">
            <v>10311</v>
          </cell>
          <cell r="C126">
            <v>5218430198</v>
          </cell>
        </row>
        <row r="127">
          <cell r="B127">
            <v>10883</v>
          </cell>
          <cell r="C127">
            <v>5220857193</v>
          </cell>
        </row>
        <row r="128">
          <cell r="B128">
            <v>11194</v>
          </cell>
          <cell r="C128">
            <v>5221509363</v>
          </cell>
        </row>
        <row r="129">
          <cell r="B129">
            <v>10459</v>
          </cell>
          <cell r="C129">
            <v>5219293064</v>
          </cell>
        </row>
        <row r="130">
          <cell r="B130">
            <v>10846</v>
          </cell>
          <cell r="C130">
            <v>7010942130</v>
          </cell>
        </row>
        <row r="131">
          <cell r="B131">
            <v>11160</v>
          </cell>
          <cell r="C131">
            <v>5221431876</v>
          </cell>
        </row>
        <row r="132">
          <cell r="B132">
            <v>10375</v>
          </cell>
          <cell r="C132">
            <v>5218665227</v>
          </cell>
        </row>
        <row r="133">
          <cell r="B133">
            <v>11225</v>
          </cell>
          <cell r="C133">
            <v>5221635835</v>
          </cell>
        </row>
        <row r="134">
          <cell r="B134">
            <v>11056</v>
          </cell>
          <cell r="C134">
            <v>5221104073</v>
          </cell>
        </row>
        <row r="135">
          <cell r="B135" t="str">
            <v>2020/248</v>
          </cell>
          <cell r="C135">
            <v>5211824822</v>
          </cell>
        </row>
        <row r="136">
          <cell r="B136">
            <v>10213</v>
          </cell>
          <cell r="C136">
            <v>5212396269</v>
          </cell>
        </row>
        <row r="137">
          <cell r="B137">
            <v>10221</v>
          </cell>
          <cell r="C137">
            <v>5217719235</v>
          </cell>
        </row>
        <row r="138">
          <cell r="B138" t="str">
            <v>2021/256</v>
          </cell>
          <cell r="C138">
            <v>5215095298</v>
          </cell>
        </row>
        <row r="139">
          <cell r="B139">
            <v>10476</v>
          </cell>
          <cell r="C139">
            <v>6209310604</v>
          </cell>
        </row>
        <row r="140">
          <cell r="B140">
            <v>10422</v>
          </cell>
          <cell r="C140">
            <v>5218990998</v>
          </cell>
        </row>
        <row r="141">
          <cell r="B141">
            <v>10786</v>
          </cell>
          <cell r="C141">
            <v>5218744640</v>
          </cell>
        </row>
        <row r="142">
          <cell r="B142">
            <v>11192</v>
          </cell>
          <cell r="C142">
            <v>5221415970</v>
          </cell>
        </row>
        <row r="143">
          <cell r="B143">
            <v>10209</v>
          </cell>
          <cell r="C143">
            <v>5217606964</v>
          </cell>
        </row>
        <row r="144">
          <cell r="B144">
            <v>10372</v>
          </cell>
          <cell r="C144">
            <v>5218702900</v>
          </cell>
        </row>
        <row r="145">
          <cell r="B145">
            <v>11226</v>
          </cell>
          <cell r="C145">
            <v>5221618834</v>
          </cell>
        </row>
        <row r="146">
          <cell r="B146">
            <v>11240</v>
          </cell>
          <cell r="C146">
            <v>5221621701</v>
          </cell>
        </row>
        <row r="147">
          <cell r="B147">
            <v>10319</v>
          </cell>
          <cell r="C147">
            <v>5218171153</v>
          </cell>
        </row>
        <row r="148">
          <cell r="B148">
            <v>10795</v>
          </cell>
          <cell r="C148">
            <v>5220638889</v>
          </cell>
        </row>
        <row r="149">
          <cell r="B149">
            <v>10900</v>
          </cell>
          <cell r="C149">
            <v>5220968491</v>
          </cell>
        </row>
        <row r="150">
          <cell r="B150">
            <v>10728</v>
          </cell>
          <cell r="C150">
            <v>5220414028</v>
          </cell>
        </row>
        <row r="151">
          <cell r="B151">
            <v>10975</v>
          </cell>
          <cell r="C151">
            <v>5220989502</v>
          </cell>
        </row>
        <row r="152">
          <cell r="B152">
            <v>11155</v>
          </cell>
          <cell r="C152">
            <v>5221432121</v>
          </cell>
        </row>
        <row r="153">
          <cell r="B153">
            <v>11186</v>
          </cell>
          <cell r="C153">
            <v>5220284849</v>
          </cell>
        </row>
        <row r="154">
          <cell r="B154">
            <v>11227</v>
          </cell>
          <cell r="C154">
            <v>5221618897</v>
          </cell>
        </row>
        <row r="155">
          <cell r="B155" t="str">
            <v>2019/108</v>
          </cell>
          <cell r="C155">
            <v>5211297647</v>
          </cell>
        </row>
        <row r="156">
          <cell r="B156" t="str">
            <v>2019/120</v>
          </cell>
          <cell r="C156">
            <v>5210376133</v>
          </cell>
        </row>
        <row r="157">
          <cell r="B157" t="str">
            <v>2019/126</v>
          </cell>
          <cell r="C157">
            <v>5211297640</v>
          </cell>
        </row>
        <row r="158">
          <cell r="B158">
            <v>11239</v>
          </cell>
          <cell r="C158">
            <v>5211136916</v>
          </cell>
        </row>
        <row r="159">
          <cell r="B159">
            <v>10848</v>
          </cell>
          <cell r="C159">
            <v>5220765899</v>
          </cell>
        </row>
        <row r="160">
          <cell r="B160">
            <v>10948</v>
          </cell>
          <cell r="C160">
            <v>5219293170</v>
          </cell>
        </row>
        <row r="161">
          <cell r="B161">
            <v>11238</v>
          </cell>
          <cell r="C161">
            <v>5218430554</v>
          </cell>
        </row>
        <row r="162">
          <cell r="B162">
            <v>10693</v>
          </cell>
          <cell r="C162">
            <v>5220354891</v>
          </cell>
        </row>
        <row r="163">
          <cell r="B163" t="str">
            <v>2019/128</v>
          </cell>
          <cell r="C163">
            <v>5216341661</v>
          </cell>
        </row>
        <row r="164">
          <cell r="B164" t="str">
            <v>2019/131</v>
          </cell>
          <cell r="C164">
            <v>5211297645</v>
          </cell>
        </row>
        <row r="165">
          <cell r="B165" t="str">
            <v>2019/129</v>
          </cell>
          <cell r="C165">
            <v>5208328845</v>
          </cell>
        </row>
        <row r="166">
          <cell r="B166" t="str">
            <v>2019/130</v>
          </cell>
          <cell r="C166">
            <v>5204894335</v>
          </cell>
        </row>
        <row r="167">
          <cell r="B167" t="str">
            <v>2019/127</v>
          </cell>
          <cell r="C167">
            <v>5210745501</v>
          </cell>
        </row>
        <row r="168">
          <cell r="B168">
            <v>10575</v>
          </cell>
          <cell r="C168">
            <v>5219843232</v>
          </cell>
        </row>
        <row r="169">
          <cell r="B169">
            <v>11159</v>
          </cell>
          <cell r="C169">
            <v>5221431819</v>
          </cell>
        </row>
        <row r="170">
          <cell r="B170" t="str">
            <v>2019/124</v>
          </cell>
          <cell r="C170">
            <v>5216341730</v>
          </cell>
        </row>
        <row r="171">
          <cell r="B171">
            <v>10539</v>
          </cell>
          <cell r="C171">
            <v>5205699769</v>
          </cell>
        </row>
        <row r="172">
          <cell r="B172">
            <v>10609</v>
          </cell>
          <cell r="C172">
            <v>5220065648</v>
          </cell>
        </row>
        <row r="173">
          <cell r="B173" t="str">
            <v>2020/214</v>
          </cell>
          <cell r="C173">
            <v>5216825535</v>
          </cell>
        </row>
        <row r="174">
          <cell r="B174">
            <v>10837</v>
          </cell>
          <cell r="C174">
            <v>5220638771</v>
          </cell>
        </row>
        <row r="175">
          <cell r="B175">
            <v>10785</v>
          </cell>
          <cell r="C175">
            <v>5220539677</v>
          </cell>
        </row>
        <row r="176">
          <cell r="B176">
            <v>11070</v>
          </cell>
          <cell r="C176">
            <v>5221147588</v>
          </cell>
        </row>
        <row r="177">
          <cell r="B177">
            <v>11142</v>
          </cell>
          <cell r="C177">
            <v>5221363530</v>
          </cell>
        </row>
        <row r="178">
          <cell r="B178">
            <v>11177</v>
          </cell>
          <cell r="C178">
            <v>5221415744</v>
          </cell>
        </row>
        <row r="179">
          <cell r="B179">
            <v>10517</v>
          </cell>
          <cell r="C179">
            <v>5041913967</v>
          </cell>
        </row>
        <row r="180">
          <cell r="B180">
            <v>10631</v>
          </cell>
          <cell r="C180">
            <v>5220117023</v>
          </cell>
        </row>
        <row r="181">
          <cell r="B181">
            <v>10683</v>
          </cell>
          <cell r="C181">
            <v>5220262808</v>
          </cell>
        </row>
        <row r="182">
          <cell r="B182">
            <v>10705</v>
          </cell>
          <cell r="C182">
            <v>5220539033</v>
          </cell>
        </row>
        <row r="183">
          <cell r="B183">
            <v>10943</v>
          </cell>
          <cell r="C183">
            <v>5220958197</v>
          </cell>
        </row>
        <row r="184">
          <cell r="B184">
            <v>11248</v>
          </cell>
          <cell r="C184">
            <v>5221618668</v>
          </cell>
        </row>
        <row r="185">
          <cell r="B185" t="str">
            <v>2020/209</v>
          </cell>
          <cell r="C185">
            <v>5216698004</v>
          </cell>
        </row>
        <row r="186">
          <cell r="B186">
            <v>10787</v>
          </cell>
          <cell r="C186">
            <v>5220549504</v>
          </cell>
        </row>
        <row r="187">
          <cell r="B187" t="str">
            <v>2021/299</v>
          </cell>
          <cell r="C187">
            <v>5217526447</v>
          </cell>
        </row>
        <row r="188">
          <cell r="B188" t="str">
            <v>2019/141</v>
          </cell>
          <cell r="C188">
            <v>5214792019</v>
          </cell>
        </row>
        <row r="189">
          <cell r="B189" t="str">
            <v>2020/221</v>
          </cell>
          <cell r="C189">
            <v>5216989393</v>
          </cell>
        </row>
        <row r="190">
          <cell r="B190" t="str">
            <v>2019/113</v>
          </cell>
          <cell r="C190">
            <v>5214728849</v>
          </cell>
        </row>
        <row r="191">
          <cell r="B191" t="str">
            <v>2019/114</v>
          </cell>
          <cell r="C191">
            <v>5210826133</v>
          </cell>
        </row>
        <row r="192">
          <cell r="B192">
            <v>10717</v>
          </cell>
          <cell r="C192">
            <v>5220263368</v>
          </cell>
        </row>
        <row r="193">
          <cell r="B193">
            <v>11157</v>
          </cell>
          <cell r="C193">
            <v>5221391648</v>
          </cell>
        </row>
        <row r="194">
          <cell r="B194">
            <v>11106</v>
          </cell>
          <cell r="C194">
            <v>5221285245</v>
          </cell>
        </row>
        <row r="195">
          <cell r="B195">
            <v>10528</v>
          </cell>
          <cell r="C195">
            <v>5348112023</v>
          </cell>
        </row>
        <row r="196">
          <cell r="B196">
            <v>10941</v>
          </cell>
          <cell r="C196">
            <v>5220955969</v>
          </cell>
        </row>
        <row r="197">
          <cell r="B197">
            <v>11097</v>
          </cell>
          <cell r="C197">
            <v>4406638103</v>
          </cell>
        </row>
        <row r="198">
          <cell r="B198">
            <v>11128</v>
          </cell>
          <cell r="C198">
            <v>5221334465</v>
          </cell>
        </row>
        <row r="199">
          <cell r="B199" t="str">
            <v>2020/170</v>
          </cell>
          <cell r="C199">
            <v>5216344300</v>
          </cell>
        </row>
        <row r="200">
          <cell r="B200" t="str">
            <v>2019/152</v>
          </cell>
          <cell r="C200">
            <v>5211386514</v>
          </cell>
        </row>
        <row r="201">
          <cell r="B201">
            <v>11245</v>
          </cell>
          <cell r="C201">
            <v>5221619784</v>
          </cell>
        </row>
        <row r="202">
          <cell r="B202">
            <v>10526</v>
          </cell>
          <cell r="C202">
            <v>5219644255</v>
          </cell>
        </row>
        <row r="203">
          <cell r="B203">
            <v>10226</v>
          </cell>
          <cell r="C203">
            <v>5217606892</v>
          </cell>
        </row>
        <row r="204">
          <cell r="B204" t="str">
            <v>2019/158</v>
          </cell>
          <cell r="C204">
            <v>5215351396</v>
          </cell>
        </row>
        <row r="205">
          <cell r="B205">
            <v>11161</v>
          </cell>
          <cell r="C205">
            <v>5221432039</v>
          </cell>
        </row>
        <row r="206">
          <cell r="B206">
            <v>10313</v>
          </cell>
          <cell r="C206">
            <v>6208512027</v>
          </cell>
        </row>
        <row r="207">
          <cell r="B207">
            <v>10939</v>
          </cell>
          <cell r="C207">
            <v>5220951879</v>
          </cell>
        </row>
        <row r="208">
          <cell r="B208">
            <v>11071</v>
          </cell>
          <cell r="C208">
            <v>5221148983</v>
          </cell>
        </row>
        <row r="209">
          <cell r="B209">
            <v>10571</v>
          </cell>
          <cell r="C209">
            <v>5219843374</v>
          </cell>
        </row>
        <row r="210">
          <cell r="B210">
            <v>11187</v>
          </cell>
          <cell r="C210">
            <v>5221471086</v>
          </cell>
        </row>
        <row r="211">
          <cell r="B211">
            <v>11202</v>
          </cell>
          <cell r="C211">
            <v>5221510127</v>
          </cell>
        </row>
        <row r="212">
          <cell r="B212">
            <v>11256</v>
          </cell>
          <cell r="C212">
            <v>5221617942</v>
          </cell>
        </row>
        <row r="213">
          <cell r="B213">
            <v>10374</v>
          </cell>
          <cell r="C213">
            <v>5218662786</v>
          </cell>
        </row>
        <row r="214">
          <cell r="B214">
            <v>10706</v>
          </cell>
          <cell r="C214">
            <v>5346561710</v>
          </cell>
        </row>
        <row r="215">
          <cell r="B215">
            <v>10544</v>
          </cell>
          <cell r="C215">
            <v>5215325295</v>
          </cell>
        </row>
        <row r="216">
          <cell r="B216">
            <v>10545</v>
          </cell>
          <cell r="C216">
            <v>5218349425</v>
          </cell>
        </row>
        <row r="217">
          <cell r="B217">
            <v>10542</v>
          </cell>
          <cell r="C217">
            <v>5219083706</v>
          </cell>
        </row>
        <row r="218">
          <cell r="B218">
            <v>10548</v>
          </cell>
          <cell r="C218">
            <v>5219127919</v>
          </cell>
        </row>
        <row r="219">
          <cell r="B219">
            <v>10727</v>
          </cell>
          <cell r="C219">
            <v>5217117656</v>
          </cell>
        </row>
        <row r="220">
          <cell r="B220">
            <v>10968</v>
          </cell>
          <cell r="C220">
            <v>5217957339</v>
          </cell>
        </row>
        <row r="221">
          <cell r="B221">
            <v>10961</v>
          </cell>
          <cell r="C221">
            <v>5219203809</v>
          </cell>
        </row>
        <row r="222">
          <cell r="B222">
            <v>11067</v>
          </cell>
          <cell r="C222">
            <v>5220020166</v>
          </cell>
        </row>
        <row r="223">
          <cell r="B223">
            <v>10633</v>
          </cell>
          <cell r="C223">
            <v>5219743589</v>
          </cell>
        </row>
        <row r="224">
          <cell r="B224">
            <v>11099</v>
          </cell>
          <cell r="C224">
            <v>5215427312</v>
          </cell>
        </row>
        <row r="225">
          <cell r="B225">
            <v>10582</v>
          </cell>
          <cell r="C225">
            <v>5219886241</v>
          </cell>
        </row>
        <row r="226">
          <cell r="B226">
            <v>11101</v>
          </cell>
          <cell r="C226">
            <v>5216087162</v>
          </cell>
        </row>
        <row r="227">
          <cell r="B227">
            <v>11185</v>
          </cell>
          <cell r="C227">
            <v>5221467490</v>
          </cell>
        </row>
        <row r="228">
          <cell r="B228">
            <v>11206</v>
          </cell>
          <cell r="C228">
            <v>5220511471</v>
          </cell>
        </row>
        <row r="229">
          <cell r="B229">
            <v>11078</v>
          </cell>
          <cell r="C229">
            <v>5216835086</v>
          </cell>
        </row>
        <row r="230">
          <cell r="B230">
            <v>11253</v>
          </cell>
          <cell r="C230">
            <v>5220296609</v>
          </cell>
        </row>
        <row r="231">
          <cell r="B231">
            <v>11255</v>
          </cell>
          <cell r="C231">
            <v>5219084522</v>
          </cell>
        </row>
        <row r="232">
          <cell r="B232">
            <v>10700</v>
          </cell>
          <cell r="C232">
            <v>5217693336</v>
          </cell>
        </row>
        <row r="233">
          <cell r="B233">
            <v>10305</v>
          </cell>
          <cell r="C233">
            <v>5215985985</v>
          </cell>
        </row>
        <row r="234">
          <cell r="B234">
            <v>10704</v>
          </cell>
          <cell r="C234">
            <v>5220376505</v>
          </cell>
        </row>
        <row r="235">
          <cell r="B235">
            <v>10302</v>
          </cell>
          <cell r="C235">
            <v>5216357018</v>
          </cell>
        </row>
        <row r="236">
          <cell r="B236">
            <v>10307</v>
          </cell>
          <cell r="C236">
            <v>5211875334</v>
          </cell>
        </row>
        <row r="237">
          <cell r="B237">
            <v>10304</v>
          </cell>
          <cell r="C237">
            <v>5217322816</v>
          </cell>
        </row>
        <row r="238">
          <cell r="B238">
            <v>10303</v>
          </cell>
          <cell r="C238">
            <v>5215480630</v>
          </cell>
        </row>
        <row r="239">
          <cell r="B239">
            <v>10510</v>
          </cell>
          <cell r="C239">
            <v>5218774192</v>
          </cell>
        </row>
        <row r="240">
          <cell r="B240">
            <v>10680</v>
          </cell>
          <cell r="C240">
            <v>5219487856</v>
          </cell>
        </row>
        <row r="241">
          <cell r="B241">
            <v>10624</v>
          </cell>
          <cell r="C241">
            <v>5216549152</v>
          </cell>
        </row>
        <row r="242">
          <cell r="B242">
            <v>11208</v>
          </cell>
          <cell r="C242">
            <v>5213457675</v>
          </cell>
        </row>
        <row r="243">
          <cell r="B243">
            <v>11205</v>
          </cell>
          <cell r="C243">
            <v>5221151759</v>
          </cell>
        </row>
        <row r="244">
          <cell r="B244">
            <v>11223</v>
          </cell>
          <cell r="C244">
            <v>5221182807</v>
          </cell>
        </row>
        <row r="245">
          <cell r="B245">
            <v>11250</v>
          </cell>
          <cell r="C245">
            <v>5221658401</v>
          </cell>
        </row>
        <row r="246">
          <cell r="B246">
            <v>11148</v>
          </cell>
          <cell r="C246">
            <v>5219571535</v>
          </cell>
        </row>
        <row r="247">
          <cell r="B247">
            <v>11132</v>
          </cell>
          <cell r="C247">
            <v>5215307838</v>
          </cell>
        </row>
        <row r="248">
          <cell r="B248">
            <v>11126</v>
          </cell>
          <cell r="C248">
            <v>5221327933</v>
          </cell>
        </row>
        <row r="249">
          <cell r="B249">
            <v>10694</v>
          </cell>
          <cell r="C249">
            <v>5219883826</v>
          </cell>
        </row>
        <row r="250">
          <cell r="B250">
            <v>11114</v>
          </cell>
          <cell r="C250">
            <v>5221366275</v>
          </cell>
        </row>
        <row r="251">
          <cell r="B251">
            <v>11014</v>
          </cell>
          <cell r="C251">
            <v>5221010723</v>
          </cell>
        </row>
        <row r="252">
          <cell r="B252">
            <v>11017</v>
          </cell>
          <cell r="C252">
            <v>5219558244</v>
          </cell>
        </row>
        <row r="253">
          <cell r="B253">
            <v>11211</v>
          </cell>
          <cell r="C253">
            <v>5221558827</v>
          </cell>
        </row>
        <row r="254">
          <cell r="B254">
            <v>11230</v>
          </cell>
          <cell r="C254">
            <v>5221644322</v>
          </cell>
        </row>
        <row r="255">
          <cell r="B255">
            <v>11093</v>
          </cell>
          <cell r="C255">
            <v>5221259178</v>
          </cell>
        </row>
        <row r="256">
          <cell r="B256">
            <v>10839</v>
          </cell>
          <cell r="C256">
            <v>5219212024</v>
          </cell>
        </row>
        <row r="257">
          <cell r="B257">
            <v>10872</v>
          </cell>
          <cell r="C257">
            <v>5218962558</v>
          </cell>
        </row>
        <row r="258">
          <cell r="B258">
            <v>10863</v>
          </cell>
          <cell r="C258">
            <v>5220782483</v>
          </cell>
        </row>
        <row r="259">
          <cell r="B259">
            <v>10873</v>
          </cell>
          <cell r="C259">
            <v>5220782734</v>
          </cell>
        </row>
        <row r="260">
          <cell r="B260">
            <v>10869</v>
          </cell>
          <cell r="C260">
            <v>5218395280</v>
          </cell>
        </row>
        <row r="261">
          <cell r="B261">
            <v>10877</v>
          </cell>
          <cell r="C261">
            <v>5220849048</v>
          </cell>
        </row>
        <row r="262">
          <cell r="B262">
            <v>10894</v>
          </cell>
          <cell r="C262">
            <v>5217624540</v>
          </cell>
        </row>
        <row r="263">
          <cell r="B263">
            <v>10896</v>
          </cell>
          <cell r="C263">
            <v>5220849176</v>
          </cell>
        </row>
        <row r="264">
          <cell r="B264">
            <v>10893</v>
          </cell>
          <cell r="C264">
            <v>5220806840</v>
          </cell>
        </row>
        <row r="265">
          <cell r="B265">
            <v>10928</v>
          </cell>
          <cell r="C265">
            <v>5217618492</v>
          </cell>
        </row>
        <row r="266">
          <cell r="B266">
            <v>11011</v>
          </cell>
          <cell r="C266">
            <v>5221013333</v>
          </cell>
        </row>
        <row r="267">
          <cell r="B267">
            <v>11009</v>
          </cell>
          <cell r="C267">
            <v>5221013612</v>
          </cell>
        </row>
        <row r="268">
          <cell r="B268">
            <v>11033</v>
          </cell>
          <cell r="C268">
            <v>5221025852</v>
          </cell>
        </row>
        <row r="269">
          <cell r="B269">
            <v>11041</v>
          </cell>
          <cell r="C269">
            <v>5221075055</v>
          </cell>
        </row>
        <row r="270">
          <cell r="B270">
            <v>11013</v>
          </cell>
          <cell r="C270">
            <v>5221013239</v>
          </cell>
        </row>
        <row r="271">
          <cell r="B271">
            <v>11031</v>
          </cell>
          <cell r="C271">
            <v>5221027402</v>
          </cell>
        </row>
        <row r="272">
          <cell r="B272">
            <v>11020</v>
          </cell>
          <cell r="C272">
            <v>5219579394</v>
          </cell>
        </row>
        <row r="273">
          <cell r="B273">
            <v>11125</v>
          </cell>
          <cell r="C273">
            <v>5221346814</v>
          </cell>
        </row>
        <row r="274">
          <cell r="B274">
            <v>11173</v>
          </cell>
          <cell r="C274">
            <v>5216570485</v>
          </cell>
        </row>
        <row r="275">
          <cell r="B275">
            <v>11213</v>
          </cell>
          <cell r="C275">
            <v>5221557885</v>
          </cell>
        </row>
        <row r="276">
          <cell r="B276">
            <v>11019</v>
          </cell>
          <cell r="C276">
            <v>5221008820</v>
          </cell>
        </row>
        <row r="277">
          <cell r="B277">
            <v>11212</v>
          </cell>
          <cell r="C277">
            <v>5221614619</v>
          </cell>
        </row>
        <row r="278">
          <cell r="B278">
            <v>10732</v>
          </cell>
          <cell r="C278">
            <v>5220415752</v>
          </cell>
        </row>
        <row r="279">
          <cell r="B279">
            <v>11233</v>
          </cell>
          <cell r="C279">
            <v>5220926951</v>
          </cell>
        </row>
        <row r="280">
          <cell r="B280">
            <v>11229</v>
          </cell>
          <cell r="C280">
            <v>5221058101</v>
          </cell>
        </row>
        <row r="281">
          <cell r="B281">
            <v>10279</v>
          </cell>
          <cell r="C281">
            <v>5216111144</v>
          </cell>
        </row>
        <row r="282">
          <cell r="B282">
            <v>10278</v>
          </cell>
          <cell r="C282">
            <v>5217834350</v>
          </cell>
        </row>
        <row r="283">
          <cell r="B283">
            <v>10281</v>
          </cell>
          <cell r="C283">
            <v>6207632481</v>
          </cell>
        </row>
        <row r="284">
          <cell r="B284">
            <v>10781</v>
          </cell>
          <cell r="C284">
            <v>5220534768</v>
          </cell>
        </row>
        <row r="285">
          <cell r="B285">
            <v>10272</v>
          </cell>
          <cell r="C285">
            <v>5215679314</v>
          </cell>
        </row>
        <row r="286">
          <cell r="B286">
            <v>10763</v>
          </cell>
          <cell r="C286">
            <v>5210602942</v>
          </cell>
        </row>
        <row r="287">
          <cell r="B287">
            <v>10764</v>
          </cell>
          <cell r="C287">
            <v>5220512743</v>
          </cell>
        </row>
        <row r="288">
          <cell r="B288">
            <v>10897</v>
          </cell>
          <cell r="C288">
            <v>5217971326</v>
          </cell>
        </row>
        <row r="289">
          <cell r="B289">
            <v>10324</v>
          </cell>
          <cell r="C289">
            <v>5217147392</v>
          </cell>
        </row>
        <row r="290">
          <cell r="B290">
            <v>10064</v>
          </cell>
          <cell r="C290">
            <v>5216344593</v>
          </cell>
        </row>
        <row r="291">
          <cell r="B291">
            <v>11036</v>
          </cell>
          <cell r="C291">
            <v>5221030599</v>
          </cell>
        </row>
        <row r="292">
          <cell r="B292">
            <v>10885</v>
          </cell>
          <cell r="C292">
            <v>5220776972</v>
          </cell>
        </row>
        <row r="293">
          <cell r="B293">
            <v>10935</v>
          </cell>
          <cell r="C293">
            <v>5220955918</v>
          </cell>
        </row>
        <row r="294">
          <cell r="B294">
            <v>10408</v>
          </cell>
          <cell r="C294">
            <v>5218979758</v>
          </cell>
        </row>
        <row r="295">
          <cell r="B295">
            <v>10502</v>
          </cell>
          <cell r="C295">
            <v>5219511687</v>
          </cell>
        </row>
        <row r="296">
          <cell r="B296">
            <v>10886</v>
          </cell>
          <cell r="C296">
            <v>5220817791</v>
          </cell>
        </row>
        <row r="297">
          <cell r="B297">
            <v>10934</v>
          </cell>
          <cell r="C297">
            <v>5219863945</v>
          </cell>
        </row>
        <row r="298">
          <cell r="B298">
            <v>10426</v>
          </cell>
          <cell r="C298">
            <v>5218979618</v>
          </cell>
        </row>
        <row r="299">
          <cell r="B299">
            <v>11150</v>
          </cell>
          <cell r="C299">
            <v>5133928293</v>
          </cell>
        </row>
        <row r="300">
          <cell r="B300">
            <v>10436</v>
          </cell>
          <cell r="C300">
            <v>5218382568</v>
          </cell>
        </row>
        <row r="301">
          <cell r="B301">
            <v>10815</v>
          </cell>
          <cell r="C301">
            <v>5214692198</v>
          </cell>
        </row>
        <row r="302">
          <cell r="B302">
            <v>10714</v>
          </cell>
          <cell r="C302">
            <v>5220355365</v>
          </cell>
        </row>
        <row r="303">
          <cell r="B303">
            <v>10938</v>
          </cell>
          <cell r="C303">
            <v>5220951749</v>
          </cell>
        </row>
        <row r="304">
          <cell r="B304">
            <v>11025</v>
          </cell>
          <cell r="C304">
            <v>5221020110</v>
          </cell>
        </row>
        <row r="305">
          <cell r="B305">
            <v>10651</v>
          </cell>
          <cell r="C305">
            <v>5214496444</v>
          </cell>
        </row>
        <row r="306">
          <cell r="B306">
            <v>10396</v>
          </cell>
          <cell r="C306">
            <v>5213560254</v>
          </cell>
        </row>
        <row r="307">
          <cell r="B307">
            <v>10746</v>
          </cell>
          <cell r="C307">
            <v>5220417853</v>
          </cell>
        </row>
        <row r="308">
          <cell r="B308">
            <v>10437</v>
          </cell>
          <cell r="C308">
            <v>5218318737</v>
          </cell>
        </row>
        <row r="309">
          <cell r="B309">
            <v>10397</v>
          </cell>
          <cell r="C309">
            <v>5210569411</v>
          </cell>
        </row>
        <row r="310">
          <cell r="B310">
            <v>10450</v>
          </cell>
          <cell r="C310">
            <v>5215499672</v>
          </cell>
        </row>
        <row r="311">
          <cell r="B311">
            <v>10427</v>
          </cell>
          <cell r="C311">
            <v>5218247434</v>
          </cell>
        </row>
        <row r="312">
          <cell r="B312">
            <v>10790</v>
          </cell>
          <cell r="C312">
            <v>5220510497</v>
          </cell>
        </row>
        <row r="313">
          <cell r="B313">
            <v>10404</v>
          </cell>
          <cell r="C313">
            <v>5218648617</v>
          </cell>
        </row>
        <row r="314">
          <cell r="B314">
            <v>10610</v>
          </cell>
          <cell r="C314">
            <v>5220059512</v>
          </cell>
        </row>
        <row r="315">
          <cell r="B315">
            <v>10416</v>
          </cell>
          <cell r="C315">
            <v>5211637723</v>
          </cell>
        </row>
        <row r="316">
          <cell r="B316">
            <v>10398</v>
          </cell>
          <cell r="C316">
            <v>5211787661</v>
          </cell>
        </row>
        <row r="317">
          <cell r="B317" t="str">
            <v>2019/117</v>
          </cell>
          <cell r="C317">
            <v>5213654219</v>
          </cell>
        </row>
        <row r="318">
          <cell r="B318">
            <v>10789</v>
          </cell>
          <cell r="C318">
            <v>5214496448</v>
          </cell>
        </row>
        <row r="319">
          <cell r="B319">
            <v>10425</v>
          </cell>
          <cell r="C319">
            <v>5218979731</v>
          </cell>
        </row>
        <row r="320">
          <cell r="B320" t="str">
            <v>2024/001</v>
          </cell>
          <cell r="C320">
            <v>5214165196</v>
          </cell>
        </row>
        <row r="321">
          <cell r="B321">
            <v>10751</v>
          </cell>
          <cell r="C321">
            <v>5217838604</v>
          </cell>
        </row>
        <row r="322">
          <cell r="B322">
            <v>10759</v>
          </cell>
          <cell r="C322">
            <v>5219868715</v>
          </cell>
        </row>
        <row r="323">
          <cell r="B323">
            <v>10752</v>
          </cell>
          <cell r="C323">
            <v>5219395958</v>
          </cell>
        </row>
        <row r="324">
          <cell r="B324">
            <v>10852</v>
          </cell>
          <cell r="C324">
            <v>5220678177</v>
          </cell>
        </row>
        <row r="325">
          <cell r="B325">
            <v>11064</v>
          </cell>
          <cell r="C325">
            <v>5221134976</v>
          </cell>
        </row>
        <row r="326">
          <cell r="B326">
            <v>11061</v>
          </cell>
          <cell r="C326">
            <v>5221137964</v>
          </cell>
        </row>
        <row r="327">
          <cell r="B327">
            <v>11228</v>
          </cell>
          <cell r="C327">
            <v>5221635029</v>
          </cell>
        </row>
        <row r="328">
          <cell r="B328">
            <v>10750</v>
          </cell>
          <cell r="C328">
            <v>5218230861</v>
          </cell>
        </row>
        <row r="329">
          <cell r="B329">
            <v>10753</v>
          </cell>
          <cell r="C329">
            <v>5217732667</v>
          </cell>
        </row>
        <row r="330">
          <cell r="B330">
            <v>10755</v>
          </cell>
          <cell r="C330">
            <v>6207757554</v>
          </cell>
        </row>
        <row r="331">
          <cell r="B331">
            <v>10756</v>
          </cell>
          <cell r="C331">
            <v>5220543065</v>
          </cell>
        </row>
        <row r="332">
          <cell r="B332">
            <v>10748</v>
          </cell>
          <cell r="C332">
            <v>5219645545</v>
          </cell>
        </row>
        <row r="333">
          <cell r="B333">
            <v>10754</v>
          </cell>
          <cell r="C333">
            <v>5217368774</v>
          </cell>
        </row>
        <row r="334">
          <cell r="B334">
            <v>10758</v>
          </cell>
          <cell r="C334">
            <v>5219777999</v>
          </cell>
        </row>
        <row r="335">
          <cell r="B335">
            <v>10788</v>
          </cell>
          <cell r="C335">
            <v>5220549705</v>
          </cell>
        </row>
        <row r="336">
          <cell r="B336">
            <v>10836</v>
          </cell>
          <cell r="C336">
            <v>5220729518</v>
          </cell>
        </row>
        <row r="337">
          <cell r="B337">
            <v>10835</v>
          </cell>
          <cell r="C337">
            <v>5220729583</v>
          </cell>
        </row>
        <row r="338">
          <cell r="B338">
            <v>11095</v>
          </cell>
          <cell r="C338">
            <v>5220329576</v>
          </cell>
        </row>
        <row r="339">
          <cell r="B339">
            <v>11190</v>
          </cell>
          <cell r="C339">
            <v>5221649167</v>
          </cell>
        </row>
        <row r="340">
          <cell r="B340">
            <v>10681</v>
          </cell>
          <cell r="C340">
            <v>5216295990</v>
          </cell>
        </row>
        <row r="341">
          <cell r="B341">
            <v>10351</v>
          </cell>
          <cell r="C341">
            <v>5208581663</v>
          </cell>
        </row>
        <row r="342">
          <cell r="B342">
            <v>10554</v>
          </cell>
          <cell r="C342">
            <v>5212354401</v>
          </cell>
        </row>
        <row r="343">
          <cell r="B343">
            <v>10391</v>
          </cell>
          <cell r="C343">
            <v>5212353932</v>
          </cell>
        </row>
        <row r="344">
          <cell r="B344">
            <v>10927</v>
          </cell>
          <cell r="C344">
            <v>6209824751</v>
          </cell>
        </row>
        <row r="345">
          <cell r="B345">
            <v>10903</v>
          </cell>
          <cell r="C345">
            <v>5220951660</v>
          </cell>
        </row>
        <row r="346">
          <cell r="B346">
            <v>10891</v>
          </cell>
          <cell r="C346">
            <v>5220782761</v>
          </cell>
        </row>
        <row r="347">
          <cell r="B347">
            <v>10605</v>
          </cell>
          <cell r="C347">
            <v>5218710373</v>
          </cell>
        </row>
        <row r="348">
          <cell r="B348">
            <v>10737</v>
          </cell>
          <cell r="C348">
            <v>5219938137</v>
          </cell>
        </row>
        <row r="349">
          <cell r="B349">
            <v>11149</v>
          </cell>
          <cell r="C349">
            <v>5221466749</v>
          </cell>
        </row>
        <row r="350">
          <cell r="B350">
            <v>11204</v>
          </cell>
          <cell r="C350">
            <v>5221515001</v>
          </cell>
        </row>
        <row r="351">
          <cell r="B351">
            <v>10341</v>
          </cell>
          <cell r="C351">
            <v>5205748085</v>
          </cell>
        </row>
        <row r="352">
          <cell r="B352">
            <v>10347</v>
          </cell>
          <cell r="C352">
            <v>5208034475</v>
          </cell>
        </row>
        <row r="353">
          <cell r="B353">
            <v>10376</v>
          </cell>
          <cell r="C353">
            <v>5212369893</v>
          </cell>
        </row>
        <row r="354">
          <cell r="B354">
            <v>10340</v>
          </cell>
          <cell r="C354">
            <v>5217731211</v>
          </cell>
        </row>
        <row r="355">
          <cell r="B355">
            <v>10353</v>
          </cell>
          <cell r="C355">
            <v>5212101788</v>
          </cell>
        </row>
        <row r="356">
          <cell r="B356">
            <v>10363</v>
          </cell>
          <cell r="C356">
            <v>5214007756</v>
          </cell>
        </row>
        <row r="357">
          <cell r="B357">
            <v>10359</v>
          </cell>
          <cell r="C357">
            <v>5211273100</v>
          </cell>
        </row>
        <row r="358">
          <cell r="B358">
            <v>10357</v>
          </cell>
          <cell r="C358">
            <v>5213507588</v>
          </cell>
        </row>
        <row r="359">
          <cell r="B359">
            <v>10338</v>
          </cell>
          <cell r="C359">
            <v>5214281720</v>
          </cell>
        </row>
        <row r="360">
          <cell r="B360">
            <v>10345</v>
          </cell>
          <cell r="C360">
            <v>5214442683</v>
          </cell>
        </row>
        <row r="361">
          <cell r="B361">
            <v>10362</v>
          </cell>
          <cell r="C361">
            <v>5213165807</v>
          </cell>
        </row>
        <row r="362">
          <cell r="B362">
            <v>10360</v>
          </cell>
          <cell r="C362">
            <v>5213802909</v>
          </cell>
        </row>
        <row r="363">
          <cell r="B363">
            <v>10348</v>
          </cell>
          <cell r="C363">
            <v>5207249985</v>
          </cell>
        </row>
        <row r="364">
          <cell r="B364">
            <v>10909</v>
          </cell>
          <cell r="C364">
            <v>5220870353</v>
          </cell>
        </row>
        <row r="365">
          <cell r="B365">
            <v>10933</v>
          </cell>
          <cell r="C365">
            <v>5218817610</v>
          </cell>
        </row>
        <row r="366">
          <cell r="B366">
            <v>10383</v>
          </cell>
          <cell r="C366">
            <v>5217970360</v>
          </cell>
        </row>
        <row r="367">
          <cell r="B367">
            <v>10830</v>
          </cell>
          <cell r="C367">
            <v>5216653367</v>
          </cell>
        </row>
        <row r="368">
          <cell r="B368">
            <v>10887</v>
          </cell>
          <cell r="C368">
            <v>5220056446</v>
          </cell>
        </row>
        <row r="369">
          <cell r="B369">
            <v>10531</v>
          </cell>
          <cell r="C369">
            <v>7010788046</v>
          </cell>
        </row>
        <row r="370">
          <cell r="B370">
            <v>11151</v>
          </cell>
          <cell r="C370">
            <v>5220281149</v>
          </cell>
        </row>
        <row r="371">
          <cell r="B371">
            <v>11134</v>
          </cell>
          <cell r="C371">
            <v>5216376066</v>
          </cell>
        </row>
        <row r="372">
          <cell r="B372">
            <v>10667</v>
          </cell>
          <cell r="C372">
            <v>5220384896</v>
          </cell>
        </row>
        <row r="373">
          <cell r="B373">
            <v>10660</v>
          </cell>
          <cell r="C373">
            <v>5213481496</v>
          </cell>
        </row>
        <row r="374">
          <cell r="B374">
            <v>11117</v>
          </cell>
          <cell r="C374">
            <v>5215460558</v>
          </cell>
        </row>
        <row r="375">
          <cell r="B375">
            <v>11118</v>
          </cell>
          <cell r="C375">
            <v>5218901784</v>
          </cell>
        </row>
        <row r="376">
          <cell r="B376">
            <v>11123</v>
          </cell>
          <cell r="C376">
            <v>5215460462</v>
          </cell>
        </row>
        <row r="377">
          <cell r="B377">
            <v>11124</v>
          </cell>
          <cell r="C377">
            <v>5206316383</v>
          </cell>
        </row>
        <row r="378">
          <cell r="B378">
            <v>10950</v>
          </cell>
          <cell r="C378">
            <v>5216005996</v>
          </cell>
        </row>
        <row r="379">
          <cell r="B379">
            <v>10957</v>
          </cell>
          <cell r="C379">
            <v>5219960076</v>
          </cell>
        </row>
        <row r="380">
          <cell r="B380">
            <v>10951</v>
          </cell>
          <cell r="C380">
            <v>5220360622</v>
          </cell>
        </row>
        <row r="381">
          <cell r="B381">
            <v>10949</v>
          </cell>
          <cell r="C381">
            <v>5209529979</v>
          </cell>
        </row>
        <row r="382">
          <cell r="B382">
            <v>10963</v>
          </cell>
          <cell r="C382">
            <v>5220981212</v>
          </cell>
        </row>
        <row r="383">
          <cell r="B383">
            <v>10960</v>
          </cell>
          <cell r="C383">
            <v>5220979286</v>
          </cell>
        </row>
        <row r="384">
          <cell r="B384">
            <v>10966</v>
          </cell>
          <cell r="C384">
            <v>5220981806</v>
          </cell>
        </row>
        <row r="385">
          <cell r="B385">
            <v>11077</v>
          </cell>
          <cell r="C385">
            <v>5221499187</v>
          </cell>
        </row>
        <row r="386">
          <cell r="B386">
            <v>11074</v>
          </cell>
          <cell r="C386">
            <v>5220706937</v>
          </cell>
        </row>
        <row r="387">
          <cell r="B387">
            <v>11076</v>
          </cell>
          <cell r="C387">
            <v>5221158255</v>
          </cell>
        </row>
        <row r="388">
          <cell r="B388">
            <v>11091</v>
          </cell>
          <cell r="C388">
            <v>5220618877</v>
          </cell>
        </row>
        <row r="389">
          <cell r="B389">
            <v>11146</v>
          </cell>
          <cell r="C389">
            <v>5218843382</v>
          </cell>
        </row>
        <row r="390">
          <cell r="B390">
            <v>11145</v>
          </cell>
          <cell r="C390">
            <v>5221366770</v>
          </cell>
        </row>
        <row r="391">
          <cell r="B391">
            <v>11220</v>
          </cell>
          <cell r="C391">
            <v>5219898112</v>
          </cell>
        </row>
        <row r="392">
          <cell r="B392">
            <v>11221</v>
          </cell>
          <cell r="C392">
            <v>5219713211</v>
          </cell>
        </row>
        <row r="393">
          <cell r="B393">
            <v>11219</v>
          </cell>
          <cell r="C393">
            <v>5219887935</v>
          </cell>
        </row>
        <row r="394">
          <cell r="B394">
            <v>11234</v>
          </cell>
          <cell r="C394">
            <v>5221150262</v>
          </cell>
        </row>
        <row r="395">
          <cell r="B395">
            <v>11237</v>
          </cell>
          <cell r="C395">
            <v>5220642343</v>
          </cell>
        </row>
        <row r="396">
          <cell r="B396">
            <v>11252</v>
          </cell>
          <cell r="C396">
            <v>5219213589</v>
          </cell>
        </row>
        <row r="397">
          <cell r="B397">
            <v>11235</v>
          </cell>
          <cell r="C397">
            <v>5221629993</v>
          </cell>
        </row>
        <row r="398">
          <cell r="B398">
            <v>10797</v>
          </cell>
          <cell r="C398">
            <v>5220638782</v>
          </cell>
        </row>
        <row r="399">
          <cell r="B399">
            <v>10902</v>
          </cell>
          <cell r="C399">
            <v>5219247133</v>
          </cell>
        </row>
        <row r="400">
          <cell r="B400">
            <v>10932</v>
          </cell>
          <cell r="C400">
            <v>5213908872</v>
          </cell>
        </row>
        <row r="401">
          <cell r="B401">
            <v>11021</v>
          </cell>
          <cell r="C401">
            <v>5221021457</v>
          </cell>
        </row>
        <row r="402">
          <cell r="B402">
            <v>10592</v>
          </cell>
          <cell r="C402">
            <v>5219980646</v>
          </cell>
        </row>
        <row r="403">
          <cell r="B403">
            <v>10791</v>
          </cell>
          <cell r="C403">
            <v>5220561377</v>
          </cell>
        </row>
        <row r="404">
          <cell r="B404">
            <v>11121</v>
          </cell>
          <cell r="C404">
            <v>5217176081</v>
          </cell>
        </row>
        <row r="405">
          <cell r="B405">
            <v>10973</v>
          </cell>
          <cell r="C405">
            <v>5220980480</v>
          </cell>
        </row>
        <row r="406">
          <cell r="B406">
            <v>11059</v>
          </cell>
          <cell r="C406">
            <v>5220464644</v>
          </cell>
        </row>
        <row r="407">
          <cell r="B407">
            <v>11096</v>
          </cell>
          <cell r="C407">
            <v>5217031782</v>
          </cell>
        </row>
        <row r="408">
          <cell r="B408">
            <v>10850</v>
          </cell>
          <cell r="C408">
            <v>5220529975</v>
          </cell>
        </row>
        <row r="409">
          <cell r="B409">
            <v>10559</v>
          </cell>
          <cell r="C409">
            <v>5219051655</v>
          </cell>
        </row>
        <row r="410">
          <cell r="B410">
            <v>10972</v>
          </cell>
          <cell r="C410">
            <v>5220978718</v>
          </cell>
        </row>
        <row r="411">
          <cell r="B411">
            <v>10591</v>
          </cell>
          <cell r="C411">
            <v>5210372134</v>
          </cell>
        </row>
        <row r="412">
          <cell r="B412">
            <v>11218</v>
          </cell>
          <cell r="C412">
            <v>5221535346</v>
          </cell>
        </row>
        <row r="413">
          <cell r="B413">
            <v>10557</v>
          </cell>
          <cell r="C413">
            <v>6209183321</v>
          </cell>
        </row>
        <row r="414">
          <cell r="B414">
            <v>10567</v>
          </cell>
          <cell r="C414">
            <v>5208383983</v>
          </cell>
        </row>
        <row r="415">
          <cell r="B415">
            <v>10561</v>
          </cell>
          <cell r="C415">
            <v>5208562590</v>
          </cell>
        </row>
        <row r="416">
          <cell r="B416">
            <v>11129</v>
          </cell>
          <cell r="C416">
            <v>5221333817</v>
          </cell>
        </row>
        <row r="417">
          <cell r="B417">
            <v>10562</v>
          </cell>
          <cell r="C417">
            <v>5219772876</v>
          </cell>
        </row>
        <row r="418">
          <cell r="B418">
            <v>10568</v>
          </cell>
          <cell r="C418">
            <v>5218800340</v>
          </cell>
        </row>
        <row r="419">
          <cell r="B419">
            <v>10413</v>
          </cell>
          <cell r="C419">
            <v>5208452990</v>
          </cell>
        </row>
        <row r="420">
          <cell r="B420">
            <v>11152</v>
          </cell>
          <cell r="C420">
            <v>5347898981</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BDDA-1B49-4289-9287-E711FC8DB9F3}">
  <dimension ref="A2:F48"/>
  <sheetViews>
    <sheetView showGridLines="0" zoomScale="91" zoomScaleNormal="91" workbookViewId="0">
      <selection activeCell="D5" sqref="D5"/>
    </sheetView>
  </sheetViews>
  <sheetFormatPr defaultColWidth="9.140625" defaultRowHeight="15.75" x14ac:dyDescent="0.25"/>
  <cols>
    <col min="1" max="1" width="50" style="39" customWidth="1"/>
    <col min="2" max="2" width="15.28515625" style="39" customWidth="1"/>
    <col min="3" max="3" width="24.85546875" style="39" customWidth="1"/>
    <col min="4" max="4" width="41.42578125" style="39" bestFit="1" customWidth="1"/>
    <col min="5" max="5" width="9.140625" style="39"/>
    <col min="6" max="6" width="13" style="39" customWidth="1"/>
    <col min="7" max="10" width="9.140625" style="39"/>
    <col min="11" max="11" width="10.140625" style="39" bestFit="1" customWidth="1"/>
    <col min="12" max="16384" width="9.140625" style="39"/>
  </cols>
  <sheetData>
    <row r="2" spans="1:6" ht="16.5" thickBot="1" x14ac:dyDescent="0.3"/>
    <row r="3" spans="1:6" ht="27.75" thickBot="1" x14ac:dyDescent="0.3">
      <c r="A3" s="227" t="s">
        <v>165</v>
      </c>
      <c r="B3" s="228"/>
      <c r="C3" s="228"/>
      <c r="D3" s="229"/>
    </row>
    <row r="4" spans="1:6" ht="19.5" thickBot="1" x14ac:dyDescent="0.3">
      <c r="A4" s="40" t="s">
        <v>166</v>
      </c>
      <c r="B4" s="41"/>
      <c r="C4" s="42" t="s">
        <v>167</v>
      </c>
      <c r="D4" s="43">
        <v>45797</v>
      </c>
      <c r="F4" s="44"/>
    </row>
    <row r="5" spans="1:6" ht="19.5" thickBot="1" x14ac:dyDescent="0.3">
      <c r="A5" s="45" t="s">
        <v>168</v>
      </c>
      <c r="B5" s="46"/>
      <c r="C5" s="42" t="s">
        <v>169</v>
      </c>
      <c r="D5" s="47" t="s">
        <v>329</v>
      </c>
      <c r="F5" s="48"/>
    </row>
    <row r="6" spans="1:6" ht="19.5" thickBot="1" x14ac:dyDescent="0.3">
      <c r="A6" s="49" t="s">
        <v>170</v>
      </c>
      <c r="B6" s="46"/>
      <c r="C6" s="42" t="s">
        <v>171</v>
      </c>
      <c r="D6" s="47" t="s">
        <v>172</v>
      </c>
      <c r="F6" s="50"/>
    </row>
    <row r="7" spans="1:6" ht="19.5" thickBot="1" x14ac:dyDescent="0.3">
      <c r="A7" s="49" t="s">
        <v>173</v>
      </c>
      <c r="B7" s="46"/>
      <c r="C7" s="42" t="s">
        <v>174</v>
      </c>
      <c r="D7" s="43" t="s">
        <v>334</v>
      </c>
      <c r="F7" s="50"/>
    </row>
    <row r="8" spans="1:6" ht="19.5" thickBot="1" x14ac:dyDescent="0.3">
      <c r="A8" s="49" t="s">
        <v>175</v>
      </c>
      <c r="B8" s="46"/>
      <c r="C8" s="42" t="s">
        <v>176</v>
      </c>
      <c r="D8" s="43" t="s">
        <v>177</v>
      </c>
      <c r="F8" s="50"/>
    </row>
    <row r="9" spans="1:6" ht="19.5" thickBot="1" x14ac:dyDescent="0.3">
      <c r="A9" s="49" t="s">
        <v>178</v>
      </c>
      <c r="B9" s="46"/>
      <c r="C9" s="42" t="s">
        <v>179</v>
      </c>
      <c r="D9" s="43" t="s">
        <v>180</v>
      </c>
      <c r="F9" s="50"/>
    </row>
    <row r="10" spans="1:6" ht="19.5" thickBot="1" x14ac:dyDescent="0.3">
      <c r="A10" s="51" t="s">
        <v>181</v>
      </c>
      <c r="B10" s="46"/>
      <c r="C10" s="42" t="s">
        <v>182</v>
      </c>
      <c r="D10" s="43" t="s">
        <v>332</v>
      </c>
      <c r="F10" s="50"/>
    </row>
    <row r="11" spans="1:6" ht="19.5" thickBot="1" x14ac:dyDescent="0.3">
      <c r="A11" s="45" t="s">
        <v>207</v>
      </c>
      <c r="B11" s="46"/>
      <c r="C11" s="42" t="s">
        <v>183</v>
      </c>
      <c r="D11" s="43" t="s">
        <v>333</v>
      </c>
      <c r="F11" s="50"/>
    </row>
    <row r="12" spans="1:6" ht="19.5" thickBot="1" x14ac:dyDescent="0.3">
      <c r="A12" s="52" t="s">
        <v>208</v>
      </c>
      <c r="B12" s="46"/>
      <c r="C12" s="53" t="s">
        <v>184</v>
      </c>
      <c r="D12" s="54" t="s">
        <v>133</v>
      </c>
      <c r="F12" s="55"/>
    </row>
    <row r="13" spans="1:6" ht="19.5" thickBot="1" x14ac:dyDescent="0.3">
      <c r="A13" s="49" t="s">
        <v>209</v>
      </c>
      <c r="B13" s="46"/>
      <c r="C13" s="56" t="s">
        <v>185</v>
      </c>
      <c r="D13" s="57" t="s">
        <v>186</v>
      </c>
      <c r="F13" s="58"/>
    </row>
    <row r="14" spans="1:6" ht="18.75" x14ac:dyDescent="0.25">
      <c r="A14" s="49" t="s">
        <v>210</v>
      </c>
      <c r="B14" s="46"/>
      <c r="C14" s="59"/>
      <c r="D14" s="60"/>
      <c r="F14" s="55"/>
    </row>
    <row r="15" spans="1:6" ht="19.5" thickBot="1" x14ac:dyDescent="0.3">
      <c r="A15" s="61" t="s">
        <v>211</v>
      </c>
      <c r="B15" s="46"/>
      <c r="C15" s="59"/>
      <c r="D15" s="60"/>
      <c r="F15" s="55"/>
    </row>
    <row r="16" spans="1:6" ht="20.25" thickBot="1" x14ac:dyDescent="0.3">
      <c r="A16" s="62" t="s">
        <v>187</v>
      </c>
      <c r="B16" s="63" t="s">
        <v>188</v>
      </c>
      <c r="C16" s="64" t="s">
        <v>189</v>
      </c>
      <c r="D16" s="65" t="s">
        <v>190</v>
      </c>
      <c r="F16" s="55"/>
    </row>
    <row r="17" spans="1:6" ht="19.5" x14ac:dyDescent="0.25">
      <c r="A17" s="66" t="s">
        <v>327</v>
      </c>
      <c r="B17" s="67"/>
      <c r="C17" s="67"/>
      <c r="D17" s="68"/>
      <c r="F17" s="55"/>
    </row>
    <row r="18" spans="1:6" ht="19.5" x14ac:dyDescent="0.25">
      <c r="A18" s="69" t="s">
        <v>206</v>
      </c>
      <c r="B18" s="70"/>
      <c r="C18" s="70"/>
      <c r="D18" s="71"/>
      <c r="F18" s="55"/>
    </row>
    <row r="19" spans="1:6" ht="19.5" x14ac:dyDescent="0.25">
      <c r="A19" s="72" t="s">
        <v>161</v>
      </c>
      <c r="B19" s="70">
        <v>998519</v>
      </c>
      <c r="C19" s="70">
        <f>'INVOICE BREAKUP'!H6</f>
        <v>1</v>
      </c>
      <c r="D19" s="97">
        <f>VLOOKUP(A19,'INVOICE BREAKUP'!D$6:R$17,15,0)</f>
        <v>40950.144000000008</v>
      </c>
      <c r="F19" s="55"/>
    </row>
    <row r="20" spans="1:6" ht="19.5" x14ac:dyDescent="0.25">
      <c r="A20" s="72" t="s">
        <v>151</v>
      </c>
      <c r="B20" s="70">
        <v>998519</v>
      </c>
      <c r="C20" s="73">
        <f>'INVOICE BREAKUP'!H7</f>
        <v>10</v>
      </c>
      <c r="D20" s="97">
        <f>VLOOKUP(A20,'INVOICE BREAKUP'!D$6:R$17,15,0)</f>
        <v>233128.09146129031</v>
      </c>
      <c r="F20" s="55"/>
    </row>
    <row r="21" spans="1:6" ht="19.5" x14ac:dyDescent="0.25">
      <c r="A21" s="72" t="s">
        <v>153</v>
      </c>
      <c r="B21" s="70">
        <v>998519</v>
      </c>
      <c r="C21" s="73">
        <f>'INVOICE BREAKUP'!H9</f>
        <v>7</v>
      </c>
      <c r="D21" s="97">
        <f>VLOOKUP(A21,'INVOICE BREAKUP'!D$6:R$17,15,0)</f>
        <v>193454.77038261291</v>
      </c>
      <c r="F21" s="55"/>
    </row>
    <row r="22" spans="1:6" ht="19.5" x14ac:dyDescent="0.25">
      <c r="A22" s="72" t="s">
        <v>156</v>
      </c>
      <c r="B22" s="70">
        <v>998519</v>
      </c>
      <c r="C22" s="73">
        <f>'INVOICE BREAKUP'!H12</f>
        <v>8</v>
      </c>
      <c r="D22" s="97">
        <f>VLOOKUP(A22,'INVOICE BREAKUP'!D$6:R$17,15,0)</f>
        <v>167309.22131612903</v>
      </c>
      <c r="F22" s="55"/>
    </row>
    <row r="23" spans="1:6" ht="19.5" x14ac:dyDescent="0.25">
      <c r="A23" s="72" t="s">
        <v>154</v>
      </c>
      <c r="B23" s="70">
        <v>998519</v>
      </c>
      <c r="C23" s="73">
        <f>'INVOICE BREAKUP'!H10</f>
        <v>4</v>
      </c>
      <c r="D23" s="97">
        <f>VLOOKUP(A23,'INVOICE BREAKUP'!D$6:R$17,15,0)</f>
        <v>77822.307445161292</v>
      </c>
      <c r="F23" s="55"/>
    </row>
    <row r="24" spans="1:6" ht="19.5" x14ac:dyDescent="0.25">
      <c r="A24" s="72" t="s">
        <v>152</v>
      </c>
      <c r="B24" s="70">
        <v>998519</v>
      </c>
      <c r="C24" s="73">
        <f>'INVOICE BREAKUP'!H8</f>
        <v>8</v>
      </c>
      <c r="D24" s="97">
        <f>VLOOKUP(A24,'INVOICE BREAKUP'!D$6:R$17,15,0)</f>
        <v>220516.78680519355</v>
      </c>
      <c r="F24" s="55"/>
    </row>
    <row r="25" spans="1:6" ht="19.5" x14ac:dyDescent="0.25">
      <c r="A25" s="72" t="s">
        <v>155</v>
      </c>
      <c r="B25" s="70">
        <v>998519</v>
      </c>
      <c r="C25" s="73">
        <f>'INVOICE BREAKUP'!H11</f>
        <v>4</v>
      </c>
      <c r="D25" s="97">
        <f>VLOOKUP(A25,'INVOICE BREAKUP'!D$6:R$17,15,0)</f>
        <v>106960.455</v>
      </c>
      <c r="F25" s="55"/>
    </row>
    <row r="26" spans="1:6" ht="19.5" x14ac:dyDescent="0.25">
      <c r="A26" s="72" t="s">
        <v>159</v>
      </c>
      <c r="B26" s="70">
        <v>998519</v>
      </c>
      <c r="C26" s="73">
        <v>1</v>
      </c>
      <c r="D26" s="97">
        <f>VLOOKUP(A26,'INVOICE BREAKUP'!D$6:R$17,15,0)</f>
        <v>27139.896000000001</v>
      </c>
      <c r="F26" s="55"/>
    </row>
    <row r="27" spans="1:6" ht="19.5" x14ac:dyDescent="0.25">
      <c r="A27" s="72" t="s">
        <v>158</v>
      </c>
      <c r="B27" s="70">
        <v>998519</v>
      </c>
      <c r="C27" s="73">
        <v>1</v>
      </c>
      <c r="D27" s="97">
        <f>VLOOKUP(A27,'INVOICE BREAKUP'!D$6:R$17,15,0)</f>
        <v>27139.896000000001</v>
      </c>
      <c r="F27" s="55"/>
    </row>
    <row r="28" spans="1:6" ht="19.5" x14ac:dyDescent="0.25">
      <c r="A28" s="72" t="s">
        <v>162</v>
      </c>
      <c r="B28" s="70">
        <v>998519</v>
      </c>
      <c r="C28" s="73">
        <v>1</v>
      </c>
      <c r="D28" s="97">
        <f>VLOOKUP(A28,'INVOICE BREAKUP'!D$6:R$17,15,0)</f>
        <v>25950.015000000003</v>
      </c>
      <c r="F28" s="55"/>
    </row>
    <row r="29" spans="1:6" ht="19.5" x14ac:dyDescent="0.25">
      <c r="A29" s="72" t="s">
        <v>157</v>
      </c>
      <c r="B29" s="70">
        <v>998519</v>
      </c>
      <c r="C29" s="73">
        <v>1</v>
      </c>
      <c r="D29" s="97">
        <f>VLOOKUP(A29,'INVOICE BREAKUP'!D$6:R$17,15,0)</f>
        <v>23603.070645161293</v>
      </c>
      <c r="F29" s="55"/>
    </row>
    <row r="30" spans="1:6" ht="19.5" x14ac:dyDescent="0.25">
      <c r="A30" s="74" t="s">
        <v>191</v>
      </c>
      <c r="B30" s="75"/>
      <c r="C30" s="76">
        <f>SUM(C19:C29)</f>
        <v>46</v>
      </c>
      <c r="D30" s="98">
        <f>SUM(D19:D29)</f>
        <v>1143974.6540555481</v>
      </c>
      <c r="F30" s="55"/>
    </row>
    <row r="31" spans="1:6" ht="19.5" x14ac:dyDescent="0.25">
      <c r="A31" s="72" t="s">
        <v>192</v>
      </c>
      <c r="B31" s="75"/>
      <c r="C31" s="76"/>
      <c r="D31" s="97">
        <f>D30*8%</f>
        <v>91517.97232444385</v>
      </c>
      <c r="F31" s="55"/>
    </row>
    <row r="32" spans="1:6" ht="19.5" x14ac:dyDescent="0.25">
      <c r="A32" s="74"/>
      <c r="B32" s="75"/>
      <c r="C32" s="76"/>
      <c r="D32" s="98">
        <f>D30+D31</f>
        <v>1235492.6263799919</v>
      </c>
      <c r="E32" s="77"/>
      <c r="F32" s="55"/>
    </row>
    <row r="33" spans="1:6" ht="19.5" x14ac:dyDescent="0.25">
      <c r="A33" s="72" t="s">
        <v>335</v>
      </c>
      <c r="B33" s="75"/>
      <c r="C33" s="73"/>
      <c r="D33" s="97" t="e">
        <f>'INVOICE BREAKUP'!#REF!</f>
        <v>#REF!</v>
      </c>
      <c r="F33" s="55"/>
    </row>
    <row r="34" spans="1:6" ht="19.5" x14ac:dyDescent="0.25">
      <c r="A34" s="72" t="s">
        <v>336</v>
      </c>
      <c r="B34" s="160"/>
      <c r="C34" s="76">
        <f>(PAYSHEET!F71+PAYSHEET!G71)/30</f>
        <v>43.833333333333336</v>
      </c>
      <c r="D34" s="159">
        <f>C34*330</f>
        <v>14465</v>
      </c>
    </row>
    <row r="35" spans="1:6" ht="19.5" x14ac:dyDescent="0.25">
      <c r="A35" s="156" t="s">
        <v>193</v>
      </c>
      <c r="B35" s="78"/>
      <c r="C35" s="157"/>
      <c r="D35" s="158" t="e">
        <f>SUM(D32:D34)</f>
        <v>#REF!</v>
      </c>
      <c r="F35" s="55"/>
    </row>
    <row r="36" spans="1:6" ht="19.5" x14ac:dyDescent="0.25">
      <c r="A36" s="79"/>
      <c r="B36" s="80" t="s">
        <v>194</v>
      </c>
      <c r="C36" s="81" t="s">
        <v>195</v>
      </c>
      <c r="D36" s="98">
        <v>0</v>
      </c>
      <c r="F36" s="55"/>
    </row>
    <row r="37" spans="1:6" ht="20.25" thickBot="1" x14ac:dyDescent="0.3">
      <c r="A37" s="82" t="s">
        <v>196</v>
      </c>
      <c r="B37" s="83"/>
      <c r="C37" s="83"/>
      <c r="D37" s="98" t="e">
        <f>D35+D36</f>
        <v>#REF!</v>
      </c>
      <c r="E37" s="84"/>
      <c r="F37" s="99" t="e">
        <f>D37-'INVOICE BREAKUP'!R22</f>
        <v>#REF!</v>
      </c>
    </row>
    <row r="38" spans="1:6" ht="19.5" thickBot="1" x14ac:dyDescent="0.3">
      <c r="A38" s="230"/>
      <c r="B38" s="231"/>
      <c r="C38" s="231"/>
      <c r="D38" s="232"/>
      <c r="F38" s="55"/>
    </row>
    <row r="39" spans="1:6" ht="30.75" customHeight="1" thickBot="1" x14ac:dyDescent="0.3">
      <c r="A39" s="233" t="s">
        <v>197</v>
      </c>
      <c r="B39" s="234"/>
      <c r="C39" s="234"/>
      <c r="D39" s="235"/>
      <c r="F39" s="55"/>
    </row>
    <row r="40" spans="1:6" s="88" customFormat="1" x14ac:dyDescent="0.25">
      <c r="A40" s="85"/>
      <c r="B40" s="86"/>
      <c r="C40" s="86"/>
      <c r="D40" s="87"/>
    </row>
    <row r="41" spans="1:6" s="90" customFormat="1" ht="19.5" x14ac:dyDescent="0.25">
      <c r="A41" s="89" t="s">
        <v>198</v>
      </c>
      <c r="B41" s="236" t="s">
        <v>199</v>
      </c>
      <c r="C41" s="236"/>
      <c r="D41" s="237"/>
      <c r="F41" s="91"/>
    </row>
    <row r="42" spans="1:6" s="90" customFormat="1" ht="18.75" x14ac:dyDescent="0.25">
      <c r="A42" s="238" t="s">
        <v>200</v>
      </c>
      <c r="B42" s="239"/>
      <c r="C42" s="92"/>
      <c r="D42" s="93"/>
      <c r="F42" s="91"/>
    </row>
    <row r="43" spans="1:6" s="90" customFormat="1" ht="18.75" x14ac:dyDescent="0.25">
      <c r="A43" s="94" t="s">
        <v>201</v>
      </c>
      <c r="B43" s="92"/>
      <c r="C43" s="95"/>
      <c r="D43" s="93"/>
      <c r="F43" s="91"/>
    </row>
    <row r="44" spans="1:6" s="90" customFormat="1" ht="18.75" x14ac:dyDescent="0.25">
      <c r="A44" s="94" t="s">
        <v>202</v>
      </c>
      <c r="B44" s="92"/>
      <c r="C44" s="95"/>
      <c r="D44" s="93"/>
      <c r="F44" s="91"/>
    </row>
    <row r="45" spans="1:6" s="90" customFormat="1" ht="18.75" x14ac:dyDescent="0.25">
      <c r="A45" s="94" t="s">
        <v>203</v>
      </c>
      <c r="B45" s="236" t="s">
        <v>204</v>
      </c>
      <c r="C45" s="236"/>
      <c r="D45" s="237"/>
      <c r="F45" s="91"/>
    </row>
    <row r="46" spans="1:6" x14ac:dyDescent="0.25">
      <c r="A46" s="96"/>
      <c r="B46" s="222"/>
      <c r="C46" s="222"/>
      <c r="D46" s="223"/>
      <c r="F46" s="55"/>
    </row>
    <row r="47" spans="1:6" ht="19.5" thickBot="1" x14ac:dyDescent="0.35">
      <c r="A47" s="224" t="s">
        <v>205</v>
      </c>
      <c r="B47" s="225"/>
      <c r="C47" s="225"/>
      <c r="D47" s="226"/>
      <c r="F47" s="55"/>
    </row>
    <row r="48" spans="1:6" x14ac:dyDescent="0.25">
      <c r="F48" s="55"/>
    </row>
  </sheetData>
  <mergeCells count="8">
    <mergeCell ref="B46:D46"/>
    <mergeCell ref="A47:D47"/>
    <mergeCell ref="A3:D3"/>
    <mergeCell ref="A38:D38"/>
    <mergeCell ref="A39:D39"/>
    <mergeCell ref="B41:D41"/>
    <mergeCell ref="A42:B42"/>
    <mergeCell ref="B45:D45"/>
  </mergeCells>
  <conditionalFormatting sqref="A34">
    <cfRule type="expression" dxfId="61" priority="2" stopIfTrue="1">
      <formula>MOD(ROW(),2)=1</formula>
    </cfRule>
  </conditionalFormatting>
  <conditionalFormatting sqref="A17:D33 D34:D37 A35:B37">
    <cfRule type="expression" dxfId="60" priority="3" stopIfTrue="1">
      <formula>MOD(ROW(),2)=1</formula>
    </cfRule>
  </conditionalFormatting>
  <conditionalFormatting sqref="C34:C35">
    <cfRule type="expression" dxfId="59" priority="1" stopIfTrue="1">
      <formula>MOD(ROW(),2)=1</formula>
    </cfRule>
  </conditionalFormatting>
  <conditionalFormatting sqref="C37">
    <cfRule type="expression" dxfId="58" priority="5" stopIfTrue="1">
      <formula>MOD(ROW(),2)=1</formula>
    </cfRule>
  </conditionalFormatting>
  <pageMargins left="0.7" right="0.7" top="0.75" bottom="0.75" header="0.3" footer="0.3"/>
  <pageSetup paperSize="9" scale="68" orientation="portrait" horizontalDpi="4294967293" r:id="rId1"/>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8BD01-15E1-454E-8384-E0345C3445D5}">
  <sheetPr>
    <pageSetUpPr fitToPage="1"/>
  </sheetPr>
  <dimension ref="A1:AS117"/>
  <sheetViews>
    <sheetView showGridLines="0" topLeftCell="E10" zoomScale="80" zoomScaleNormal="80" workbookViewId="0">
      <selection activeCell="AS28" sqref="AS28:AS29"/>
    </sheetView>
  </sheetViews>
  <sheetFormatPr defaultColWidth="9.140625" defaultRowHeight="23.25" x14ac:dyDescent="0.25"/>
  <cols>
    <col min="1" max="1" width="8.7109375" style="188" bestFit="1" customWidth="1"/>
    <col min="2" max="2" width="17" style="188" bestFit="1" customWidth="1"/>
    <col min="3" max="3" width="41.5703125" style="188" bestFit="1" customWidth="1"/>
    <col min="4" max="4" width="27.42578125" style="188" customWidth="1"/>
    <col min="5" max="5" width="22.85546875" style="188" bestFit="1" customWidth="1"/>
    <col min="6" max="6" width="8.42578125" style="188" bestFit="1" customWidth="1"/>
    <col min="7" max="7" width="17.85546875" style="188" bestFit="1" customWidth="1"/>
    <col min="8" max="8" width="6.7109375" style="188" bestFit="1" customWidth="1"/>
    <col min="9" max="10" width="6" style="188" bestFit="1" customWidth="1"/>
    <col min="11" max="11" width="6.7109375" style="188" bestFit="1" customWidth="1"/>
    <col min="12" max="12" width="8.140625" style="188" bestFit="1" customWidth="1"/>
    <col min="13" max="13" width="6.7109375" style="188" bestFit="1" customWidth="1"/>
    <col min="14" max="14" width="8.140625" style="188" bestFit="1" customWidth="1"/>
    <col min="15" max="15" width="6.7109375" style="188" bestFit="1" customWidth="1"/>
    <col min="16" max="17" width="6" style="188" bestFit="1" customWidth="1"/>
    <col min="18" max="18" width="6.7109375" style="188" bestFit="1" customWidth="1"/>
    <col min="19" max="19" width="8.140625" style="188" bestFit="1" customWidth="1"/>
    <col min="20" max="20" width="6.7109375" style="188" bestFit="1" customWidth="1"/>
    <col min="21" max="21" width="8.140625" style="188" bestFit="1" customWidth="1"/>
    <col min="22" max="22" width="6.7109375" style="188" bestFit="1" customWidth="1"/>
    <col min="23" max="24" width="6" style="188" bestFit="1" customWidth="1"/>
    <col min="25" max="25" width="6.7109375" style="188" bestFit="1" customWidth="1"/>
    <col min="26" max="26" width="8.140625" style="188" bestFit="1" customWidth="1"/>
    <col min="27" max="27" width="6.7109375" style="188" bestFit="1" customWidth="1"/>
    <col min="28" max="28" width="8.140625" style="188" bestFit="1" customWidth="1"/>
    <col min="29" max="29" width="6.7109375" style="188" bestFit="1" customWidth="1"/>
    <col min="30" max="31" width="6" style="188" bestFit="1" customWidth="1"/>
    <col min="32" max="32" width="6.7109375" style="188" bestFit="1" customWidth="1"/>
    <col min="33" max="33" width="8.140625" style="188" bestFit="1" customWidth="1"/>
    <col min="34" max="34" width="6.7109375" style="188" bestFit="1" customWidth="1"/>
    <col min="35" max="35" width="8.140625" style="188" bestFit="1" customWidth="1"/>
    <col min="36" max="36" width="6.7109375" style="188" bestFit="1" customWidth="1"/>
    <col min="37" max="37" width="6" style="188" bestFit="1" customWidth="1"/>
    <col min="38" max="42" width="7" style="188" bestFit="1" customWidth="1"/>
    <col min="43" max="43" width="5.28515625" style="188" bestFit="1" customWidth="1"/>
    <col min="44" max="44" width="5.5703125" style="188" bestFit="1" customWidth="1"/>
    <col min="45" max="45" width="8.7109375" style="188" bestFit="1" customWidth="1"/>
    <col min="46" max="46" width="17.7109375" style="188" customWidth="1"/>
    <col min="47" max="16384" width="9.140625" style="188"/>
  </cols>
  <sheetData>
    <row r="1" spans="1:45" x14ac:dyDescent="0.25">
      <c r="A1" s="279" t="s">
        <v>408</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1"/>
    </row>
    <row r="2" spans="1:45" x14ac:dyDescent="0.25">
      <c r="A2" s="262" t="s">
        <v>2</v>
      </c>
      <c r="B2" s="268" t="s">
        <v>232</v>
      </c>
      <c r="C2" s="285" t="s">
        <v>63</v>
      </c>
      <c r="D2" s="268" t="s">
        <v>299</v>
      </c>
      <c r="E2" s="266" t="s">
        <v>5</v>
      </c>
      <c r="F2" s="266" t="s">
        <v>233</v>
      </c>
      <c r="G2" s="189">
        <v>1</v>
      </c>
      <c r="H2" s="190">
        <v>2</v>
      </c>
      <c r="I2" s="189">
        <v>3</v>
      </c>
      <c r="J2" s="189">
        <v>4</v>
      </c>
      <c r="K2" s="189">
        <v>5</v>
      </c>
      <c r="L2" s="189">
        <v>6</v>
      </c>
      <c r="M2" s="189">
        <v>7</v>
      </c>
      <c r="N2" s="189">
        <v>8</v>
      </c>
      <c r="O2" s="189">
        <v>9</v>
      </c>
      <c r="P2" s="189">
        <v>10</v>
      </c>
      <c r="Q2" s="189">
        <v>11</v>
      </c>
      <c r="R2" s="189">
        <v>12</v>
      </c>
      <c r="S2" s="189">
        <v>13</v>
      </c>
      <c r="T2" s="189">
        <v>14</v>
      </c>
      <c r="U2" s="189">
        <v>15</v>
      </c>
      <c r="V2" s="189">
        <v>16</v>
      </c>
      <c r="W2" s="189">
        <v>17</v>
      </c>
      <c r="X2" s="189">
        <v>18</v>
      </c>
      <c r="Y2" s="189">
        <v>19</v>
      </c>
      <c r="Z2" s="189">
        <v>20</v>
      </c>
      <c r="AA2" s="189">
        <v>21</v>
      </c>
      <c r="AB2" s="189">
        <v>22</v>
      </c>
      <c r="AC2" s="189">
        <v>23</v>
      </c>
      <c r="AD2" s="189">
        <v>24</v>
      </c>
      <c r="AE2" s="189">
        <v>25</v>
      </c>
      <c r="AF2" s="189">
        <v>26</v>
      </c>
      <c r="AG2" s="189">
        <v>27</v>
      </c>
      <c r="AH2" s="189">
        <v>28</v>
      </c>
      <c r="AI2" s="189">
        <v>29</v>
      </c>
      <c r="AJ2" s="189">
        <v>30</v>
      </c>
      <c r="AK2" s="189">
        <v>31</v>
      </c>
      <c r="AL2" s="264" t="s">
        <v>75</v>
      </c>
      <c r="AM2" s="264" t="s">
        <v>73</v>
      </c>
      <c r="AN2" s="264" t="s">
        <v>74</v>
      </c>
      <c r="AO2" s="264" t="s">
        <v>71</v>
      </c>
      <c r="AP2" s="264" t="s">
        <v>234</v>
      </c>
      <c r="AQ2" s="264" t="s">
        <v>72</v>
      </c>
      <c r="AR2" s="264" t="s">
        <v>235</v>
      </c>
      <c r="AS2" s="282" t="s">
        <v>236</v>
      </c>
    </row>
    <row r="3" spans="1:45" x14ac:dyDescent="0.25">
      <c r="A3" s="263"/>
      <c r="B3" s="269"/>
      <c r="C3" s="286"/>
      <c r="D3" s="269"/>
      <c r="E3" s="267"/>
      <c r="F3" s="267"/>
      <c r="G3" s="189" t="s">
        <v>68</v>
      </c>
      <c r="H3" s="189" t="s">
        <v>69</v>
      </c>
      <c r="I3" s="189" t="s">
        <v>70</v>
      </c>
      <c r="J3" s="189" t="s">
        <v>64</v>
      </c>
      <c r="K3" s="189" t="s">
        <v>65</v>
      </c>
      <c r="L3" s="189" t="s">
        <v>66</v>
      </c>
      <c r="M3" s="189" t="s">
        <v>67</v>
      </c>
      <c r="N3" s="189" t="s">
        <v>68</v>
      </c>
      <c r="O3" s="189" t="s">
        <v>69</v>
      </c>
      <c r="P3" s="189" t="s">
        <v>70</v>
      </c>
      <c r="Q3" s="189" t="s">
        <v>64</v>
      </c>
      <c r="R3" s="189" t="s">
        <v>65</v>
      </c>
      <c r="S3" s="189" t="s">
        <v>66</v>
      </c>
      <c r="T3" s="189" t="s">
        <v>67</v>
      </c>
      <c r="U3" s="189" t="s">
        <v>68</v>
      </c>
      <c r="V3" s="189" t="s">
        <v>69</v>
      </c>
      <c r="W3" s="189" t="s">
        <v>70</v>
      </c>
      <c r="X3" s="189" t="s">
        <v>64</v>
      </c>
      <c r="Y3" s="189" t="s">
        <v>65</v>
      </c>
      <c r="Z3" s="189" t="s">
        <v>66</v>
      </c>
      <c r="AA3" s="189" t="s">
        <v>67</v>
      </c>
      <c r="AB3" s="189" t="s">
        <v>68</v>
      </c>
      <c r="AC3" s="189" t="s">
        <v>69</v>
      </c>
      <c r="AD3" s="189" t="s">
        <v>70</v>
      </c>
      <c r="AE3" s="189" t="s">
        <v>64</v>
      </c>
      <c r="AF3" s="189" t="s">
        <v>65</v>
      </c>
      <c r="AG3" s="189" t="s">
        <v>66</v>
      </c>
      <c r="AH3" s="189" t="s">
        <v>67</v>
      </c>
      <c r="AI3" s="189" t="s">
        <v>68</v>
      </c>
      <c r="AJ3" s="189" t="s">
        <v>69</v>
      </c>
      <c r="AK3" s="189" t="s">
        <v>70</v>
      </c>
      <c r="AL3" s="265"/>
      <c r="AM3" s="265"/>
      <c r="AN3" s="265"/>
      <c r="AO3" s="265"/>
      <c r="AP3" s="265"/>
      <c r="AQ3" s="265"/>
      <c r="AR3" s="265"/>
      <c r="AS3" s="283"/>
    </row>
    <row r="4" spans="1:45" s="193" customFormat="1" ht="18.75" x14ac:dyDescent="0.25">
      <c r="A4" s="253">
        <v>1</v>
      </c>
      <c r="B4" s="246">
        <v>11029</v>
      </c>
      <c r="C4" s="246" t="s">
        <v>25</v>
      </c>
      <c r="D4" s="246">
        <v>10602</v>
      </c>
      <c r="E4" s="246" t="s">
        <v>409</v>
      </c>
      <c r="F4" s="191" t="s">
        <v>233</v>
      </c>
      <c r="G4" s="192" t="s">
        <v>71</v>
      </c>
      <c r="H4" s="192" t="s">
        <v>71</v>
      </c>
      <c r="I4" s="192" t="s">
        <v>71</v>
      </c>
      <c r="J4" s="192" t="s">
        <v>71</v>
      </c>
      <c r="K4" s="192" t="s">
        <v>71</v>
      </c>
      <c r="L4" s="192" t="s">
        <v>71</v>
      </c>
      <c r="M4" s="192" t="s">
        <v>234</v>
      </c>
      <c r="N4" s="192" t="s">
        <v>71</v>
      </c>
      <c r="O4" s="192" t="s">
        <v>71</v>
      </c>
      <c r="P4" s="192" t="s">
        <v>71</v>
      </c>
      <c r="Q4" s="192" t="s">
        <v>71</v>
      </c>
      <c r="R4" s="192" t="s">
        <v>71</v>
      </c>
      <c r="S4" s="192" t="s">
        <v>71</v>
      </c>
      <c r="T4" s="192" t="s">
        <v>234</v>
      </c>
      <c r="U4" s="192" t="s">
        <v>71</v>
      </c>
      <c r="V4" s="192" t="s">
        <v>71</v>
      </c>
      <c r="W4" s="192" t="s">
        <v>71</v>
      </c>
      <c r="X4" s="192" t="s">
        <v>71</v>
      </c>
      <c r="Y4" s="192" t="s">
        <v>71</v>
      </c>
      <c r="Z4" s="192" t="s">
        <v>71</v>
      </c>
      <c r="AA4" s="192" t="s">
        <v>234</v>
      </c>
      <c r="AB4" s="192" t="s">
        <v>71</v>
      </c>
      <c r="AC4" s="192" t="s">
        <v>71</v>
      </c>
      <c r="AD4" s="192" t="s">
        <v>71</v>
      </c>
      <c r="AE4" s="192" t="s">
        <v>71</v>
      </c>
      <c r="AF4" s="192" t="s">
        <v>71</v>
      </c>
      <c r="AG4" s="192" t="s">
        <v>71</v>
      </c>
      <c r="AH4" s="192" t="s">
        <v>234</v>
      </c>
      <c r="AI4" s="192" t="s">
        <v>71</v>
      </c>
      <c r="AJ4" s="192" t="s">
        <v>71</v>
      </c>
      <c r="AK4" s="192" t="s">
        <v>71</v>
      </c>
      <c r="AL4" s="240">
        <f>SUM(COUNTIFS(G4:AK4,"A"))</f>
        <v>0</v>
      </c>
      <c r="AM4" s="240">
        <f>SUM(COUNTIFS(G4:AK4,"B"))</f>
        <v>0</v>
      </c>
      <c r="AN4" s="240">
        <f>SUM(COUNTIFS(G4:AK4,"C"))</f>
        <v>0</v>
      </c>
      <c r="AO4" s="240">
        <f>SUM(COUNTIFS(G4:AK4,"G"))</f>
        <v>27</v>
      </c>
      <c r="AP4" s="240">
        <f>SUM(COUNTIFS(G4:AK4,"W"))</f>
        <v>4</v>
      </c>
      <c r="AQ4" s="240">
        <f>SUM(COUNTIFS(G5:AK5,"A"))+(COUNTIFS(G5:AK5,"B"))+(COUNTIFS(G5:AK5,"C"))+(COUNTIFS(G5:AK5,"G"))</f>
        <v>0</v>
      </c>
      <c r="AR4" s="242">
        <f>SUM(COUNTIFS(G4:AK4,"PH"))</f>
        <v>0</v>
      </c>
      <c r="AS4" s="284">
        <f>AL4+AM4+AN4+AO4+AR4+AP4+AQ4</f>
        <v>31</v>
      </c>
    </row>
    <row r="5" spans="1:45" s="193" customFormat="1" ht="18.75" x14ac:dyDescent="0.25">
      <c r="A5" s="254"/>
      <c r="B5" s="247"/>
      <c r="C5" s="247"/>
      <c r="D5" s="247"/>
      <c r="E5" s="247"/>
      <c r="F5" s="191" t="s">
        <v>237</v>
      </c>
      <c r="G5" s="192"/>
      <c r="H5" s="192"/>
      <c r="I5" s="192"/>
      <c r="J5" s="192"/>
      <c r="K5" s="191"/>
      <c r="L5" s="191"/>
      <c r="M5" s="191"/>
      <c r="N5" s="191"/>
      <c r="O5" s="191"/>
      <c r="P5" s="191"/>
      <c r="Q5" s="191"/>
      <c r="R5" s="191"/>
      <c r="S5" s="192"/>
      <c r="T5" s="191"/>
      <c r="U5" s="191"/>
      <c r="V5" s="191"/>
      <c r="W5" s="191"/>
      <c r="X5" s="191"/>
      <c r="Y5" s="191"/>
      <c r="Z5" s="191"/>
      <c r="AA5" s="191"/>
      <c r="AB5" s="191"/>
      <c r="AC5" s="191"/>
      <c r="AD5" s="191"/>
      <c r="AE5" s="191"/>
      <c r="AF5" s="191"/>
      <c r="AG5" s="191"/>
      <c r="AH5" s="191"/>
      <c r="AI5" s="191"/>
      <c r="AJ5" s="191"/>
      <c r="AK5" s="191"/>
      <c r="AL5" s="241"/>
      <c r="AM5" s="241"/>
      <c r="AN5" s="241"/>
      <c r="AO5" s="241"/>
      <c r="AP5" s="241"/>
      <c r="AQ5" s="241"/>
      <c r="AR5" s="243"/>
      <c r="AS5" s="284"/>
    </row>
    <row r="6" spans="1:45" s="193" customFormat="1" ht="18.75" x14ac:dyDescent="0.25">
      <c r="A6" s="253">
        <v>2</v>
      </c>
      <c r="B6" s="246">
        <v>10976</v>
      </c>
      <c r="C6" s="246" t="s">
        <v>410</v>
      </c>
      <c r="D6" s="246">
        <v>10431</v>
      </c>
      <c r="E6" s="246" t="s">
        <v>411</v>
      </c>
      <c r="F6" s="191" t="s">
        <v>233</v>
      </c>
      <c r="G6" s="192" t="s">
        <v>75</v>
      </c>
      <c r="H6" s="192" t="s">
        <v>75</v>
      </c>
      <c r="I6" s="192" t="s">
        <v>73</v>
      </c>
      <c r="J6" s="192" t="s">
        <v>73</v>
      </c>
      <c r="K6" s="192" t="s">
        <v>74</v>
      </c>
      <c r="L6" s="192" t="s">
        <v>74</v>
      </c>
      <c r="M6" s="192" t="s">
        <v>234</v>
      </c>
      <c r="N6" s="192" t="s">
        <v>75</v>
      </c>
      <c r="O6" s="192" t="s">
        <v>75</v>
      </c>
      <c r="P6" s="192" t="s">
        <v>73</v>
      </c>
      <c r="Q6" s="192" t="s">
        <v>73</v>
      </c>
      <c r="R6" s="192" t="s">
        <v>74</v>
      </c>
      <c r="S6" s="192" t="s">
        <v>74</v>
      </c>
      <c r="T6" s="192" t="s">
        <v>234</v>
      </c>
      <c r="U6" s="192" t="s">
        <v>75</v>
      </c>
      <c r="V6" s="192" t="s">
        <v>73</v>
      </c>
      <c r="W6" s="192" t="s">
        <v>73</v>
      </c>
      <c r="X6" s="191" t="s">
        <v>75</v>
      </c>
      <c r="Y6" s="191" t="s">
        <v>74</v>
      </c>
      <c r="Z6" s="192" t="s">
        <v>74</v>
      </c>
      <c r="AA6" s="191" t="s">
        <v>234</v>
      </c>
      <c r="AB6" s="191" t="s">
        <v>75</v>
      </c>
      <c r="AC6" s="192" t="s">
        <v>75</v>
      </c>
      <c r="AD6" s="192" t="s">
        <v>74</v>
      </c>
      <c r="AE6" s="191" t="s">
        <v>73</v>
      </c>
      <c r="AF6" s="191" t="s">
        <v>74</v>
      </c>
      <c r="AG6" s="191" t="s">
        <v>73</v>
      </c>
      <c r="AH6" s="191" t="s">
        <v>234</v>
      </c>
      <c r="AI6" s="192" t="s">
        <v>75</v>
      </c>
      <c r="AJ6" s="192" t="s">
        <v>75</v>
      </c>
      <c r="AK6" s="192" t="s">
        <v>73</v>
      </c>
      <c r="AL6" s="240">
        <f t="shared" ref="AL6" si="0">SUM(COUNTIFS(G6:AK6,"A"))</f>
        <v>10</v>
      </c>
      <c r="AM6" s="240">
        <f t="shared" ref="AM6" si="1">SUM(COUNTIFS(G6:AK6,"B"))</f>
        <v>9</v>
      </c>
      <c r="AN6" s="240">
        <f t="shared" ref="AN6" si="2">SUM(COUNTIFS(G6:AK6,"C"))</f>
        <v>8</v>
      </c>
      <c r="AO6" s="240">
        <f t="shared" ref="AO6" si="3">SUM(COUNTIFS(G6:AK6,"G"))</f>
        <v>0</v>
      </c>
      <c r="AP6" s="240">
        <f t="shared" ref="AP6" si="4">SUM(COUNTIFS(G6:AK6,"W"))</f>
        <v>4</v>
      </c>
      <c r="AQ6" s="240">
        <f t="shared" ref="AQ6" si="5">SUM(COUNTIFS(G7:AK7,"A"))+(COUNTIFS(G7:AK7,"B"))+(COUNTIFS(G7:AK7,"C"))+(COUNTIFS(G7:AK7,"G"))</f>
        <v>0</v>
      </c>
      <c r="AR6" s="242">
        <f t="shared" ref="AR6" si="6">SUM(COUNTIFS(G6:AK6,"PH"))</f>
        <v>0</v>
      </c>
      <c r="AS6" s="284">
        <f t="shared" ref="AS6" si="7">AL6+AM6+AN6+AO6+AR6+AP6+AQ6</f>
        <v>31</v>
      </c>
    </row>
    <row r="7" spans="1:45" s="193" customFormat="1" ht="18.75" x14ac:dyDescent="0.25">
      <c r="A7" s="254"/>
      <c r="B7" s="247"/>
      <c r="C7" s="247"/>
      <c r="D7" s="247"/>
      <c r="E7" s="247"/>
      <c r="F7" s="191" t="s">
        <v>237</v>
      </c>
      <c r="G7" s="192"/>
      <c r="H7" s="192"/>
      <c r="I7" s="191"/>
      <c r="J7" s="191"/>
      <c r="K7" s="191"/>
      <c r="L7" s="191"/>
      <c r="M7" s="191"/>
      <c r="N7" s="191"/>
      <c r="O7" s="191"/>
      <c r="P7" s="195"/>
      <c r="Q7" s="191"/>
      <c r="R7" s="191"/>
      <c r="S7" s="192"/>
      <c r="T7" s="191"/>
      <c r="U7" s="191"/>
      <c r="V7" s="191"/>
      <c r="W7" s="191"/>
      <c r="X7" s="191"/>
      <c r="Y7" s="191"/>
      <c r="Z7" s="191"/>
      <c r="AA7" s="191"/>
      <c r="AB7" s="191"/>
      <c r="AC7" s="191"/>
      <c r="AD7" s="191"/>
      <c r="AE7" s="191"/>
      <c r="AF7" s="191"/>
      <c r="AG7" s="191"/>
      <c r="AH7" s="191"/>
      <c r="AI7" s="191"/>
      <c r="AJ7" s="191"/>
      <c r="AK7" s="191"/>
      <c r="AL7" s="241"/>
      <c r="AM7" s="241"/>
      <c r="AN7" s="241"/>
      <c r="AO7" s="241"/>
      <c r="AP7" s="241"/>
      <c r="AQ7" s="241"/>
      <c r="AR7" s="243"/>
      <c r="AS7" s="284"/>
    </row>
    <row r="8" spans="1:45" s="193" customFormat="1" ht="18.75" x14ac:dyDescent="0.25">
      <c r="A8" s="253">
        <v>3</v>
      </c>
      <c r="B8" s="326">
        <v>10984</v>
      </c>
      <c r="C8" s="287" t="s">
        <v>412</v>
      </c>
      <c r="D8" s="246">
        <v>1227</v>
      </c>
      <c r="E8" s="246" t="s">
        <v>411</v>
      </c>
      <c r="F8" s="191" t="s">
        <v>233</v>
      </c>
      <c r="G8" s="192" t="s">
        <v>71</v>
      </c>
      <c r="H8" s="192" t="s">
        <v>71</v>
      </c>
      <c r="I8" s="192" t="s">
        <v>71</v>
      </c>
      <c r="J8" s="192" t="s">
        <v>71</v>
      </c>
      <c r="K8" s="192" t="s">
        <v>234</v>
      </c>
      <c r="L8" s="192" t="s">
        <v>71</v>
      </c>
      <c r="M8" s="192" t="s">
        <v>71</v>
      </c>
      <c r="N8" s="192" t="s">
        <v>71</v>
      </c>
      <c r="O8" s="192" t="s">
        <v>71</v>
      </c>
      <c r="P8" s="192" t="s">
        <v>71</v>
      </c>
      <c r="Q8" s="192" t="s">
        <v>71</v>
      </c>
      <c r="R8" s="192" t="s">
        <v>234</v>
      </c>
      <c r="S8" s="192" t="s">
        <v>71</v>
      </c>
      <c r="T8" s="192" t="s">
        <v>71</v>
      </c>
      <c r="U8" s="192" t="s">
        <v>71</v>
      </c>
      <c r="V8" s="192" t="s">
        <v>71</v>
      </c>
      <c r="W8" s="192" t="s">
        <v>71</v>
      </c>
      <c r="X8" s="192" t="s">
        <v>71</v>
      </c>
      <c r="Y8" s="192" t="s">
        <v>234</v>
      </c>
      <c r="Z8" s="192" t="s">
        <v>71</v>
      </c>
      <c r="AA8" s="192" t="s">
        <v>71</v>
      </c>
      <c r="AB8" s="192" t="s">
        <v>71</v>
      </c>
      <c r="AC8" s="192" t="s">
        <v>71</v>
      </c>
      <c r="AD8" s="192" t="s">
        <v>71</v>
      </c>
      <c r="AE8" s="192" t="s">
        <v>71</v>
      </c>
      <c r="AF8" s="192" t="s">
        <v>234</v>
      </c>
      <c r="AG8" s="192" t="s">
        <v>71</v>
      </c>
      <c r="AH8" s="192" t="s">
        <v>71</v>
      </c>
      <c r="AI8" s="192" t="s">
        <v>71</v>
      </c>
      <c r="AJ8" s="192" t="s">
        <v>71</v>
      </c>
      <c r="AK8" s="192" t="s">
        <v>76</v>
      </c>
      <c r="AL8" s="240">
        <f t="shared" ref="AL8" si="8">SUM(COUNTIFS(G8:AK8,"A"))</f>
        <v>0</v>
      </c>
      <c r="AM8" s="240">
        <f t="shared" ref="AM8" si="9">SUM(COUNTIFS(G8:AK8,"B"))</f>
        <v>0</v>
      </c>
      <c r="AN8" s="240">
        <f t="shared" ref="AN8" si="10">SUM(COUNTIFS(G8:AK8,"C"))</f>
        <v>0</v>
      </c>
      <c r="AO8" s="240">
        <f t="shared" ref="AO8" si="11">SUM(COUNTIFS(G8:AK8,"G"))</f>
        <v>26</v>
      </c>
      <c r="AP8" s="240">
        <f t="shared" ref="AP8" si="12">SUM(COUNTIFS(G8:AK8,"W"))</f>
        <v>4</v>
      </c>
      <c r="AQ8" s="240">
        <f t="shared" ref="AQ8" si="13">SUM(COUNTIFS(G9:AK9,"A"))+(COUNTIFS(G9:AK9,"B"))+(COUNTIFS(G9:AK9,"C"))+(COUNTIFS(G9:AK9,"G"))</f>
        <v>0</v>
      </c>
      <c r="AR8" s="242">
        <f t="shared" ref="AR8" si="14">SUM(COUNTIFS(G8:AK8,"PH"))</f>
        <v>0</v>
      </c>
      <c r="AS8" s="284">
        <f t="shared" ref="AS8" si="15">AL8+AM8+AN8+AO8+AR8+AP8+AQ8</f>
        <v>30</v>
      </c>
    </row>
    <row r="9" spans="1:45" s="193" customFormat="1" ht="18.75" x14ac:dyDescent="0.25">
      <c r="A9" s="254"/>
      <c r="B9" s="327"/>
      <c r="C9" s="288"/>
      <c r="D9" s="247"/>
      <c r="E9" s="247"/>
      <c r="F9" s="191" t="s">
        <v>237</v>
      </c>
      <c r="G9" s="192"/>
      <c r="H9" s="192"/>
      <c r="I9" s="191"/>
      <c r="J9" s="191"/>
      <c r="K9" s="191"/>
      <c r="L9" s="191"/>
      <c r="M9" s="191"/>
      <c r="N9" s="191"/>
      <c r="O9" s="191"/>
      <c r="P9" s="195"/>
      <c r="Q9" s="191"/>
      <c r="R9" s="191"/>
      <c r="S9" s="192"/>
      <c r="T9" s="191"/>
      <c r="U9" s="191"/>
      <c r="V9" s="191"/>
      <c r="W9" s="191"/>
      <c r="X9" s="191"/>
      <c r="Y9" s="191"/>
      <c r="Z9" s="191"/>
      <c r="AA9" s="191"/>
      <c r="AB9" s="191"/>
      <c r="AC9" s="191"/>
      <c r="AD9" s="191"/>
      <c r="AE9" s="191"/>
      <c r="AF9" s="191"/>
      <c r="AG9" s="191"/>
      <c r="AH9" s="191"/>
      <c r="AI9" s="191"/>
      <c r="AJ9" s="191"/>
      <c r="AK9" s="191"/>
      <c r="AL9" s="241"/>
      <c r="AM9" s="241"/>
      <c r="AN9" s="241"/>
      <c r="AO9" s="241"/>
      <c r="AP9" s="241"/>
      <c r="AQ9" s="241"/>
      <c r="AR9" s="243"/>
      <c r="AS9" s="284"/>
    </row>
    <row r="10" spans="1:45" s="193" customFormat="1" ht="18.75" x14ac:dyDescent="0.25">
      <c r="A10" s="253">
        <v>4</v>
      </c>
      <c r="B10" s="246">
        <v>10986</v>
      </c>
      <c r="C10" s="246" t="s">
        <v>413</v>
      </c>
      <c r="D10" s="246">
        <v>11038</v>
      </c>
      <c r="E10" s="246" t="s">
        <v>411</v>
      </c>
      <c r="F10" s="191" t="s">
        <v>233</v>
      </c>
      <c r="G10" s="192" t="s">
        <v>71</v>
      </c>
      <c r="H10" s="192" t="s">
        <v>234</v>
      </c>
      <c r="I10" s="192" t="s">
        <v>71</v>
      </c>
      <c r="J10" s="192" t="s">
        <v>71</v>
      </c>
      <c r="K10" s="192" t="s">
        <v>71</v>
      </c>
      <c r="L10" s="192" t="s">
        <v>71</v>
      </c>
      <c r="M10" s="192" t="s">
        <v>76</v>
      </c>
      <c r="N10" s="192" t="s">
        <v>76</v>
      </c>
      <c r="O10" s="192" t="s">
        <v>76</v>
      </c>
      <c r="P10" s="192" t="s">
        <v>76</v>
      </c>
      <c r="Q10" s="192" t="s">
        <v>76</v>
      </c>
      <c r="R10" s="192" t="s">
        <v>76</v>
      </c>
      <c r="S10" s="192" t="s">
        <v>76</v>
      </c>
      <c r="T10" s="192" t="s">
        <v>76</v>
      </c>
      <c r="U10" s="192" t="s">
        <v>76</v>
      </c>
      <c r="V10" s="192" t="s">
        <v>76</v>
      </c>
      <c r="W10" s="192" t="s">
        <v>76</v>
      </c>
      <c r="X10" s="192" t="s">
        <v>76</v>
      </c>
      <c r="Y10" s="192" t="s">
        <v>76</v>
      </c>
      <c r="Z10" s="192" t="s">
        <v>76</v>
      </c>
      <c r="AA10" s="192" t="s">
        <v>76</v>
      </c>
      <c r="AB10" s="192" t="s">
        <v>76</v>
      </c>
      <c r="AC10" s="192" t="s">
        <v>71</v>
      </c>
      <c r="AD10" s="192" t="s">
        <v>71</v>
      </c>
      <c r="AE10" s="192" t="s">
        <v>71</v>
      </c>
      <c r="AF10" s="192" t="s">
        <v>71</v>
      </c>
      <c r="AG10" s="192" t="s">
        <v>71</v>
      </c>
      <c r="AH10" s="192" t="s">
        <v>71</v>
      </c>
      <c r="AI10" s="192" t="s">
        <v>71</v>
      </c>
      <c r="AJ10" s="192" t="s">
        <v>234</v>
      </c>
      <c r="AK10" s="192" t="s">
        <v>71</v>
      </c>
      <c r="AL10" s="240">
        <f t="shared" ref="AL10" si="16">SUM(COUNTIFS(G10:AK10,"A"))</f>
        <v>0</v>
      </c>
      <c r="AM10" s="240">
        <f t="shared" ref="AM10" si="17">SUM(COUNTIFS(G10:AK10,"B"))</f>
        <v>0</v>
      </c>
      <c r="AN10" s="240">
        <f t="shared" ref="AN10" si="18">SUM(COUNTIFS(G10:AK10,"C"))</f>
        <v>0</v>
      </c>
      <c r="AO10" s="240">
        <f t="shared" ref="AO10" si="19">SUM(COUNTIFS(G10:AK10,"G"))</f>
        <v>13</v>
      </c>
      <c r="AP10" s="240">
        <f t="shared" ref="AP10" si="20">SUM(COUNTIFS(G10:AK10,"W"))</f>
        <v>2</v>
      </c>
      <c r="AQ10" s="240">
        <f t="shared" ref="AQ10" si="21">SUM(COUNTIFS(G11:AK11,"A"))+(COUNTIFS(G11:AK11,"B"))+(COUNTIFS(G11:AK11,"C"))+(COUNTIFS(G11:AK11,"G"))</f>
        <v>0</v>
      </c>
      <c r="AR10" s="242">
        <f t="shared" ref="AR10" si="22">SUM(COUNTIFS(G10:AK10,"PH"))</f>
        <v>0</v>
      </c>
      <c r="AS10" s="284">
        <f t="shared" ref="AS10" si="23">AL10+AM10+AN10+AO10+AR10+AP10+AQ10</f>
        <v>15</v>
      </c>
    </row>
    <row r="11" spans="1:45" s="193" customFormat="1" ht="18.75" x14ac:dyDescent="0.25">
      <c r="A11" s="254"/>
      <c r="B11" s="247"/>
      <c r="C11" s="247"/>
      <c r="D11" s="247"/>
      <c r="E11" s="247"/>
      <c r="F11" s="191" t="s">
        <v>237</v>
      </c>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241"/>
      <c r="AM11" s="241"/>
      <c r="AN11" s="241"/>
      <c r="AO11" s="241"/>
      <c r="AP11" s="241"/>
      <c r="AQ11" s="241"/>
      <c r="AR11" s="243"/>
      <c r="AS11" s="284"/>
    </row>
    <row r="12" spans="1:45" s="193" customFormat="1" ht="18.75" x14ac:dyDescent="0.25">
      <c r="A12" s="253">
        <v>5</v>
      </c>
      <c r="B12" s="246">
        <v>10013</v>
      </c>
      <c r="C12" s="246" t="s">
        <v>358</v>
      </c>
      <c r="D12" s="246">
        <v>11182</v>
      </c>
      <c r="E12" s="246" t="s">
        <v>411</v>
      </c>
      <c r="F12" s="191" t="s">
        <v>233</v>
      </c>
      <c r="G12" s="196" t="s">
        <v>234</v>
      </c>
      <c r="H12" s="192" t="s">
        <v>71</v>
      </c>
      <c r="I12" s="192" t="s">
        <v>75</v>
      </c>
      <c r="J12" s="192" t="s">
        <v>71</v>
      </c>
      <c r="K12" s="192" t="s">
        <v>73</v>
      </c>
      <c r="L12" s="192" t="s">
        <v>71</v>
      </c>
      <c r="M12" s="192" t="s">
        <v>75</v>
      </c>
      <c r="N12" s="192" t="s">
        <v>234</v>
      </c>
      <c r="O12" s="192" t="s">
        <v>71</v>
      </c>
      <c r="P12" s="192" t="s">
        <v>75</v>
      </c>
      <c r="Q12" s="192" t="s">
        <v>71</v>
      </c>
      <c r="R12" s="192" t="s">
        <v>73</v>
      </c>
      <c r="S12" s="192" t="s">
        <v>71</v>
      </c>
      <c r="T12" s="192" t="s">
        <v>75</v>
      </c>
      <c r="U12" s="192" t="s">
        <v>234</v>
      </c>
      <c r="V12" s="196" t="s">
        <v>75</v>
      </c>
      <c r="W12" s="192" t="s">
        <v>75</v>
      </c>
      <c r="X12" s="196" t="s">
        <v>71</v>
      </c>
      <c r="Y12" s="192" t="s">
        <v>75</v>
      </c>
      <c r="Z12" s="192" t="s">
        <v>71</v>
      </c>
      <c r="AA12" s="196" t="s">
        <v>75</v>
      </c>
      <c r="AB12" s="196" t="s">
        <v>234</v>
      </c>
      <c r="AC12" s="196" t="s">
        <v>73</v>
      </c>
      <c r="AD12" s="192" t="s">
        <v>73</v>
      </c>
      <c r="AE12" s="196" t="s">
        <v>73</v>
      </c>
      <c r="AF12" s="196" t="s">
        <v>75</v>
      </c>
      <c r="AG12" s="196" t="s">
        <v>75</v>
      </c>
      <c r="AH12" s="196" t="s">
        <v>75</v>
      </c>
      <c r="AI12" s="192" t="s">
        <v>234</v>
      </c>
      <c r="AJ12" s="192" t="s">
        <v>71</v>
      </c>
      <c r="AK12" s="192" t="s">
        <v>71</v>
      </c>
      <c r="AL12" s="240">
        <f t="shared" ref="AL12" si="24">SUM(COUNTIFS(G12:AK12,"A"))</f>
        <v>11</v>
      </c>
      <c r="AM12" s="240">
        <f t="shared" ref="AM12" si="25">SUM(COUNTIFS(G12:AK12,"B"))</f>
        <v>5</v>
      </c>
      <c r="AN12" s="240">
        <f t="shared" ref="AN12" si="26">SUM(COUNTIFS(G12:AK12,"C"))</f>
        <v>0</v>
      </c>
      <c r="AO12" s="240">
        <f t="shared" ref="AO12" si="27">SUM(COUNTIFS(G12:AK12,"G"))</f>
        <v>10</v>
      </c>
      <c r="AP12" s="240">
        <f t="shared" ref="AP12" si="28">SUM(COUNTIFS(G12:AK12,"W"))</f>
        <v>5</v>
      </c>
      <c r="AQ12" s="240">
        <f t="shared" ref="AQ12" si="29">SUM(COUNTIFS(G13:AK13,"A"))+(COUNTIFS(G13:AK13,"B"))+(COUNTIFS(G13:AK13,"C"))+(COUNTIFS(G13:AK13,"G"))</f>
        <v>0</v>
      </c>
      <c r="AR12" s="242">
        <f t="shared" ref="AR12" si="30">SUM(COUNTIFS(G12:AK12,"PH"))</f>
        <v>0</v>
      </c>
      <c r="AS12" s="284">
        <f t="shared" ref="AS12" si="31">AL12+AM12+AN12+AO12+AR12+AP12+AQ12</f>
        <v>31</v>
      </c>
    </row>
    <row r="13" spans="1:45" s="193" customFormat="1" ht="18.75" x14ac:dyDescent="0.25">
      <c r="A13" s="254"/>
      <c r="B13" s="247"/>
      <c r="C13" s="247"/>
      <c r="D13" s="247"/>
      <c r="E13" s="247"/>
      <c r="F13" s="191" t="s">
        <v>237</v>
      </c>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241"/>
      <c r="AM13" s="241"/>
      <c r="AN13" s="241"/>
      <c r="AO13" s="241"/>
      <c r="AP13" s="241"/>
      <c r="AQ13" s="241"/>
      <c r="AR13" s="243"/>
      <c r="AS13" s="284"/>
    </row>
    <row r="14" spans="1:45" s="193" customFormat="1" ht="18.75" x14ac:dyDescent="0.25">
      <c r="A14" s="253">
        <v>6</v>
      </c>
      <c r="B14" s="248">
        <v>11365</v>
      </c>
      <c r="C14" s="246" t="s">
        <v>414</v>
      </c>
      <c r="D14" s="248">
        <v>11203</v>
      </c>
      <c r="E14" s="246" t="s">
        <v>411</v>
      </c>
      <c r="F14" s="191" t="s">
        <v>233</v>
      </c>
      <c r="G14" s="196" t="s">
        <v>74</v>
      </c>
      <c r="H14" s="192" t="s">
        <v>74</v>
      </c>
      <c r="I14" s="196" t="s">
        <v>234</v>
      </c>
      <c r="J14" s="196" t="s">
        <v>75</v>
      </c>
      <c r="K14" s="196" t="s">
        <v>75</v>
      </c>
      <c r="L14" s="196" t="s">
        <v>73</v>
      </c>
      <c r="M14" s="196" t="s">
        <v>74</v>
      </c>
      <c r="N14" s="196" t="s">
        <v>74</v>
      </c>
      <c r="O14" s="196" t="s">
        <v>74</v>
      </c>
      <c r="P14" s="196" t="s">
        <v>234</v>
      </c>
      <c r="Q14" s="196" t="s">
        <v>75</v>
      </c>
      <c r="R14" s="196" t="s">
        <v>75</v>
      </c>
      <c r="S14" s="196" t="s">
        <v>75</v>
      </c>
      <c r="T14" s="196" t="s">
        <v>74</v>
      </c>
      <c r="U14" s="196" t="s">
        <v>73</v>
      </c>
      <c r="V14" s="196" t="s">
        <v>75</v>
      </c>
      <c r="W14" s="196" t="s">
        <v>234</v>
      </c>
      <c r="X14" s="196" t="s">
        <v>74</v>
      </c>
      <c r="Y14" s="196" t="s">
        <v>73</v>
      </c>
      <c r="Z14" s="196" t="s">
        <v>73</v>
      </c>
      <c r="AA14" s="196" t="s">
        <v>74</v>
      </c>
      <c r="AB14" s="196" t="s">
        <v>74</v>
      </c>
      <c r="AC14" s="196" t="s">
        <v>73</v>
      </c>
      <c r="AD14" s="196" t="s">
        <v>234</v>
      </c>
      <c r="AE14" s="196" t="s">
        <v>74</v>
      </c>
      <c r="AF14" s="196" t="s">
        <v>73</v>
      </c>
      <c r="AG14" s="196" t="s">
        <v>73</v>
      </c>
      <c r="AH14" s="196" t="s">
        <v>74</v>
      </c>
      <c r="AI14" s="196" t="s">
        <v>74</v>
      </c>
      <c r="AJ14" s="196" t="s">
        <v>76</v>
      </c>
      <c r="AK14" s="196" t="s">
        <v>234</v>
      </c>
      <c r="AL14" s="240">
        <f t="shared" ref="AL14" si="32">SUM(COUNTIFS(G14:AK14,"A"))</f>
        <v>6</v>
      </c>
      <c r="AM14" s="240">
        <f t="shared" ref="AM14" si="33">SUM(COUNTIFS(G14:AK14,"B"))</f>
        <v>7</v>
      </c>
      <c r="AN14" s="240">
        <f t="shared" ref="AN14" si="34">SUM(COUNTIFS(G14:AK14,"C"))</f>
        <v>12</v>
      </c>
      <c r="AO14" s="240">
        <f t="shared" ref="AO14" si="35">SUM(COUNTIFS(G14:AK14,"G"))</f>
        <v>0</v>
      </c>
      <c r="AP14" s="240">
        <f t="shared" ref="AP14" si="36">SUM(COUNTIFS(G14:AK14,"W"))</f>
        <v>5</v>
      </c>
      <c r="AQ14" s="240">
        <f t="shared" ref="AQ14" si="37">SUM(COUNTIFS(G15:AK15,"A"))+(COUNTIFS(G15:AK15,"B"))+(COUNTIFS(G15:AK15,"C"))+(COUNTIFS(G15:AK15,"G"))</f>
        <v>0</v>
      </c>
      <c r="AR14" s="242">
        <f t="shared" ref="AR14" si="38">SUM(COUNTIFS(G14:AK14,"PH"))</f>
        <v>0</v>
      </c>
      <c r="AS14" s="284">
        <f t="shared" ref="AS14" si="39">AL14+AM14+AN14+AO14+AR14+AP14+AQ14</f>
        <v>30</v>
      </c>
    </row>
    <row r="15" spans="1:45" s="193" customFormat="1" ht="18.75" x14ac:dyDescent="0.25">
      <c r="A15" s="254"/>
      <c r="B15" s="248"/>
      <c r="C15" s="247"/>
      <c r="D15" s="248"/>
      <c r="E15" s="247"/>
      <c r="F15" s="191" t="s">
        <v>237</v>
      </c>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241"/>
      <c r="AM15" s="241"/>
      <c r="AN15" s="241"/>
      <c r="AO15" s="241"/>
      <c r="AP15" s="241"/>
      <c r="AQ15" s="241"/>
      <c r="AR15" s="243"/>
      <c r="AS15" s="284"/>
    </row>
    <row r="16" spans="1:45" s="193" customFormat="1" ht="18.75" x14ac:dyDescent="0.25">
      <c r="A16" s="253">
        <v>7</v>
      </c>
      <c r="B16" s="246">
        <v>10989</v>
      </c>
      <c r="C16" s="255" t="s">
        <v>415</v>
      </c>
      <c r="D16" s="246">
        <v>10423</v>
      </c>
      <c r="E16" s="246" t="s">
        <v>411</v>
      </c>
      <c r="F16" s="191" t="s">
        <v>233</v>
      </c>
      <c r="G16" s="196" t="s">
        <v>73</v>
      </c>
      <c r="H16" s="196" t="s">
        <v>73</v>
      </c>
      <c r="I16" s="196" t="s">
        <v>74</v>
      </c>
      <c r="J16" s="196" t="s">
        <v>74</v>
      </c>
      <c r="K16" s="196" t="s">
        <v>234</v>
      </c>
      <c r="L16" s="196" t="s">
        <v>75</v>
      </c>
      <c r="M16" s="196" t="s">
        <v>73</v>
      </c>
      <c r="N16" s="196" t="s">
        <v>73</v>
      </c>
      <c r="O16" s="196" t="s">
        <v>73</v>
      </c>
      <c r="P16" s="196" t="s">
        <v>74</v>
      </c>
      <c r="Q16" s="196" t="s">
        <v>74</v>
      </c>
      <c r="R16" s="196" t="s">
        <v>234</v>
      </c>
      <c r="S16" s="196" t="s">
        <v>73</v>
      </c>
      <c r="T16" s="196" t="s">
        <v>73</v>
      </c>
      <c r="U16" s="196" t="s">
        <v>74</v>
      </c>
      <c r="V16" s="196" t="s">
        <v>74</v>
      </c>
      <c r="W16" s="196" t="s">
        <v>74</v>
      </c>
      <c r="X16" s="196" t="s">
        <v>73</v>
      </c>
      <c r="Y16" s="196" t="s">
        <v>234</v>
      </c>
      <c r="Z16" s="196" t="s">
        <v>75</v>
      </c>
      <c r="AA16" s="196" t="s">
        <v>73</v>
      </c>
      <c r="AB16" s="196" t="s">
        <v>73</v>
      </c>
      <c r="AC16" s="196" t="s">
        <v>74</v>
      </c>
      <c r="AD16" s="196" t="s">
        <v>73</v>
      </c>
      <c r="AE16" s="196" t="s">
        <v>75</v>
      </c>
      <c r="AF16" s="196" t="s">
        <v>234</v>
      </c>
      <c r="AG16" s="196" t="s">
        <v>74</v>
      </c>
      <c r="AH16" s="196" t="s">
        <v>73</v>
      </c>
      <c r="AI16" s="196" t="s">
        <v>73</v>
      </c>
      <c r="AJ16" s="196" t="s">
        <v>73</v>
      </c>
      <c r="AK16" s="196" t="s">
        <v>74</v>
      </c>
      <c r="AL16" s="240">
        <f t="shared" ref="AL16" si="40">SUM(COUNTIFS(G16:AK16,"A"))</f>
        <v>3</v>
      </c>
      <c r="AM16" s="240">
        <f t="shared" ref="AM16" si="41">SUM(COUNTIFS(G16:AK16,"B"))</f>
        <v>14</v>
      </c>
      <c r="AN16" s="240">
        <f t="shared" ref="AN16" si="42">SUM(COUNTIFS(G16:AK16,"C"))</f>
        <v>10</v>
      </c>
      <c r="AO16" s="240">
        <f t="shared" ref="AO16" si="43">SUM(COUNTIFS(G16:AK16,"G"))</f>
        <v>0</v>
      </c>
      <c r="AP16" s="240">
        <f t="shared" ref="AP16" si="44">SUM(COUNTIFS(G16:AK16,"W"))</f>
        <v>4</v>
      </c>
      <c r="AQ16" s="240">
        <f t="shared" ref="AQ16" si="45">SUM(COUNTIFS(G17:AK17,"A"))+(COUNTIFS(G17:AK17,"B"))+(COUNTIFS(G17:AK17,"C"))+(COUNTIFS(G17:AK17,"G"))</f>
        <v>0</v>
      </c>
      <c r="AR16" s="242">
        <f t="shared" ref="AR16" si="46">SUM(COUNTIFS(G16:AK16,"PH"))</f>
        <v>0</v>
      </c>
      <c r="AS16" s="284">
        <f t="shared" ref="AS16" si="47">AL16+AM16+AN16+AO16+AR16+AP16+AQ16</f>
        <v>31</v>
      </c>
    </row>
    <row r="17" spans="1:45" s="193" customFormat="1" ht="18.75" x14ac:dyDescent="0.25">
      <c r="A17" s="254"/>
      <c r="B17" s="247"/>
      <c r="C17" s="256"/>
      <c r="D17" s="247"/>
      <c r="E17" s="247"/>
      <c r="F17" s="191" t="s">
        <v>237</v>
      </c>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241"/>
      <c r="AM17" s="241"/>
      <c r="AN17" s="241"/>
      <c r="AO17" s="241"/>
      <c r="AP17" s="241"/>
      <c r="AQ17" s="241"/>
      <c r="AR17" s="243"/>
      <c r="AS17" s="284"/>
    </row>
    <row r="18" spans="1:45" s="193" customFormat="1" ht="18.75" x14ac:dyDescent="0.25">
      <c r="A18" s="253">
        <v>8</v>
      </c>
      <c r="B18" s="244">
        <v>10982</v>
      </c>
      <c r="C18" s="246" t="s">
        <v>36</v>
      </c>
      <c r="D18" s="246">
        <v>11101</v>
      </c>
      <c r="E18" s="246" t="s">
        <v>411</v>
      </c>
      <c r="F18" s="191" t="s">
        <v>233</v>
      </c>
      <c r="G18" s="192" t="s">
        <v>75</v>
      </c>
      <c r="H18" s="192" t="s">
        <v>71</v>
      </c>
      <c r="I18" s="192" t="s">
        <v>71</v>
      </c>
      <c r="J18" s="192" t="s">
        <v>71</v>
      </c>
      <c r="K18" s="192" t="s">
        <v>71</v>
      </c>
      <c r="L18" s="192" t="s">
        <v>234</v>
      </c>
      <c r="M18" s="192" t="s">
        <v>71</v>
      </c>
      <c r="N18" s="192" t="s">
        <v>71</v>
      </c>
      <c r="O18" s="192" t="s">
        <v>71</v>
      </c>
      <c r="P18" s="192" t="s">
        <v>71</v>
      </c>
      <c r="Q18" s="192" t="s">
        <v>71</v>
      </c>
      <c r="R18" s="192" t="s">
        <v>71</v>
      </c>
      <c r="S18" s="192" t="s">
        <v>234</v>
      </c>
      <c r="T18" s="192" t="s">
        <v>71</v>
      </c>
      <c r="U18" s="192" t="s">
        <v>71</v>
      </c>
      <c r="V18" s="192" t="s">
        <v>71</v>
      </c>
      <c r="W18" s="192" t="s">
        <v>71</v>
      </c>
      <c r="X18" s="192" t="s">
        <v>71</v>
      </c>
      <c r="Y18" s="192" t="s">
        <v>71</v>
      </c>
      <c r="Z18" s="192" t="s">
        <v>234</v>
      </c>
      <c r="AA18" s="192" t="s">
        <v>71</v>
      </c>
      <c r="AB18" s="192" t="s">
        <v>71</v>
      </c>
      <c r="AC18" s="192" t="s">
        <v>71</v>
      </c>
      <c r="AD18" s="192" t="s">
        <v>75</v>
      </c>
      <c r="AE18" s="192" t="s">
        <v>71</v>
      </c>
      <c r="AF18" s="192" t="s">
        <v>73</v>
      </c>
      <c r="AG18" s="192" t="s">
        <v>234</v>
      </c>
      <c r="AH18" s="192" t="s">
        <v>75</v>
      </c>
      <c r="AI18" s="192" t="s">
        <v>75</v>
      </c>
      <c r="AJ18" s="192" t="s">
        <v>71</v>
      </c>
      <c r="AK18" s="192" t="s">
        <v>75</v>
      </c>
      <c r="AL18" s="240">
        <f t="shared" ref="AL18" si="48">SUM(COUNTIFS(G18:AK18,"A"))</f>
        <v>5</v>
      </c>
      <c r="AM18" s="240">
        <f t="shared" ref="AM18" si="49">SUM(COUNTIFS(G18:AK18,"B"))</f>
        <v>1</v>
      </c>
      <c r="AN18" s="240">
        <f t="shared" ref="AN18" si="50">SUM(COUNTIFS(G18:AK18,"C"))</f>
        <v>0</v>
      </c>
      <c r="AO18" s="240">
        <f t="shared" ref="AO18" si="51">SUM(COUNTIFS(G18:AK18,"G"))</f>
        <v>21</v>
      </c>
      <c r="AP18" s="240">
        <f t="shared" ref="AP18" si="52">SUM(COUNTIFS(G18:AK18,"W"))</f>
        <v>4</v>
      </c>
      <c r="AQ18" s="240">
        <f t="shared" ref="AQ18" si="53">SUM(COUNTIFS(G19:AK19,"A"))+(COUNTIFS(G19:AK19,"B"))+(COUNTIFS(G19:AK19,"C"))+(COUNTIFS(G19:AK19,"G"))</f>
        <v>0</v>
      </c>
      <c r="AR18" s="242">
        <f t="shared" ref="AR18" si="54">SUM(COUNTIFS(G18:AK18,"PH"))</f>
        <v>0</v>
      </c>
      <c r="AS18" s="284">
        <f t="shared" ref="AS18" si="55">AL18+AM18+AN18+AO18+AR18+AP18+AQ18</f>
        <v>31</v>
      </c>
    </row>
    <row r="19" spans="1:45" s="193" customFormat="1" ht="18.75" x14ac:dyDescent="0.25">
      <c r="A19" s="254"/>
      <c r="B19" s="245"/>
      <c r="C19" s="247"/>
      <c r="D19" s="247"/>
      <c r="E19" s="247"/>
      <c r="F19" s="191" t="s">
        <v>237</v>
      </c>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241"/>
      <c r="AM19" s="241"/>
      <c r="AN19" s="241"/>
      <c r="AO19" s="241"/>
      <c r="AP19" s="241"/>
      <c r="AQ19" s="241"/>
      <c r="AR19" s="243"/>
      <c r="AS19" s="284"/>
    </row>
    <row r="20" spans="1:45" s="193" customFormat="1" ht="18.75" x14ac:dyDescent="0.25">
      <c r="A20" s="253">
        <v>9</v>
      </c>
      <c r="B20" s="248">
        <v>12076</v>
      </c>
      <c r="C20" s="255" t="s">
        <v>386</v>
      </c>
      <c r="D20" s="248">
        <v>11227</v>
      </c>
      <c r="E20" s="246" t="s">
        <v>411</v>
      </c>
      <c r="F20" s="191" t="s">
        <v>233</v>
      </c>
      <c r="G20" s="196" t="s">
        <v>74</v>
      </c>
      <c r="H20" s="196" t="s">
        <v>74</v>
      </c>
      <c r="I20" s="196" t="s">
        <v>74</v>
      </c>
      <c r="J20" s="196" t="s">
        <v>234</v>
      </c>
      <c r="K20" s="196" t="s">
        <v>71</v>
      </c>
      <c r="L20" s="196" t="s">
        <v>73</v>
      </c>
      <c r="M20" s="196" t="s">
        <v>71</v>
      </c>
      <c r="N20" s="196" t="s">
        <v>71</v>
      </c>
      <c r="O20" s="196" t="s">
        <v>73</v>
      </c>
      <c r="P20" s="196" t="s">
        <v>71</v>
      </c>
      <c r="Q20" s="196" t="s">
        <v>234</v>
      </c>
      <c r="R20" s="196" t="s">
        <v>74</v>
      </c>
      <c r="S20" s="196" t="s">
        <v>74</v>
      </c>
      <c r="T20" s="196" t="s">
        <v>74</v>
      </c>
      <c r="U20" s="196" t="s">
        <v>74</v>
      </c>
      <c r="V20" s="196" t="s">
        <v>74</v>
      </c>
      <c r="W20" s="196" t="s">
        <v>73</v>
      </c>
      <c r="X20" s="196" t="s">
        <v>234</v>
      </c>
      <c r="Y20" s="196" t="s">
        <v>71</v>
      </c>
      <c r="Z20" s="196" t="s">
        <v>71</v>
      </c>
      <c r="AA20" s="196" t="s">
        <v>71</v>
      </c>
      <c r="AB20" s="196" t="s">
        <v>71</v>
      </c>
      <c r="AC20" s="196" t="s">
        <v>74</v>
      </c>
      <c r="AD20" s="196" t="s">
        <v>74</v>
      </c>
      <c r="AE20" s="196" t="s">
        <v>234</v>
      </c>
      <c r="AF20" s="196" t="s">
        <v>74</v>
      </c>
      <c r="AG20" s="196" t="s">
        <v>74</v>
      </c>
      <c r="AH20" s="196" t="s">
        <v>73</v>
      </c>
      <c r="AI20" s="196" t="s">
        <v>73</v>
      </c>
      <c r="AJ20" s="196" t="s">
        <v>73</v>
      </c>
      <c r="AK20" s="196" t="s">
        <v>74</v>
      </c>
      <c r="AL20" s="240">
        <f t="shared" ref="AL20" si="56">SUM(COUNTIFS(G20:AK20,"A"))</f>
        <v>0</v>
      </c>
      <c r="AM20" s="240">
        <f t="shared" ref="AM20" si="57">SUM(COUNTIFS(G20:AK20,"B"))</f>
        <v>6</v>
      </c>
      <c r="AN20" s="240">
        <f t="shared" ref="AN20" si="58">SUM(COUNTIFS(G20:AK20,"C"))</f>
        <v>13</v>
      </c>
      <c r="AO20" s="240">
        <f t="shared" ref="AO20" si="59">SUM(COUNTIFS(G20:AK20,"G"))</f>
        <v>8</v>
      </c>
      <c r="AP20" s="240">
        <f t="shared" ref="AP20" si="60">SUM(COUNTIFS(G20:AK20,"W"))</f>
        <v>4</v>
      </c>
      <c r="AQ20" s="240">
        <f t="shared" ref="AQ20" si="61">SUM(COUNTIFS(G21:AK21,"A"))+(COUNTIFS(G21:AK21,"B"))+(COUNTIFS(G21:AK21,"C"))+(COUNTIFS(G21:AK21,"G"))</f>
        <v>0</v>
      </c>
      <c r="AR20" s="242">
        <f t="shared" ref="AR20" si="62">SUM(COUNTIFS(G20:AK20,"PH"))</f>
        <v>0</v>
      </c>
      <c r="AS20" s="284">
        <f t="shared" ref="AS20" si="63">AL20+AM20+AN20+AO20+AR20+AP20+AQ20</f>
        <v>31</v>
      </c>
    </row>
    <row r="21" spans="1:45" s="193" customFormat="1" ht="18.75" x14ac:dyDescent="0.25">
      <c r="A21" s="254"/>
      <c r="B21" s="248"/>
      <c r="C21" s="256"/>
      <c r="D21" s="248"/>
      <c r="E21" s="247"/>
      <c r="F21" s="191" t="s">
        <v>237</v>
      </c>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241"/>
      <c r="AM21" s="241"/>
      <c r="AN21" s="241"/>
      <c r="AO21" s="241"/>
      <c r="AP21" s="241"/>
      <c r="AQ21" s="241"/>
      <c r="AR21" s="243"/>
      <c r="AS21" s="284"/>
    </row>
    <row r="22" spans="1:45" s="193" customFormat="1" ht="18.75" x14ac:dyDescent="0.25">
      <c r="A22" s="253">
        <v>10</v>
      </c>
      <c r="B22" s="244">
        <v>11032</v>
      </c>
      <c r="C22" s="246" t="s">
        <v>77</v>
      </c>
      <c r="D22" s="246">
        <v>11104</v>
      </c>
      <c r="E22" s="244" t="s">
        <v>343</v>
      </c>
      <c r="F22" s="191" t="s">
        <v>233</v>
      </c>
      <c r="G22" s="192" t="s">
        <v>234</v>
      </c>
      <c r="H22" s="192" t="s">
        <v>74</v>
      </c>
      <c r="I22" s="192" t="s">
        <v>74</v>
      </c>
      <c r="J22" s="192" t="s">
        <v>73</v>
      </c>
      <c r="K22" s="192" t="s">
        <v>73</v>
      </c>
      <c r="L22" s="192" t="s">
        <v>75</v>
      </c>
      <c r="M22" s="192" t="s">
        <v>73</v>
      </c>
      <c r="N22" s="192" t="s">
        <v>234</v>
      </c>
      <c r="O22" s="192" t="s">
        <v>75</v>
      </c>
      <c r="P22" s="192" t="s">
        <v>75</v>
      </c>
      <c r="Q22" s="192" t="s">
        <v>71</v>
      </c>
      <c r="R22" s="192" t="s">
        <v>73</v>
      </c>
      <c r="S22" s="192" t="s">
        <v>73</v>
      </c>
      <c r="T22" s="192" t="s">
        <v>74</v>
      </c>
      <c r="U22" s="192" t="s">
        <v>234</v>
      </c>
      <c r="V22" s="192" t="s">
        <v>75</v>
      </c>
      <c r="W22" s="192" t="s">
        <v>75</v>
      </c>
      <c r="X22" s="192" t="s">
        <v>71</v>
      </c>
      <c r="Y22" s="192" t="s">
        <v>71</v>
      </c>
      <c r="Z22" s="192" t="s">
        <v>73</v>
      </c>
      <c r="AA22" s="192" t="s">
        <v>74</v>
      </c>
      <c r="AB22" s="192" t="s">
        <v>234</v>
      </c>
      <c r="AC22" s="192" t="s">
        <v>73</v>
      </c>
      <c r="AD22" s="192" t="s">
        <v>73</v>
      </c>
      <c r="AE22" s="192" t="s">
        <v>71</v>
      </c>
      <c r="AF22" s="192" t="s">
        <v>73</v>
      </c>
      <c r="AG22" s="192" t="s">
        <v>73</v>
      </c>
      <c r="AH22" s="192" t="s">
        <v>74</v>
      </c>
      <c r="AI22" s="192" t="s">
        <v>234</v>
      </c>
      <c r="AJ22" s="192" t="s">
        <v>73</v>
      </c>
      <c r="AK22" s="192" t="s">
        <v>73</v>
      </c>
      <c r="AL22" s="240">
        <f t="shared" ref="AL22" si="64">SUM(COUNTIFS(G22:AK22,"A"))</f>
        <v>5</v>
      </c>
      <c r="AM22" s="240">
        <f t="shared" ref="AM22" si="65">SUM(COUNTIFS(G22:AK22,"B"))</f>
        <v>12</v>
      </c>
      <c r="AN22" s="240">
        <f t="shared" ref="AN22" si="66">SUM(COUNTIFS(G22:AK22,"C"))</f>
        <v>5</v>
      </c>
      <c r="AO22" s="240">
        <f t="shared" ref="AO22" si="67">SUM(COUNTIFS(G22:AK22,"G"))</f>
        <v>4</v>
      </c>
      <c r="AP22" s="240">
        <f t="shared" ref="AP22" si="68">SUM(COUNTIFS(G22:AK22,"W"))</f>
        <v>5</v>
      </c>
      <c r="AQ22" s="240">
        <f t="shared" ref="AQ22" si="69">SUM(COUNTIFS(G23:AK23,"A"))+(COUNTIFS(G23:AK23,"B"))+(COUNTIFS(G23:AK23,"C"))+(COUNTIFS(G23:AK23,"G"))</f>
        <v>0</v>
      </c>
      <c r="AR22" s="242">
        <f t="shared" ref="AR22" si="70">SUM(COUNTIFS(G22:AK22,"PH"))</f>
        <v>0</v>
      </c>
      <c r="AS22" s="284">
        <f t="shared" ref="AS22" si="71">AL22+AM22+AN22+AO22+AR22+AP22+AQ22</f>
        <v>31</v>
      </c>
    </row>
    <row r="23" spans="1:45" s="193" customFormat="1" ht="18.75" x14ac:dyDescent="0.25">
      <c r="A23" s="254"/>
      <c r="B23" s="245"/>
      <c r="C23" s="247"/>
      <c r="D23" s="247"/>
      <c r="E23" s="245"/>
      <c r="F23" s="191" t="s">
        <v>237</v>
      </c>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241"/>
      <c r="AM23" s="241"/>
      <c r="AN23" s="241"/>
      <c r="AO23" s="241"/>
      <c r="AP23" s="241"/>
      <c r="AQ23" s="241"/>
      <c r="AR23" s="243"/>
      <c r="AS23" s="284"/>
    </row>
    <row r="24" spans="1:45" s="193" customFormat="1" ht="18.75" x14ac:dyDescent="0.25">
      <c r="A24" s="253">
        <v>11</v>
      </c>
      <c r="B24" s="246">
        <v>10981</v>
      </c>
      <c r="C24" s="246" t="s">
        <v>359</v>
      </c>
      <c r="D24" s="246">
        <v>11053</v>
      </c>
      <c r="E24" s="244" t="s">
        <v>343</v>
      </c>
      <c r="F24" s="192" t="s">
        <v>233</v>
      </c>
      <c r="G24" s="192" t="s">
        <v>74</v>
      </c>
      <c r="H24" s="192" t="s">
        <v>73</v>
      </c>
      <c r="I24" s="192" t="s">
        <v>76</v>
      </c>
      <c r="J24" s="192" t="s">
        <v>76</v>
      </c>
      <c r="K24" s="192" t="s">
        <v>234</v>
      </c>
      <c r="L24" s="192" t="s">
        <v>74</v>
      </c>
      <c r="M24" s="192" t="s">
        <v>74</v>
      </c>
      <c r="N24" s="192" t="s">
        <v>73</v>
      </c>
      <c r="O24" s="192" t="s">
        <v>71</v>
      </c>
      <c r="P24" s="192" t="s">
        <v>71</v>
      </c>
      <c r="Q24" s="192" t="s">
        <v>74</v>
      </c>
      <c r="R24" s="192" t="s">
        <v>234</v>
      </c>
      <c r="S24" s="192" t="s">
        <v>71</v>
      </c>
      <c r="T24" s="192" t="s">
        <v>75</v>
      </c>
      <c r="U24" s="192" t="s">
        <v>71</v>
      </c>
      <c r="V24" s="192" t="s">
        <v>71</v>
      </c>
      <c r="W24" s="192" t="s">
        <v>74</v>
      </c>
      <c r="X24" s="192" t="s">
        <v>74</v>
      </c>
      <c r="Y24" s="192" t="s">
        <v>234</v>
      </c>
      <c r="Z24" s="192" t="s">
        <v>75</v>
      </c>
      <c r="AA24" s="192" t="s">
        <v>71</v>
      </c>
      <c r="AB24" s="192" t="s">
        <v>71</v>
      </c>
      <c r="AC24" s="192" t="s">
        <v>71</v>
      </c>
      <c r="AD24" s="192" t="s">
        <v>74</v>
      </c>
      <c r="AE24" s="191" t="s">
        <v>74</v>
      </c>
      <c r="AF24" s="191" t="s">
        <v>234</v>
      </c>
      <c r="AG24" s="191" t="s">
        <v>75</v>
      </c>
      <c r="AH24" s="191" t="s">
        <v>73</v>
      </c>
      <c r="AI24" s="192" t="s">
        <v>71</v>
      </c>
      <c r="AJ24" s="192" t="s">
        <v>71</v>
      </c>
      <c r="AK24" s="192" t="s">
        <v>74</v>
      </c>
      <c r="AL24" s="240">
        <f t="shared" ref="AL24" si="72">SUM(COUNTIFS(G24:AK24,"A"))</f>
        <v>3</v>
      </c>
      <c r="AM24" s="240">
        <f t="shared" ref="AM24" si="73">SUM(COUNTIFS(G24:AK24,"B"))</f>
        <v>3</v>
      </c>
      <c r="AN24" s="240">
        <f t="shared" ref="AN24" si="74">SUM(COUNTIFS(G24:AK24,"C"))</f>
        <v>9</v>
      </c>
      <c r="AO24" s="240">
        <f t="shared" ref="AO24" si="75">SUM(COUNTIFS(G24:AK24,"G"))</f>
        <v>10</v>
      </c>
      <c r="AP24" s="240">
        <f t="shared" ref="AP24" si="76">SUM(COUNTIFS(G24:AK24,"W"))</f>
        <v>4</v>
      </c>
      <c r="AQ24" s="240">
        <f t="shared" ref="AQ24" si="77">SUM(COUNTIFS(G25:AK25,"A"))+(COUNTIFS(G25:AK25,"B"))+(COUNTIFS(G25:AK25,"C"))+(COUNTIFS(G25:AK25,"G"))</f>
        <v>0</v>
      </c>
      <c r="AR24" s="242">
        <f t="shared" ref="AR24" si="78">SUM(COUNTIFS(G24:AK24,"PH"))</f>
        <v>0</v>
      </c>
      <c r="AS24" s="284">
        <f t="shared" ref="AS24" si="79">AL24+AM24+AN24+AO24+AR24+AP24+AQ24</f>
        <v>29</v>
      </c>
    </row>
    <row r="25" spans="1:45" s="193" customFormat="1" ht="18.75" x14ac:dyDescent="0.25">
      <c r="A25" s="254"/>
      <c r="B25" s="247"/>
      <c r="C25" s="247"/>
      <c r="D25" s="247"/>
      <c r="E25" s="245"/>
      <c r="F25" s="192" t="s">
        <v>237</v>
      </c>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241"/>
      <c r="AM25" s="241"/>
      <c r="AN25" s="241"/>
      <c r="AO25" s="241"/>
      <c r="AP25" s="241"/>
      <c r="AQ25" s="241"/>
      <c r="AR25" s="243"/>
      <c r="AS25" s="284"/>
    </row>
    <row r="26" spans="1:45" s="193" customFormat="1" ht="18.75" x14ac:dyDescent="0.25">
      <c r="A26" s="253">
        <v>12</v>
      </c>
      <c r="B26" s="248">
        <v>11651</v>
      </c>
      <c r="C26" s="246" t="s">
        <v>353</v>
      </c>
      <c r="D26" s="248">
        <v>11194</v>
      </c>
      <c r="E26" s="244" t="s">
        <v>343</v>
      </c>
      <c r="F26" s="191" t="s">
        <v>233</v>
      </c>
      <c r="G26" s="196" t="s">
        <v>76</v>
      </c>
      <c r="H26" s="192" t="s">
        <v>76</v>
      </c>
      <c r="I26" s="192" t="s">
        <v>76</v>
      </c>
      <c r="J26" s="192" t="s">
        <v>76</v>
      </c>
      <c r="K26" s="192" t="s">
        <v>76</v>
      </c>
      <c r="L26" s="192" t="s">
        <v>76</v>
      </c>
      <c r="M26" s="192" t="s">
        <v>76</v>
      </c>
      <c r="N26" s="192" t="s">
        <v>76</v>
      </c>
      <c r="O26" s="192" t="s">
        <v>76</v>
      </c>
      <c r="P26" s="192" t="s">
        <v>76</v>
      </c>
      <c r="Q26" s="192" t="s">
        <v>76</v>
      </c>
      <c r="R26" s="192" t="s">
        <v>76</v>
      </c>
      <c r="S26" s="192" t="s">
        <v>76</v>
      </c>
      <c r="T26" s="192" t="s">
        <v>76</v>
      </c>
      <c r="U26" s="192" t="s">
        <v>76</v>
      </c>
      <c r="V26" s="192" t="s">
        <v>76</v>
      </c>
      <c r="W26" s="192" t="s">
        <v>76</v>
      </c>
      <c r="X26" s="192" t="s">
        <v>76</v>
      </c>
      <c r="Y26" s="192" t="s">
        <v>76</v>
      </c>
      <c r="Z26" s="192" t="s">
        <v>76</v>
      </c>
      <c r="AA26" s="192" t="s">
        <v>76</v>
      </c>
      <c r="AB26" s="192" t="s">
        <v>76</v>
      </c>
      <c r="AC26" s="192" t="s">
        <v>76</v>
      </c>
      <c r="AD26" s="192" t="s">
        <v>76</v>
      </c>
      <c r="AE26" s="192" t="s">
        <v>76</v>
      </c>
      <c r="AF26" s="192" t="s">
        <v>76</v>
      </c>
      <c r="AG26" s="192" t="s">
        <v>76</v>
      </c>
      <c r="AH26" s="192" t="s">
        <v>76</v>
      </c>
      <c r="AI26" s="192" t="s">
        <v>76</v>
      </c>
      <c r="AJ26" s="192" t="s">
        <v>76</v>
      </c>
      <c r="AK26" s="192" t="s">
        <v>76</v>
      </c>
      <c r="AL26" s="240">
        <f t="shared" ref="AL26" si="80">SUM(COUNTIFS(G26:AK26,"A"))</f>
        <v>0</v>
      </c>
      <c r="AM26" s="240">
        <f t="shared" ref="AM26" si="81">SUM(COUNTIFS(G26:AK26,"B"))</f>
        <v>0</v>
      </c>
      <c r="AN26" s="240">
        <f t="shared" ref="AN26" si="82">SUM(COUNTIFS(G26:AK26,"C"))</f>
        <v>0</v>
      </c>
      <c r="AO26" s="240">
        <f t="shared" ref="AO26" si="83">SUM(COUNTIFS(G26:AK26,"G"))</f>
        <v>0</v>
      </c>
      <c r="AP26" s="240">
        <f t="shared" ref="AP26" si="84">SUM(COUNTIFS(G26:AK26,"W"))</f>
        <v>0</v>
      </c>
      <c r="AQ26" s="240">
        <f t="shared" ref="AQ26" si="85">SUM(COUNTIFS(G27:AK27,"A"))+(COUNTIFS(G27:AK27,"B"))+(COUNTIFS(G27:AK27,"C"))+(COUNTIFS(G27:AK27,"G"))</f>
        <v>0</v>
      </c>
      <c r="AR26" s="242">
        <f t="shared" ref="AR26" si="86">SUM(COUNTIFS(G26:AK26,"PH"))</f>
        <v>0</v>
      </c>
      <c r="AS26" s="284">
        <f t="shared" ref="AS26" si="87">AL26+AM26+AN26+AO26+AR26+AP26+AQ26</f>
        <v>0</v>
      </c>
    </row>
    <row r="27" spans="1:45" s="193" customFormat="1" ht="18.75" x14ac:dyDescent="0.25">
      <c r="A27" s="254"/>
      <c r="B27" s="248"/>
      <c r="C27" s="247"/>
      <c r="D27" s="248"/>
      <c r="E27" s="245"/>
      <c r="F27" s="197" t="s">
        <v>237</v>
      </c>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241"/>
      <c r="AM27" s="241"/>
      <c r="AN27" s="241"/>
      <c r="AO27" s="241"/>
      <c r="AP27" s="241"/>
      <c r="AQ27" s="241"/>
      <c r="AR27" s="243"/>
      <c r="AS27" s="284"/>
    </row>
    <row r="28" spans="1:45" s="193" customFormat="1" ht="18.75" x14ac:dyDescent="0.25">
      <c r="A28" s="253">
        <v>13</v>
      </c>
      <c r="B28" s="248">
        <v>11377</v>
      </c>
      <c r="C28" s="246" t="s">
        <v>361</v>
      </c>
      <c r="D28" s="248">
        <v>11196</v>
      </c>
      <c r="E28" s="244" t="s">
        <v>343</v>
      </c>
      <c r="F28" s="191" t="s">
        <v>233</v>
      </c>
      <c r="G28" s="196" t="s">
        <v>73</v>
      </c>
      <c r="H28" s="192" t="s">
        <v>75</v>
      </c>
      <c r="I28" s="196" t="s">
        <v>73</v>
      </c>
      <c r="J28" s="196" t="s">
        <v>74</v>
      </c>
      <c r="K28" s="196" t="s">
        <v>74</v>
      </c>
      <c r="L28" s="196" t="s">
        <v>73</v>
      </c>
      <c r="M28" s="196" t="s">
        <v>234</v>
      </c>
      <c r="N28" s="196" t="s">
        <v>75</v>
      </c>
      <c r="O28" s="196" t="s">
        <v>73</v>
      </c>
      <c r="P28" s="196" t="s">
        <v>73</v>
      </c>
      <c r="Q28" s="196" t="s">
        <v>73</v>
      </c>
      <c r="R28" s="196" t="s">
        <v>74</v>
      </c>
      <c r="S28" s="196" t="s">
        <v>74</v>
      </c>
      <c r="T28" s="196" t="s">
        <v>234</v>
      </c>
      <c r="U28" s="192" t="s">
        <v>73</v>
      </c>
      <c r="V28" s="196" t="s">
        <v>73</v>
      </c>
      <c r="W28" s="196" t="s">
        <v>73</v>
      </c>
      <c r="X28" s="196" t="s">
        <v>73</v>
      </c>
      <c r="Y28" s="192" t="s">
        <v>74</v>
      </c>
      <c r="Z28" s="196" t="s">
        <v>76</v>
      </c>
      <c r="AA28" s="196" t="s">
        <v>234</v>
      </c>
      <c r="AB28" s="196" t="s">
        <v>73</v>
      </c>
      <c r="AC28" s="196" t="s">
        <v>75</v>
      </c>
      <c r="AD28" s="196" t="s">
        <v>73</v>
      </c>
      <c r="AE28" s="196" t="s">
        <v>73</v>
      </c>
      <c r="AF28" s="196" t="s">
        <v>74</v>
      </c>
      <c r="AG28" s="196" t="s">
        <v>76</v>
      </c>
      <c r="AH28" s="196" t="s">
        <v>76</v>
      </c>
      <c r="AI28" s="192" t="s">
        <v>76</v>
      </c>
      <c r="AJ28" s="192" t="s">
        <v>76</v>
      </c>
      <c r="AK28" s="196" t="s">
        <v>76</v>
      </c>
      <c r="AL28" s="240">
        <f t="shared" ref="AL28" si="88">SUM(COUNTIFS(G28:AK28,"A"))</f>
        <v>3</v>
      </c>
      <c r="AM28" s="240">
        <f t="shared" ref="AM28" si="89">SUM(COUNTIFS(G28:AK28,"B"))</f>
        <v>13</v>
      </c>
      <c r="AN28" s="240">
        <f t="shared" ref="AN28" si="90">SUM(COUNTIFS(G28:AK28,"C"))</f>
        <v>6</v>
      </c>
      <c r="AO28" s="240">
        <f t="shared" ref="AO28" si="91">SUM(COUNTIFS(G28:AK28,"G"))</f>
        <v>0</v>
      </c>
      <c r="AP28" s="240">
        <f t="shared" ref="AP28" si="92">SUM(COUNTIFS(G28:AK28,"W"))</f>
        <v>3</v>
      </c>
      <c r="AQ28" s="240">
        <f t="shared" ref="AQ28" si="93">SUM(COUNTIFS(G29:AK29,"A"))+(COUNTIFS(G29:AK29,"B"))+(COUNTIFS(G29:AK29,"C"))+(COUNTIFS(G29:AK29,"G"))</f>
        <v>0</v>
      </c>
      <c r="AR28" s="242">
        <f t="shared" ref="AR28" si="94">SUM(COUNTIFS(G28:AK28,"PH"))</f>
        <v>0</v>
      </c>
      <c r="AS28" s="284">
        <f t="shared" ref="AS28" si="95">AL28+AM28+AN28+AO28+AR28+AP28+AQ28</f>
        <v>25</v>
      </c>
    </row>
    <row r="29" spans="1:45" s="193" customFormat="1" ht="18.75" x14ac:dyDescent="0.25">
      <c r="A29" s="254"/>
      <c r="B29" s="248"/>
      <c r="C29" s="247"/>
      <c r="D29" s="248"/>
      <c r="E29" s="245"/>
      <c r="F29" s="191" t="s">
        <v>237</v>
      </c>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241"/>
      <c r="AM29" s="241"/>
      <c r="AN29" s="241"/>
      <c r="AO29" s="241"/>
      <c r="AP29" s="241"/>
      <c r="AQ29" s="241"/>
      <c r="AR29" s="243"/>
      <c r="AS29" s="284"/>
    </row>
    <row r="30" spans="1:45" s="193" customFormat="1" ht="18.75" x14ac:dyDescent="0.25">
      <c r="A30" s="253">
        <v>14</v>
      </c>
      <c r="B30" s="248">
        <v>1</v>
      </c>
      <c r="C30" s="251" t="s">
        <v>416</v>
      </c>
      <c r="D30" s="248">
        <v>11229</v>
      </c>
      <c r="E30" s="246" t="s">
        <v>343</v>
      </c>
      <c r="F30" s="191" t="s">
        <v>233</v>
      </c>
      <c r="G30" s="289" t="s">
        <v>387</v>
      </c>
      <c r="H30" s="192" t="s">
        <v>71</v>
      </c>
      <c r="I30" s="192" t="s">
        <v>71</v>
      </c>
      <c r="J30" s="192" t="s">
        <v>71</v>
      </c>
      <c r="K30" s="192" t="s">
        <v>73</v>
      </c>
      <c r="L30" s="196" t="s">
        <v>75</v>
      </c>
      <c r="M30" s="196" t="s">
        <v>73</v>
      </c>
      <c r="N30" s="196" t="s">
        <v>71</v>
      </c>
      <c r="O30" s="196" t="s">
        <v>234</v>
      </c>
      <c r="P30" s="196" t="s">
        <v>74</v>
      </c>
      <c r="Q30" s="196" t="s">
        <v>73</v>
      </c>
      <c r="R30" s="196" t="s">
        <v>74</v>
      </c>
      <c r="S30" s="196" t="s">
        <v>74</v>
      </c>
      <c r="T30" s="196" t="s">
        <v>73</v>
      </c>
      <c r="U30" s="196" t="s">
        <v>74</v>
      </c>
      <c r="V30" s="196" t="s">
        <v>234</v>
      </c>
      <c r="W30" s="196" t="s">
        <v>76</v>
      </c>
      <c r="X30" s="196" t="s">
        <v>76</v>
      </c>
      <c r="Y30" s="196" t="s">
        <v>74</v>
      </c>
      <c r="Z30" s="196" t="s">
        <v>74</v>
      </c>
      <c r="AA30" s="196" t="s">
        <v>73</v>
      </c>
      <c r="AB30" s="196" t="s">
        <v>75</v>
      </c>
      <c r="AC30" s="196" t="s">
        <v>234</v>
      </c>
      <c r="AD30" s="196" t="s">
        <v>75</v>
      </c>
      <c r="AE30" s="196" t="s">
        <v>75</v>
      </c>
      <c r="AF30" s="196" t="s">
        <v>73</v>
      </c>
      <c r="AG30" s="196" t="s">
        <v>73</v>
      </c>
      <c r="AH30" s="196" t="s">
        <v>73</v>
      </c>
      <c r="AI30" s="196" t="s">
        <v>74</v>
      </c>
      <c r="AJ30" s="196" t="s">
        <v>234</v>
      </c>
      <c r="AK30" s="196" t="s">
        <v>71</v>
      </c>
      <c r="AL30" s="240">
        <f t="shared" ref="AL30" si="96">SUM(COUNTIFS(G30:AK30,"A"))</f>
        <v>4</v>
      </c>
      <c r="AM30" s="240">
        <f t="shared" ref="AM30" si="97">SUM(COUNTIFS(G30:AK30,"B"))</f>
        <v>8</v>
      </c>
      <c r="AN30" s="240">
        <f t="shared" ref="AN30" si="98">SUM(COUNTIFS(G30:AK30,"C"))</f>
        <v>7</v>
      </c>
      <c r="AO30" s="240">
        <f t="shared" ref="AO30" si="99">SUM(COUNTIFS(G30:AK30,"G"))</f>
        <v>5</v>
      </c>
      <c r="AP30" s="240">
        <f t="shared" ref="AP30" si="100">SUM(COUNTIFS(G30:AK30,"W"))</f>
        <v>4</v>
      </c>
      <c r="AQ30" s="240">
        <f t="shared" ref="AQ30" si="101">SUM(COUNTIFS(G31:AK31,"A"))+(COUNTIFS(G31:AK31,"B"))+(COUNTIFS(G31:AK31,"C"))+(COUNTIFS(G31:AK31,"G"))</f>
        <v>0</v>
      </c>
      <c r="AR30" s="242">
        <f t="shared" ref="AR30" si="102">SUM(COUNTIFS(G30:AK30,"PH"))</f>
        <v>0</v>
      </c>
      <c r="AS30" s="284">
        <f t="shared" ref="AS30" si="103">AL30+AM30+AN30+AO30+AR30+AP30+AQ30</f>
        <v>28</v>
      </c>
    </row>
    <row r="31" spans="1:45" s="193" customFormat="1" ht="18.75" x14ac:dyDescent="0.25">
      <c r="A31" s="254"/>
      <c r="B31" s="248"/>
      <c r="C31" s="252"/>
      <c r="D31" s="248"/>
      <c r="E31" s="247"/>
      <c r="F31" s="191" t="s">
        <v>237</v>
      </c>
      <c r="G31" s="290"/>
      <c r="H31" s="192"/>
      <c r="I31" s="192"/>
      <c r="J31" s="192"/>
      <c r="K31" s="192"/>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241"/>
      <c r="AM31" s="241"/>
      <c r="AN31" s="241"/>
      <c r="AO31" s="241"/>
      <c r="AP31" s="241"/>
      <c r="AQ31" s="241"/>
      <c r="AR31" s="243"/>
      <c r="AS31" s="284"/>
    </row>
    <row r="32" spans="1:45" s="193" customFormat="1" ht="18.75" x14ac:dyDescent="0.25">
      <c r="A32" s="253">
        <v>15</v>
      </c>
      <c r="B32" s="248">
        <v>2</v>
      </c>
      <c r="C32" s="251" t="s">
        <v>417</v>
      </c>
      <c r="D32" s="248">
        <v>11230</v>
      </c>
      <c r="E32" s="246" t="s">
        <v>343</v>
      </c>
      <c r="F32" s="191" t="s">
        <v>233</v>
      </c>
      <c r="G32" s="260" t="s">
        <v>387</v>
      </c>
      <c r="H32" s="192" t="s">
        <v>71</v>
      </c>
      <c r="I32" s="196" t="s">
        <v>71</v>
      </c>
      <c r="J32" s="196" t="s">
        <v>71</v>
      </c>
      <c r="K32" s="196" t="s">
        <v>74</v>
      </c>
      <c r="L32" s="196" t="s">
        <v>74</v>
      </c>
      <c r="M32" s="196" t="s">
        <v>74</v>
      </c>
      <c r="N32" s="196" t="s">
        <v>73</v>
      </c>
      <c r="O32" s="196" t="s">
        <v>234</v>
      </c>
      <c r="P32" s="196" t="s">
        <v>76</v>
      </c>
      <c r="Q32" s="196" t="s">
        <v>74</v>
      </c>
      <c r="R32" s="196" t="s">
        <v>73</v>
      </c>
      <c r="S32" s="196" t="s">
        <v>75</v>
      </c>
      <c r="T32" s="196" t="s">
        <v>75</v>
      </c>
      <c r="U32" s="196" t="s">
        <v>76</v>
      </c>
      <c r="V32" s="196" t="s">
        <v>234</v>
      </c>
      <c r="W32" s="196" t="s">
        <v>74</v>
      </c>
      <c r="X32" s="196" t="s">
        <v>76</v>
      </c>
      <c r="Y32" s="196" t="s">
        <v>75</v>
      </c>
      <c r="Z32" s="196" t="s">
        <v>75</v>
      </c>
      <c r="AA32" s="196" t="s">
        <v>75</v>
      </c>
      <c r="AB32" s="196" t="s">
        <v>75</v>
      </c>
      <c r="AC32" s="196" t="s">
        <v>74</v>
      </c>
      <c r="AD32" s="196" t="s">
        <v>74</v>
      </c>
      <c r="AE32" s="196" t="s">
        <v>75</v>
      </c>
      <c r="AF32" s="196" t="s">
        <v>75</v>
      </c>
      <c r="AG32" s="196" t="s">
        <v>75</v>
      </c>
      <c r="AH32" s="196" t="s">
        <v>75</v>
      </c>
      <c r="AI32" s="196" t="s">
        <v>73</v>
      </c>
      <c r="AJ32" s="196" t="s">
        <v>234</v>
      </c>
      <c r="AK32" s="196" t="s">
        <v>74</v>
      </c>
      <c r="AL32" s="240">
        <f t="shared" ref="AL32" si="104">SUM(COUNTIFS(G32:AK32,"A"))</f>
        <v>10</v>
      </c>
      <c r="AM32" s="240">
        <f t="shared" ref="AM32" si="105">SUM(COUNTIFS(G32:AK32,"B"))</f>
        <v>3</v>
      </c>
      <c r="AN32" s="240">
        <f t="shared" ref="AN32" si="106">SUM(COUNTIFS(G32:AK32,"C"))</f>
        <v>8</v>
      </c>
      <c r="AO32" s="240">
        <f t="shared" ref="AO32" si="107">SUM(COUNTIFS(G32:AK32,"G"))</f>
        <v>3</v>
      </c>
      <c r="AP32" s="240">
        <f t="shared" ref="AP32" si="108">SUM(COUNTIFS(G32:AK32,"W"))</f>
        <v>3</v>
      </c>
      <c r="AQ32" s="240">
        <f t="shared" ref="AQ32" si="109">SUM(COUNTIFS(G33:AK33,"A"))+(COUNTIFS(G33:AK33,"B"))+(COUNTIFS(G33:AK33,"C"))+(COUNTIFS(G33:AK33,"G"))</f>
        <v>0</v>
      </c>
      <c r="AR32" s="242">
        <f t="shared" ref="AR32" si="110">SUM(COUNTIFS(G32:AK32,"PH"))</f>
        <v>0</v>
      </c>
      <c r="AS32" s="284">
        <f t="shared" ref="AS32" si="111">AL32+AM32+AN32+AO32+AR32+AP32+AQ32</f>
        <v>27</v>
      </c>
    </row>
    <row r="33" spans="1:45" s="193" customFormat="1" ht="18.75" x14ac:dyDescent="0.25">
      <c r="A33" s="254"/>
      <c r="B33" s="248"/>
      <c r="C33" s="252"/>
      <c r="D33" s="248"/>
      <c r="E33" s="247"/>
      <c r="F33" s="191" t="s">
        <v>237</v>
      </c>
      <c r="G33" s="261"/>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241"/>
      <c r="AM33" s="241"/>
      <c r="AN33" s="241"/>
      <c r="AO33" s="241"/>
      <c r="AP33" s="241"/>
      <c r="AQ33" s="241"/>
      <c r="AR33" s="243"/>
      <c r="AS33" s="284"/>
    </row>
    <row r="34" spans="1:45" s="193" customFormat="1" ht="18.75" x14ac:dyDescent="0.25">
      <c r="A34" s="253">
        <v>16</v>
      </c>
      <c r="B34" s="248">
        <v>3</v>
      </c>
      <c r="C34" s="251" t="s">
        <v>418</v>
      </c>
      <c r="D34" s="248">
        <v>11231</v>
      </c>
      <c r="E34" s="244" t="s">
        <v>343</v>
      </c>
      <c r="F34" s="191" t="s">
        <v>233</v>
      </c>
      <c r="G34" s="260" t="s">
        <v>387</v>
      </c>
      <c r="H34" s="196" t="s">
        <v>71</v>
      </c>
      <c r="I34" s="196" t="s">
        <v>71</v>
      </c>
      <c r="J34" s="196" t="s">
        <v>75</v>
      </c>
      <c r="K34" s="196" t="s">
        <v>75</v>
      </c>
      <c r="L34" s="196" t="s">
        <v>73</v>
      </c>
      <c r="M34" s="196" t="s">
        <v>75</v>
      </c>
      <c r="N34" s="196" t="s">
        <v>74</v>
      </c>
      <c r="O34" s="196" t="s">
        <v>74</v>
      </c>
      <c r="P34" s="196" t="s">
        <v>73</v>
      </c>
      <c r="Q34" s="196" t="s">
        <v>75</v>
      </c>
      <c r="R34" s="196" t="s">
        <v>75</v>
      </c>
      <c r="S34" s="196" t="s">
        <v>75</v>
      </c>
      <c r="T34" s="196" t="s">
        <v>234</v>
      </c>
      <c r="U34" s="196" t="s">
        <v>75</v>
      </c>
      <c r="V34" s="196" t="s">
        <v>73</v>
      </c>
      <c r="W34" s="196" t="s">
        <v>73</v>
      </c>
      <c r="X34" s="196" t="s">
        <v>75</v>
      </c>
      <c r="Y34" s="196" t="s">
        <v>76</v>
      </c>
      <c r="Z34" s="196" t="s">
        <v>73</v>
      </c>
      <c r="AA34" s="196" t="s">
        <v>234</v>
      </c>
      <c r="AB34" s="196" t="s">
        <v>73</v>
      </c>
      <c r="AC34" s="196" t="s">
        <v>73</v>
      </c>
      <c r="AD34" s="196" t="s">
        <v>75</v>
      </c>
      <c r="AE34" s="196" t="s">
        <v>74</v>
      </c>
      <c r="AF34" s="196" t="s">
        <v>74</v>
      </c>
      <c r="AG34" s="196" t="s">
        <v>74</v>
      </c>
      <c r="AH34" s="196" t="s">
        <v>234</v>
      </c>
      <c r="AI34" s="196" t="s">
        <v>75</v>
      </c>
      <c r="AJ34" s="196" t="s">
        <v>75</v>
      </c>
      <c r="AK34" s="196" t="s">
        <v>75</v>
      </c>
      <c r="AL34" s="240">
        <f t="shared" ref="AL34" si="112">SUM(COUNTIFS(G34:AK34,"A"))</f>
        <v>12</v>
      </c>
      <c r="AM34" s="240">
        <f t="shared" ref="AM34" si="113">SUM(COUNTIFS(G34:AK34,"B"))</f>
        <v>7</v>
      </c>
      <c r="AN34" s="240">
        <f t="shared" ref="AN34" si="114">SUM(COUNTIFS(G34:AK34,"C"))</f>
        <v>5</v>
      </c>
      <c r="AO34" s="240">
        <f t="shared" ref="AO34" si="115">SUM(COUNTIFS(G34:AK34,"G"))</f>
        <v>2</v>
      </c>
      <c r="AP34" s="240">
        <f t="shared" ref="AP34" si="116">SUM(COUNTIFS(G34:AK34,"W"))</f>
        <v>3</v>
      </c>
      <c r="AQ34" s="240">
        <f t="shared" ref="AQ34" si="117">SUM(COUNTIFS(G35:AK35,"A"))+(COUNTIFS(G35:AK35,"B"))+(COUNTIFS(G35:AK35,"C"))+(COUNTIFS(G35:AK35,"G"))</f>
        <v>0</v>
      </c>
      <c r="AR34" s="242">
        <f t="shared" ref="AR34" si="118">SUM(COUNTIFS(G34:AK34,"PH"))</f>
        <v>0</v>
      </c>
      <c r="AS34" s="284">
        <f t="shared" ref="AS34" si="119">AL34+AM34+AN34+AO34+AR34+AP34+AQ34</f>
        <v>29</v>
      </c>
    </row>
    <row r="35" spans="1:45" s="193" customFormat="1" ht="18.75" x14ac:dyDescent="0.25">
      <c r="A35" s="254"/>
      <c r="B35" s="248"/>
      <c r="C35" s="252"/>
      <c r="D35" s="248"/>
      <c r="E35" s="245"/>
      <c r="F35" s="191" t="s">
        <v>237</v>
      </c>
      <c r="G35" s="261"/>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241"/>
      <c r="AM35" s="241"/>
      <c r="AN35" s="241"/>
      <c r="AO35" s="241"/>
      <c r="AP35" s="241"/>
      <c r="AQ35" s="241"/>
      <c r="AR35" s="243"/>
      <c r="AS35" s="284"/>
    </row>
    <row r="36" spans="1:45" s="193" customFormat="1" ht="18.75" x14ac:dyDescent="0.25">
      <c r="A36" s="253">
        <v>17</v>
      </c>
      <c r="B36" s="248">
        <v>4</v>
      </c>
      <c r="C36" s="251" t="s">
        <v>419</v>
      </c>
      <c r="D36" s="248">
        <v>11232</v>
      </c>
      <c r="E36" s="246" t="s">
        <v>343</v>
      </c>
      <c r="F36" s="191" t="s">
        <v>233</v>
      </c>
      <c r="G36" s="251" t="s">
        <v>387</v>
      </c>
      <c r="H36" s="291"/>
      <c r="I36" s="292"/>
      <c r="J36" s="192" t="s">
        <v>71</v>
      </c>
      <c r="K36" s="192" t="s">
        <v>71</v>
      </c>
      <c r="L36" s="196" t="s">
        <v>74</v>
      </c>
      <c r="M36" s="196" t="s">
        <v>73</v>
      </c>
      <c r="N36" s="196" t="s">
        <v>71</v>
      </c>
      <c r="O36" s="196" t="s">
        <v>234</v>
      </c>
      <c r="P36" s="196" t="s">
        <v>75</v>
      </c>
      <c r="Q36" s="196" t="s">
        <v>75</v>
      </c>
      <c r="R36" s="196" t="s">
        <v>73</v>
      </c>
      <c r="S36" s="196" t="s">
        <v>73</v>
      </c>
      <c r="T36" s="196" t="s">
        <v>76</v>
      </c>
      <c r="U36" s="196" t="s">
        <v>76</v>
      </c>
      <c r="V36" s="196" t="s">
        <v>76</v>
      </c>
      <c r="W36" s="196" t="s">
        <v>76</v>
      </c>
      <c r="X36" s="196" t="s">
        <v>76</v>
      </c>
      <c r="Y36" s="196" t="s">
        <v>76</v>
      </c>
      <c r="Z36" s="196" t="s">
        <v>76</v>
      </c>
      <c r="AA36" s="196" t="s">
        <v>76</v>
      </c>
      <c r="AB36" s="196" t="s">
        <v>76</v>
      </c>
      <c r="AC36" s="196" t="s">
        <v>76</v>
      </c>
      <c r="AD36" s="196" t="s">
        <v>76</v>
      </c>
      <c r="AE36" s="196" t="s">
        <v>76</v>
      </c>
      <c r="AF36" s="196" t="s">
        <v>76</v>
      </c>
      <c r="AG36" s="196" t="s">
        <v>76</v>
      </c>
      <c r="AH36" s="196" t="s">
        <v>76</v>
      </c>
      <c r="AI36" s="196" t="s">
        <v>76</v>
      </c>
      <c r="AJ36" s="196" t="s">
        <v>76</v>
      </c>
      <c r="AK36" s="196" t="s">
        <v>76</v>
      </c>
      <c r="AL36" s="240">
        <f t="shared" ref="AL36" si="120">SUM(COUNTIFS(G36:AK36,"A"))</f>
        <v>2</v>
      </c>
      <c r="AM36" s="240">
        <f t="shared" ref="AM36" si="121">SUM(COUNTIFS(G36:AK36,"B"))</f>
        <v>3</v>
      </c>
      <c r="AN36" s="240">
        <f t="shared" ref="AN36" si="122">SUM(COUNTIFS(G36:AK36,"C"))</f>
        <v>1</v>
      </c>
      <c r="AO36" s="240">
        <f t="shared" ref="AO36" si="123">SUM(COUNTIFS(G36:AK36,"G"))</f>
        <v>3</v>
      </c>
      <c r="AP36" s="240">
        <f t="shared" ref="AP36" si="124">SUM(COUNTIFS(G36:AK36,"W"))</f>
        <v>1</v>
      </c>
      <c r="AQ36" s="240">
        <f t="shared" ref="AQ36" si="125">SUM(COUNTIFS(G37:AK37,"A"))+(COUNTIFS(G37:AK37,"B"))+(COUNTIFS(G37:AK37,"C"))+(COUNTIFS(G37:AK37,"G"))</f>
        <v>0</v>
      </c>
      <c r="AR36" s="242">
        <f t="shared" ref="AR36" si="126">SUM(COUNTIFS(G36:AK36,"PH"))</f>
        <v>0</v>
      </c>
      <c r="AS36" s="284">
        <f t="shared" ref="AS36" si="127">AL36+AM36+AN36+AO36+AR36+AP36+AQ36</f>
        <v>10</v>
      </c>
    </row>
    <row r="37" spans="1:45" s="193" customFormat="1" ht="18.75" x14ac:dyDescent="0.25">
      <c r="A37" s="254"/>
      <c r="B37" s="248"/>
      <c r="C37" s="252"/>
      <c r="D37" s="248"/>
      <c r="E37" s="247"/>
      <c r="F37" s="191" t="s">
        <v>237</v>
      </c>
      <c r="G37" s="252"/>
      <c r="H37" s="293"/>
      <c r="I37" s="294"/>
      <c r="J37" s="192"/>
      <c r="K37" s="192"/>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241"/>
      <c r="AM37" s="241"/>
      <c r="AN37" s="241"/>
      <c r="AO37" s="241"/>
      <c r="AP37" s="241"/>
      <c r="AQ37" s="241"/>
      <c r="AR37" s="243"/>
      <c r="AS37" s="284"/>
    </row>
    <row r="38" spans="1:45" s="193" customFormat="1" ht="18.75" x14ac:dyDescent="0.25">
      <c r="A38" s="253">
        <v>18</v>
      </c>
      <c r="B38" s="248">
        <v>5</v>
      </c>
      <c r="C38" s="251" t="s">
        <v>420</v>
      </c>
      <c r="D38" s="248">
        <v>11233</v>
      </c>
      <c r="E38" s="246" t="s">
        <v>343</v>
      </c>
      <c r="F38" s="191" t="s">
        <v>233</v>
      </c>
      <c r="G38" s="295" t="s">
        <v>387</v>
      </c>
      <c r="H38" s="296"/>
      <c r="I38" s="297"/>
      <c r="J38" s="196" t="s">
        <v>71</v>
      </c>
      <c r="K38" s="196" t="s">
        <v>71</v>
      </c>
      <c r="L38" s="196" t="s">
        <v>71</v>
      </c>
      <c r="M38" s="196" t="s">
        <v>71</v>
      </c>
      <c r="N38" s="196" t="s">
        <v>74</v>
      </c>
      <c r="O38" s="196" t="s">
        <v>73</v>
      </c>
      <c r="P38" s="196" t="s">
        <v>75</v>
      </c>
      <c r="Q38" s="196" t="s">
        <v>71</v>
      </c>
      <c r="R38" s="196" t="s">
        <v>71</v>
      </c>
      <c r="S38" s="196" t="s">
        <v>73</v>
      </c>
      <c r="T38" s="196" t="s">
        <v>74</v>
      </c>
      <c r="U38" s="196" t="s">
        <v>74</v>
      </c>
      <c r="V38" s="196" t="s">
        <v>234</v>
      </c>
      <c r="W38" s="196" t="s">
        <v>71</v>
      </c>
      <c r="X38" s="196" t="s">
        <v>71</v>
      </c>
      <c r="Y38" s="196" t="s">
        <v>71</v>
      </c>
      <c r="Z38" s="196" t="s">
        <v>71</v>
      </c>
      <c r="AA38" s="196" t="s">
        <v>73</v>
      </c>
      <c r="AB38" s="196" t="s">
        <v>74</v>
      </c>
      <c r="AC38" s="196" t="s">
        <v>234</v>
      </c>
      <c r="AD38" s="196" t="s">
        <v>73</v>
      </c>
      <c r="AE38" s="196" t="s">
        <v>73</v>
      </c>
      <c r="AF38" s="196" t="s">
        <v>75</v>
      </c>
      <c r="AG38" s="196" t="s">
        <v>75</v>
      </c>
      <c r="AH38" s="196" t="s">
        <v>74</v>
      </c>
      <c r="AI38" s="196" t="s">
        <v>73</v>
      </c>
      <c r="AJ38" s="196" t="s">
        <v>234</v>
      </c>
      <c r="AK38" s="196" t="s">
        <v>73</v>
      </c>
      <c r="AL38" s="240">
        <f t="shared" ref="AL38" si="128">SUM(COUNTIFS(G38:AK38,"A"))</f>
        <v>3</v>
      </c>
      <c r="AM38" s="240">
        <f t="shared" ref="AM38" si="129">SUM(COUNTIFS(G38:AK38,"B"))</f>
        <v>7</v>
      </c>
      <c r="AN38" s="240">
        <f t="shared" ref="AN38" si="130">SUM(COUNTIFS(G38:AK38,"C"))</f>
        <v>5</v>
      </c>
      <c r="AO38" s="240">
        <f t="shared" ref="AO38" si="131">SUM(COUNTIFS(G38:AK38,"G"))</f>
        <v>10</v>
      </c>
      <c r="AP38" s="240">
        <f t="shared" ref="AP38" si="132">SUM(COUNTIFS(G38:AK38,"W"))</f>
        <v>3</v>
      </c>
      <c r="AQ38" s="240">
        <f t="shared" ref="AQ38" si="133">SUM(COUNTIFS(G39:AK39,"A"))+(COUNTIFS(G39:AK39,"B"))+(COUNTIFS(G39:AK39,"C"))+(COUNTIFS(G39:AK39,"G"))</f>
        <v>0</v>
      </c>
      <c r="AR38" s="242">
        <f t="shared" ref="AR38" si="134">SUM(COUNTIFS(G38:AK38,"PH"))</f>
        <v>0</v>
      </c>
      <c r="AS38" s="284">
        <f t="shared" ref="AS38" si="135">AL38+AM38+AN38+AO38+AR38+AP38+AQ38</f>
        <v>28</v>
      </c>
    </row>
    <row r="39" spans="1:45" s="193" customFormat="1" ht="18.75" x14ac:dyDescent="0.25">
      <c r="A39" s="254"/>
      <c r="B39" s="248"/>
      <c r="C39" s="252"/>
      <c r="D39" s="248"/>
      <c r="E39" s="247"/>
      <c r="F39" s="191" t="s">
        <v>237</v>
      </c>
      <c r="G39" s="298"/>
      <c r="H39" s="299"/>
      <c r="I39" s="300"/>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241"/>
      <c r="AM39" s="241"/>
      <c r="AN39" s="241"/>
      <c r="AO39" s="241"/>
      <c r="AP39" s="241"/>
      <c r="AQ39" s="241"/>
      <c r="AR39" s="243"/>
      <c r="AS39" s="284"/>
    </row>
    <row r="40" spans="1:45" s="193" customFormat="1" ht="18.75" x14ac:dyDescent="0.25">
      <c r="A40" s="253">
        <v>19</v>
      </c>
      <c r="B40" s="248">
        <v>6</v>
      </c>
      <c r="C40" s="251" t="s">
        <v>421</v>
      </c>
      <c r="D40" s="248">
        <v>11237</v>
      </c>
      <c r="E40" s="244" t="s">
        <v>343</v>
      </c>
      <c r="F40" s="191" t="s">
        <v>233</v>
      </c>
      <c r="G40" s="295" t="s">
        <v>387</v>
      </c>
      <c r="H40" s="296"/>
      <c r="I40" s="296"/>
      <c r="J40" s="296"/>
      <c r="K40" s="296"/>
      <c r="L40" s="297"/>
      <c r="M40" s="196" t="s">
        <v>71</v>
      </c>
      <c r="N40" s="196" t="s">
        <v>71</v>
      </c>
      <c r="O40" s="196" t="s">
        <v>71</v>
      </c>
      <c r="P40" s="196" t="s">
        <v>71</v>
      </c>
      <c r="Q40" s="196" t="s">
        <v>75</v>
      </c>
      <c r="R40" s="196" t="s">
        <v>71</v>
      </c>
      <c r="S40" s="196" t="s">
        <v>71</v>
      </c>
      <c r="T40" s="196" t="s">
        <v>71</v>
      </c>
      <c r="U40" s="196" t="s">
        <v>75</v>
      </c>
      <c r="V40" s="196" t="s">
        <v>74</v>
      </c>
      <c r="W40" s="196" t="s">
        <v>234</v>
      </c>
      <c r="X40" s="196" t="s">
        <v>73</v>
      </c>
      <c r="Y40" s="196" t="s">
        <v>73</v>
      </c>
      <c r="Z40" s="196" t="s">
        <v>76</v>
      </c>
      <c r="AA40" s="196" t="s">
        <v>76</v>
      </c>
      <c r="AB40" s="196" t="s">
        <v>74</v>
      </c>
      <c r="AC40" s="196" t="s">
        <v>74</v>
      </c>
      <c r="AD40" s="196" t="s">
        <v>234</v>
      </c>
      <c r="AE40" s="196" t="s">
        <v>75</v>
      </c>
      <c r="AF40" s="196" t="s">
        <v>71</v>
      </c>
      <c r="AG40" s="196" t="s">
        <v>71</v>
      </c>
      <c r="AH40" s="196" t="s">
        <v>75</v>
      </c>
      <c r="AI40" s="196" t="s">
        <v>74</v>
      </c>
      <c r="AJ40" s="196" t="s">
        <v>74</v>
      </c>
      <c r="AK40" s="196" t="s">
        <v>234</v>
      </c>
      <c r="AL40" s="240">
        <f t="shared" ref="AL40" si="136">SUM(COUNTIFS(G40:AK40,"A"))</f>
        <v>4</v>
      </c>
      <c r="AM40" s="240">
        <f t="shared" ref="AM40" si="137">SUM(COUNTIFS(G40:AK40,"B"))</f>
        <v>2</v>
      </c>
      <c r="AN40" s="240">
        <f t="shared" ref="AN40" si="138">SUM(COUNTIFS(G40:AK40,"C"))</f>
        <v>5</v>
      </c>
      <c r="AO40" s="240">
        <f t="shared" ref="AO40" si="139">SUM(COUNTIFS(G40:AK40,"G"))</f>
        <v>9</v>
      </c>
      <c r="AP40" s="240">
        <f t="shared" ref="AP40" si="140">SUM(COUNTIFS(G40:AK40,"W"))</f>
        <v>3</v>
      </c>
      <c r="AQ40" s="240">
        <f t="shared" ref="AQ40" si="141">SUM(COUNTIFS(G41:AK41,"A"))+(COUNTIFS(G41:AK41,"B"))+(COUNTIFS(G41:AK41,"C"))+(COUNTIFS(G41:AK41,"G"))</f>
        <v>0</v>
      </c>
      <c r="AR40" s="242">
        <f t="shared" ref="AR40" si="142">SUM(COUNTIFS(G40:AK40,"PH"))</f>
        <v>0</v>
      </c>
      <c r="AS40" s="284">
        <f t="shared" ref="AS40" si="143">AL40+AM40+AN40+AO40+AR40+AP40+AQ40</f>
        <v>23</v>
      </c>
    </row>
    <row r="41" spans="1:45" s="193" customFormat="1" ht="18.75" x14ac:dyDescent="0.25">
      <c r="A41" s="254"/>
      <c r="B41" s="248"/>
      <c r="C41" s="252"/>
      <c r="D41" s="248"/>
      <c r="E41" s="245"/>
      <c r="F41" s="191" t="s">
        <v>237</v>
      </c>
      <c r="G41" s="298"/>
      <c r="H41" s="299"/>
      <c r="I41" s="299"/>
      <c r="J41" s="299"/>
      <c r="K41" s="299"/>
      <c r="L41" s="300"/>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241"/>
      <c r="AM41" s="241"/>
      <c r="AN41" s="241"/>
      <c r="AO41" s="241"/>
      <c r="AP41" s="241"/>
      <c r="AQ41" s="241"/>
      <c r="AR41" s="243"/>
      <c r="AS41" s="284"/>
    </row>
    <row r="42" spans="1:45" s="193" customFormat="1" ht="18.75" x14ac:dyDescent="0.25">
      <c r="A42" s="253">
        <v>20</v>
      </c>
      <c r="B42" s="248">
        <v>7</v>
      </c>
      <c r="C42" s="251" t="s">
        <v>422</v>
      </c>
      <c r="D42" s="248">
        <v>11238</v>
      </c>
      <c r="E42" s="244" t="s">
        <v>343</v>
      </c>
      <c r="F42" s="191" t="s">
        <v>233</v>
      </c>
      <c r="G42" s="295" t="s">
        <v>387</v>
      </c>
      <c r="H42" s="296"/>
      <c r="I42" s="296"/>
      <c r="J42" s="296"/>
      <c r="K42" s="296"/>
      <c r="L42" s="297"/>
      <c r="M42" s="196" t="s">
        <v>71</v>
      </c>
      <c r="N42" s="196" t="s">
        <v>71</v>
      </c>
      <c r="O42" s="196" t="s">
        <v>71</v>
      </c>
      <c r="P42" s="196" t="s">
        <v>71</v>
      </c>
      <c r="Q42" s="196" t="s">
        <v>71</v>
      </c>
      <c r="R42" s="196" t="s">
        <v>71</v>
      </c>
      <c r="S42" s="196" t="s">
        <v>76</v>
      </c>
      <c r="T42" s="196" t="s">
        <v>234</v>
      </c>
      <c r="U42" s="196" t="s">
        <v>71</v>
      </c>
      <c r="V42" s="196" t="s">
        <v>71</v>
      </c>
      <c r="W42" s="196" t="s">
        <v>71</v>
      </c>
      <c r="X42" s="196" t="s">
        <v>71</v>
      </c>
      <c r="Y42" s="196" t="s">
        <v>71</v>
      </c>
      <c r="Z42" s="196" t="s">
        <v>74</v>
      </c>
      <c r="AA42" s="196" t="s">
        <v>234</v>
      </c>
      <c r="AB42" s="196" t="s">
        <v>71</v>
      </c>
      <c r="AC42" s="196" t="s">
        <v>71</v>
      </c>
      <c r="AD42" s="196" t="s">
        <v>71</v>
      </c>
      <c r="AE42" s="196" t="s">
        <v>75</v>
      </c>
      <c r="AF42" s="196" t="s">
        <v>74</v>
      </c>
      <c r="AG42" s="196" t="s">
        <v>74</v>
      </c>
      <c r="AH42" s="196" t="s">
        <v>234</v>
      </c>
      <c r="AI42" s="196" t="s">
        <v>71</v>
      </c>
      <c r="AJ42" s="196" t="s">
        <v>71</v>
      </c>
      <c r="AK42" s="196" t="s">
        <v>73</v>
      </c>
      <c r="AL42" s="240">
        <f t="shared" ref="AL42" si="144">SUM(COUNTIFS(G42:AK42,"A"))</f>
        <v>1</v>
      </c>
      <c r="AM42" s="240">
        <f t="shared" ref="AM42" si="145">SUM(COUNTIFS(G42:AK42,"B"))</f>
        <v>1</v>
      </c>
      <c r="AN42" s="240">
        <f t="shared" ref="AN42" si="146">SUM(COUNTIFS(G42:AK42,"C"))</f>
        <v>3</v>
      </c>
      <c r="AO42" s="240">
        <f t="shared" ref="AO42" si="147">SUM(COUNTIFS(G42:AK42,"G"))</f>
        <v>16</v>
      </c>
      <c r="AP42" s="240">
        <f t="shared" ref="AP42" si="148">SUM(COUNTIFS(G42:AK42,"W"))</f>
        <v>3</v>
      </c>
      <c r="AQ42" s="240">
        <f t="shared" ref="AQ42" si="149">SUM(COUNTIFS(G43:AK43,"A"))+(COUNTIFS(G43:AK43,"B"))+(COUNTIFS(G43:AK43,"C"))+(COUNTIFS(G43:AK43,"G"))</f>
        <v>0</v>
      </c>
      <c r="AR42" s="242">
        <f t="shared" ref="AR42" si="150">SUM(COUNTIFS(G42:AK42,"PH"))</f>
        <v>0</v>
      </c>
      <c r="AS42" s="284">
        <f t="shared" ref="AS42" si="151">AL42+AM42+AN42+AO42+AR42+AP42+AQ42</f>
        <v>24</v>
      </c>
    </row>
    <row r="43" spans="1:45" s="193" customFormat="1" ht="18.75" x14ac:dyDescent="0.25">
      <c r="A43" s="254"/>
      <c r="B43" s="248"/>
      <c r="C43" s="252"/>
      <c r="D43" s="248"/>
      <c r="E43" s="245"/>
      <c r="F43" s="191" t="s">
        <v>237</v>
      </c>
      <c r="G43" s="298"/>
      <c r="H43" s="299"/>
      <c r="I43" s="299"/>
      <c r="J43" s="299"/>
      <c r="K43" s="299"/>
      <c r="L43" s="300"/>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241"/>
      <c r="AM43" s="241"/>
      <c r="AN43" s="241"/>
      <c r="AO43" s="241"/>
      <c r="AP43" s="241"/>
      <c r="AQ43" s="241"/>
      <c r="AR43" s="243"/>
      <c r="AS43" s="284"/>
    </row>
    <row r="44" spans="1:45" s="193" customFormat="1" ht="18.75" x14ac:dyDescent="0.25">
      <c r="A44" s="253">
        <v>21</v>
      </c>
      <c r="B44" s="248">
        <v>11958</v>
      </c>
      <c r="C44" s="255" t="s">
        <v>423</v>
      </c>
      <c r="D44" s="248">
        <v>11224</v>
      </c>
      <c r="E44" s="246" t="s">
        <v>343</v>
      </c>
      <c r="F44" s="191" t="s">
        <v>233</v>
      </c>
      <c r="G44" s="192" t="s">
        <v>76</v>
      </c>
      <c r="H44" s="192" t="s">
        <v>76</v>
      </c>
      <c r="I44" s="192" t="s">
        <v>76</v>
      </c>
      <c r="J44" s="192" t="s">
        <v>76</v>
      </c>
      <c r="K44" s="192" t="s">
        <v>76</v>
      </c>
      <c r="L44" s="192" t="s">
        <v>76</v>
      </c>
      <c r="M44" s="192" t="s">
        <v>76</v>
      </c>
      <c r="N44" s="192" t="s">
        <v>76</v>
      </c>
      <c r="O44" s="196" t="s">
        <v>74</v>
      </c>
      <c r="P44" s="196" t="s">
        <v>74</v>
      </c>
      <c r="Q44" s="196" t="s">
        <v>73</v>
      </c>
      <c r="R44" s="196" t="s">
        <v>75</v>
      </c>
      <c r="S44" s="196" t="s">
        <v>234</v>
      </c>
      <c r="T44" s="196" t="s">
        <v>73</v>
      </c>
      <c r="U44" s="196" t="s">
        <v>76</v>
      </c>
      <c r="V44" s="196" t="s">
        <v>76</v>
      </c>
      <c r="W44" s="196" t="s">
        <v>76</v>
      </c>
      <c r="X44" s="196" t="s">
        <v>76</v>
      </c>
      <c r="Y44" s="196" t="s">
        <v>76</v>
      </c>
      <c r="Z44" s="196" t="s">
        <v>76</v>
      </c>
      <c r="AA44" s="196" t="s">
        <v>76</v>
      </c>
      <c r="AB44" s="196" t="s">
        <v>76</v>
      </c>
      <c r="AC44" s="196" t="s">
        <v>76</v>
      </c>
      <c r="AD44" s="196" t="s">
        <v>76</v>
      </c>
      <c r="AE44" s="196" t="s">
        <v>76</v>
      </c>
      <c r="AF44" s="196" t="s">
        <v>76</v>
      </c>
      <c r="AG44" s="196" t="s">
        <v>76</v>
      </c>
      <c r="AH44" s="196" t="s">
        <v>76</v>
      </c>
      <c r="AI44" s="196" t="s">
        <v>76</v>
      </c>
      <c r="AJ44" s="196" t="s">
        <v>76</v>
      </c>
      <c r="AK44" s="196" t="s">
        <v>76</v>
      </c>
      <c r="AL44" s="240">
        <f>SUM(COUNTIFS(G44:AK44,"A"))</f>
        <v>1</v>
      </c>
      <c r="AM44" s="240">
        <f>SUM(COUNTIFS(G44:AK44,"B"))</f>
        <v>2</v>
      </c>
      <c r="AN44" s="240">
        <f>SUM(COUNTIFS(G44:AK44,"C"))</f>
        <v>2</v>
      </c>
      <c r="AO44" s="240">
        <f>SUM(COUNTIFS(G44:AK44,"G"))</f>
        <v>0</v>
      </c>
      <c r="AP44" s="240">
        <f>SUM(COUNTIFS(G44:AK44,"W"))</f>
        <v>1</v>
      </c>
      <c r="AQ44" s="240">
        <f>SUM(COUNTIFS(G45:AK45,"A"))+(COUNTIFS(G45:AK45,"B"))+(COUNTIFS(G45:AK45,"C"))+(COUNTIFS(G45:AK45,"G"))</f>
        <v>0</v>
      </c>
      <c r="AR44" s="242">
        <f>SUM(COUNTIFS(G44:AK44,"PH"))</f>
        <v>0</v>
      </c>
      <c r="AS44" s="284">
        <f>AL44+AM44+AN44+AO44+AR44+AP44+AQ44</f>
        <v>6</v>
      </c>
    </row>
    <row r="45" spans="1:45" s="193" customFormat="1" ht="18.75" x14ac:dyDescent="0.25">
      <c r="A45" s="254"/>
      <c r="B45" s="248"/>
      <c r="C45" s="256"/>
      <c r="D45" s="248"/>
      <c r="E45" s="247"/>
      <c r="F45" s="191" t="s">
        <v>237</v>
      </c>
      <c r="G45" s="192"/>
      <c r="H45" s="192"/>
      <c r="I45" s="192"/>
      <c r="J45" s="192"/>
      <c r="K45" s="192"/>
      <c r="L45" s="192"/>
      <c r="M45" s="192"/>
      <c r="N45" s="192"/>
      <c r="O45" s="192"/>
      <c r="P45" s="196"/>
      <c r="Q45" s="196"/>
      <c r="R45" s="196"/>
      <c r="S45" s="196"/>
      <c r="T45" s="196"/>
      <c r="U45" s="196"/>
      <c r="V45" s="196"/>
      <c r="W45" s="196"/>
      <c r="X45" s="196"/>
      <c r="Y45" s="196"/>
      <c r="Z45" s="196"/>
      <c r="AA45" s="196"/>
      <c r="AB45" s="196"/>
      <c r="AC45" s="196"/>
      <c r="AD45" s="196"/>
      <c r="AE45" s="196"/>
      <c r="AF45" s="196"/>
      <c r="AG45" s="196"/>
      <c r="AH45" s="196"/>
      <c r="AI45" s="196"/>
      <c r="AJ45" s="196"/>
      <c r="AK45" s="191"/>
      <c r="AL45" s="241"/>
      <c r="AM45" s="241"/>
      <c r="AN45" s="241"/>
      <c r="AO45" s="241"/>
      <c r="AP45" s="241"/>
      <c r="AQ45" s="241"/>
      <c r="AR45" s="243"/>
      <c r="AS45" s="284"/>
    </row>
    <row r="46" spans="1:45" s="193" customFormat="1" ht="18.75" x14ac:dyDescent="0.25">
      <c r="A46" s="253">
        <v>22</v>
      </c>
      <c r="B46" s="246">
        <v>8</v>
      </c>
      <c r="C46" s="249" t="s">
        <v>424</v>
      </c>
      <c r="D46" s="246">
        <v>11239</v>
      </c>
      <c r="E46" s="246" t="s">
        <v>343</v>
      </c>
      <c r="F46" s="191" t="s">
        <v>233</v>
      </c>
      <c r="G46" s="251" t="s">
        <v>387</v>
      </c>
      <c r="H46" s="291"/>
      <c r="I46" s="291"/>
      <c r="J46" s="291"/>
      <c r="K46" s="291"/>
      <c r="L46" s="291"/>
      <c r="M46" s="291"/>
      <c r="N46" s="291"/>
      <c r="O46" s="291"/>
      <c r="P46" s="291"/>
      <c r="Q46" s="291"/>
      <c r="R46" s="291"/>
      <c r="S46" s="291"/>
      <c r="T46" s="291"/>
      <c r="U46" s="291"/>
      <c r="V46" s="291"/>
      <c r="W46" s="291"/>
      <c r="X46" s="291"/>
      <c r="Y46" s="291"/>
      <c r="Z46" s="292"/>
      <c r="AA46" s="196" t="s">
        <v>71</v>
      </c>
      <c r="AB46" s="196" t="s">
        <v>71</v>
      </c>
      <c r="AC46" s="196" t="s">
        <v>71</v>
      </c>
      <c r="AD46" s="196" t="s">
        <v>71</v>
      </c>
      <c r="AE46" s="196" t="s">
        <v>71</v>
      </c>
      <c r="AF46" s="196" t="s">
        <v>76</v>
      </c>
      <c r="AG46" s="196" t="s">
        <v>71</v>
      </c>
      <c r="AH46" s="196" t="s">
        <v>71</v>
      </c>
      <c r="AI46" s="196" t="s">
        <v>71</v>
      </c>
      <c r="AJ46" s="196" t="s">
        <v>71</v>
      </c>
      <c r="AK46" s="191" t="s">
        <v>71</v>
      </c>
      <c r="AL46" s="240">
        <f t="shared" ref="AL46" si="152">SUM(COUNTIFS(G46:AK46,"A"))</f>
        <v>0</v>
      </c>
      <c r="AM46" s="240">
        <f t="shared" ref="AM46" si="153">SUM(COUNTIFS(G46:AK46,"B"))</f>
        <v>0</v>
      </c>
      <c r="AN46" s="240">
        <f t="shared" ref="AN46" si="154">SUM(COUNTIFS(G46:AK46,"C"))</f>
        <v>0</v>
      </c>
      <c r="AO46" s="240">
        <f t="shared" ref="AO46" si="155">SUM(COUNTIFS(G46:AK46,"G"))</f>
        <v>10</v>
      </c>
      <c r="AP46" s="240">
        <f t="shared" ref="AP46" si="156">SUM(COUNTIFS(G46:AK46,"W"))</f>
        <v>0</v>
      </c>
      <c r="AQ46" s="240">
        <f t="shared" ref="AQ46" si="157">SUM(COUNTIFS(G47:AK47,"A"))+(COUNTIFS(G47:AK47,"B"))+(COUNTIFS(G47:AK47,"C"))+(COUNTIFS(G47:AK47,"G"))</f>
        <v>0</v>
      </c>
      <c r="AR46" s="242">
        <f t="shared" ref="AR46" si="158">SUM(COUNTIFS(G46:AK46,"PH"))</f>
        <v>0</v>
      </c>
      <c r="AS46" s="284">
        <f t="shared" ref="AS46" si="159">AL46+AM46+AN46+AO46+AR46+AP46+AQ46</f>
        <v>10</v>
      </c>
    </row>
    <row r="47" spans="1:45" s="193" customFormat="1" ht="18.75" x14ac:dyDescent="0.25">
      <c r="A47" s="254"/>
      <c r="B47" s="247"/>
      <c r="C47" s="250"/>
      <c r="D47" s="247"/>
      <c r="E47" s="247"/>
      <c r="F47" s="191" t="s">
        <v>237</v>
      </c>
      <c r="G47" s="252"/>
      <c r="H47" s="293"/>
      <c r="I47" s="293"/>
      <c r="J47" s="293"/>
      <c r="K47" s="293"/>
      <c r="L47" s="293"/>
      <c r="M47" s="293"/>
      <c r="N47" s="293"/>
      <c r="O47" s="293"/>
      <c r="P47" s="293"/>
      <c r="Q47" s="293"/>
      <c r="R47" s="293"/>
      <c r="S47" s="293"/>
      <c r="T47" s="293"/>
      <c r="U47" s="293"/>
      <c r="V47" s="293"/>
      <c r="W47" s="293"/>
      <c r="X47" s="293"/>
      <c r="Y47" s="293"/>
      <c r="Z47" s="294"/>
      <c r="AA47" s="196"/>
      <c r="AB47" s="196"/>
      <c r="AC47" s="196"/>
      <c r="AD47" s="196"/>
      <c r="AE47" s="196"/>
      <c r="AF47" s="196"/>
      <c r="AG47" s="196"/>
      <c r="AH47" s="196"/>
      <c r="AI47" s="196"/>
      <c r="AJ47" s="196"/>
      <c r="AK47" s="191"/>
      <c r="AL47" s="241"/>
      <c r="AM47" s="241"/>
      <c r="AN47" s="241"/>
      <c r="AO47" s="241"/>
      <c r="AP47" s="241"/>
      <c r="AQ47" s="241"/>
      <c r="AR47" s="243"/>
      <c r="AS47" s="284"/>
    </row>
    <row r="48" spans="1:45" s="193" customFormat="1" ht="18.75" x14ac:dyDescent="0.25">
      <c r="A48" s="253">
        <v>23</v>
      </c>
      <c r="B48" s="246">
        <v>10991</v>
      </c>
      <c r="C48" s="246" t="s">
        <v>47</v>
      </c>
      <c r="D48" s="246">
        <v>10338</v>
      </c>
      <c r="E48" s="259" t="s">
        <v>48</v>
      </c>
      <c r="F48" s="191" t="s">
        <v>233</v>
      </c>
      <c r="G48" s="192" t="s">
        <v>234</v>
      </c>
      <c r="H48" s="192" t="s">
        <v>75</v>
      </c>
      <c r="I48" s="192" t="s">
        <v>75</v>
      </c>
      <c r="J48" s="192" t="s">
        <v>71</v>
      </c>
      <c r="K48" s="192" t="s">
        <v>75</v>
      </c>
      <c r="L48" s="192" t="s">
        <v>74</v>
      </c>
      <c r="M48" s="192" t="s">
        <v>74</v>
      </c>
      <c r="N48" s="192" t="s">
        <v>234</v>
      </c>
      <c r="O48" s="192" t="s">
        <v>75</v>
      </c>
      <c r="P48" s="192" t="s">
        <v>75</v>
      </c>
      <c r="Q48" s="192" t="s">
        <v>71</v>
      </c>
      <c r="R48" s="192" t="s">
        <v>73</v>
      </c>
      <c r="S48" s="192" t="s">
        <v>74</v>
      </c>
      <c r="T48" s="192" t="s">
        <v>74</v>
      </c>
      <c r="U48" s="192" t="s">
        <v>234</v>
      </c>
      <c r="V48" s="192" t="s">
        <v>75</v>
      </c>
      <c r="W48" s="192" t="s">
        <v>75</v>
      </c>
      <c r="X48" s="196" t="s">
        <v>71</v>
      </c>
      <c r="Y48" s="192" t="s">
        <v>73</v>
      </c>
      <c r="Z48" s="192" t="s">
        <v>74</v>
      </c>
      <c r="AA48" s="192" t="s">
        <v>74</v>
      </c>
      <c r="AB48" s="192" t="s">
        <v>234</v>
      </c>
      <c r="AC48" s="192" t="s">
        <v>75</v>
      </c>
      <c r="AD48" s="192" t="s">
        <v>75</v>
      </c>
      <c r="AE48" s="196" t="s">
        <v>71</v>
      </c>
      <c r="AF48" s="196" t="s">
        <v>73</v>
      </c>
      <c r="AG48" s="196" t="s">
        <v>74</v>
      </c>
      <c r="AH48" s="196" t="s">
        <v>74</v>
      </c>
      <c r="AI48" s="192" t="s">
        <v>234</v>
      </c>
      <c r="AJ48" s="192" t="s">
        <v>75</v>
      </c>
      <c r="AK48" s="192" t="s">
        <v>75</v>
      </c>
      <c r="AL48" s="240">
        <f t="shared" ref="AL48" si="160">SUM(COUNTIFS(G48:AK48,"A"))</f>
        <v>11</v>
      </c>
      <c r="AM48" s="240">
        <f t="shared" ref="AM48" si="161">SUM(COUNTIFS(G48:AK48,"B"))</f>
        <v>3</v>
      </c>
      <c r="AN48" s="240">
        <f t="shared" ref="AN48" si="162">SUM(COUNTIFS(G48:AK48,"C"))</f>
        <v>8</v>
      </c>
      <c r="AO48" s="240">
        <f t="shared" ref="AO48" si="163">SUM(COUNTIFS(G48:AK48,"G"))</f>
        <v>4</v>
      </c>
      <c r="AP48" s="240">
        <f t="shared" ref="AP48" si="164">SUM(COUNTIFS(G48:AK48,"W"))</f>
        <v>5</v>
      </c>
      <c r="AQ48" s="240">
        <f t="shared" ref="AQ48" si="165">SUM(COUNTIFS(G49:AK49,"A"))+(COUNTIFS(G49:AK49,"B"))+(COUNTIFS(G49:AK49,"C"))+(COUNTIFS(G49:AK49,"G"))</f>
        <v>0</v>
      </c>
      <c r="AR48" s="242">
        <f t="shared" ref="AR48" si="166">SUM(COUNTIFS(G48:AK48,"PH"))</f>
        <v>0</v>
      </c>
      <c r="AS48" s="284">
        <f t="shared" ref="AS48" si="167">AL48+AM48+AN48+AO48+AR48+AP48+AQ48</f>
        <v>31</v>
      </c>
    </row>
    <row r="49" spans="1:45" s="193" customFormat="1" ht="18.75" x14ac:dyDescent="0.25">
      <c r="A49" s="254"/>
      <c r="B49" s="247"/>
      <c r="C49" s="247"/>
      <c r="D49" s="247"/>
      <c r="E49" s="259"/>
      <c r="F49" s="191" t="s">
        <v>237</v>
      </c>
      <c r="G49" s="192"/>
      <c r="H49" s="192"/>
      <c r="I49" s="191"/>
      <c r="J49" s="191"/>
      <c r="K49" s="191"/>
      <c r="L49" s="191"/>
      <c r="M49" s="191"/>
      <c r="N49" s="191"/>
      <c r="O49" s="191"/>
      <c r="P49" s="191"/>
      <c r="Q49" s="191"/>
      <c r="R49" s="191"/>
      <c r="S49" s="192"/>
      <c r="T49" s="191"/>
      <c r="U49" s="191"/>
      <c r="V49" s="191"/>
      <c r="W49" s="191"/>
      <c r="X49" s="191"/>
      <c r="Y49" s="191"/>
      <c r="Z49" s="191"/>
      <c r="AA49" s="191"/>
      <c r="AB49" s="191"/>
      <c r="AC49" s="191"/>
      <c r="AD49" s="191"/>
      <c r="AE49" s="191"/>
      <c r="AF49" s="191"/>
      <c r="AG49" s="191"/>
      <c r="AH49" s="191"/>
      <c r="AI49" s="191"/>
      <c r="AJ49" s="191"/>
      <c r="AK49" s="191"/>
      <c r="AL49" s="241"/>
      <c r="AM49" s="241"/>
      <c r="AN49" s="241"/>
      <c r="AO49" s="241"/>
      <c r="AP49" s="241"/>
      <c r="AQ49" s="241"/>
      <c r="AR49" s="243"/>
      <c r="AS49" s="284"/>
    </row>
    <row r="50" spans="1:45" s="193" customFormat="1" ht="18.75" x14ac:dyDescent="0.25">
      <c r="A50" s="253">
        <v>24</v>
      </c>
      <c r="B50" s="257">
        <v>11476</v>
      </c>
      <c r="C50" s="246" t="s">
        <v>337</v>
      </c>
      <c r="D50" s="246">
        <v>11166</v>
      </c>
      <c r="E50" s="259" t="s">
        <v>48</v>
      </c>
      <c r="F50" s="191" t="s">
        <v>233</v>
      </c>
      <c r="G50" s="192" t="s">
        <v>76</v>
      </c>
      <c r="H50" s="192" t="s">
        <v>76</v>
      </c>
      <c r="I50" s="192" t="s">
        <v>76</v>
      </c>
      <c r="J50" s="192" t="s">
        <v>76</v>
      </c>
      <c r="K50" s="192" t="s">
        <v>76</v>
      </c>
      <c r="L50" s="192" t="s">
        <v>76</v>
      </c>
      <c r="M50" s="192" t="s">
        <v>76</v>
      </c>
      <c r="N50" s="192" t="s">
        <v>76</v>
      </c>
      <c r="O50" s="191" t="s">
        <v>73</v>
      </c>
      <c r="P50" s="191" t="s">
        <v>74</v>
      </c>
      <c r="Q50" s="191" t="s">
        <v>73</v>
      </c>
      <c r="R50" s="191" t="s">
        <v>234</v>
      </c>
      <c r="S50" s="192" t="s">
        <v>75</v>
      </c>
      <c r="T50" s="191" t="s">
        <v>75</v>
      </c>
      <c r="U50" s="191" t="s">
        <v>73</v>
      </c>
      <c r="V50" s="191" t="s">
        <v>73</v>
      </c>
      <c r="W50" s="191" t="s">
        <v>73</v>
      </c>
      <c r="X50" s="191" t="s">
        <v>73</v>
      </c>
      <c r="Y50" s="191" t="s">
        <v>234</v>
      </c>
      <c r="Z50" s="191" t="s">
        <v>75</v>
      </c>
      <c r="AA50" s="191" t="s">
        <v>75</v>
      </c>
      <c r="AB50" s="191" t="s">
        <v>73</v>
      </c>
      <c r="AC50" s="191" t="s">
        <v>73</v>
      </c>
      <c r="AD50" s="191" t="s">
        <v>74</v>
      </c>
      <c r="AE50" s="191" t="s">
        <v>73</v>
      </c>
      <c r="AF50" s="191" t="s">
        <v>234</v>
      </c>
      <c r="AG50" s="191" t="s">
        <v>75</v>
      </c>
      <c r="AH50" s="191" t="s">
        <v>73</v>
      </c>
      <c r="AI50" s="191" t="s">
        <v>73</v>
      </c>
      <c r="AJ50" s="191" t="s">
        <v>73</v>
      </c>
      <c r="AK50" s="191" t="s">
        <v>74</v>
      </c>
      <c r="AL50" s="240">
        <f t="shared" ref="AL50" si="168">SUM(COUNTIFS(G50:AK50,"A"))</f>
        <v>5</v>
      </c>
      <c r="AM50" s="240">
        <f t="shared" ref="AM50" si="169">SUM(COUNTIFS(G50:AK50,"B"))</f>
        <v>12</v>
      </c>
      <c r="AN50" s="240">
        <f t="shared" ref="AN50" si="170">SUM(COUNTIFS(G50:AK50,"C"))</f>
        <v>3</v>
      </c>
      <c r="AO50" s="240">
        <f t="shared" ref="AO50" si="171">SUM(COUNTIFS(G50:AK50,"G"))</f>
        <v>0</v>
      </c>
      <c r="AP50" s="240">
        <f t="shared" ref="AP50" si="172">SUM(COUNTIFS(G50:AK50,"W"))</f>
        <v>3</v>
      </c>
      <c r="AQ50" s="240">
        <f t="shared" ref="AQ50" si="173">SUM(COUNTIFS(G51:AK51,"A"))+(COUNTIFS(G51:AK51,"B"))+(COUNTIFS(G51:AK51,"C"))+(COUNTIFS(G51:AK51,"G"))</f>
        <v>0</v>
      </c>
      <c r="AR50" s="242">
        <f t="shared" ref="AR50" si="174">SUM(COUNTIFS(G50:AK50,"PH"))</f>
        <v>0</v>
      </c>
      <c r="AS50" s="284">
        <f t="shared" ref="AS50" si="175">AL50+AM50+AN50+AO50+AR50+AP50+AQ50</f>
        <v>23</v>
      </c>
    </row>
    <row r="51" spans="1:45" s="193" customFormat="1" ht="18.75" x14ac:dyDescent="0.25">
      <c r="A51" s="254"/>
      <c r="B51" s="258"/>
      <c r="C51" s="247"/>
      <c r="D51" s="247"/>
      <c r="E51" s="259"/>
      <c r="F51" s="191" t="s">
        <v>237</v>
      </c>
      <c r="G51" s="192"/>
      <c r="H51" s="192"/>
      <c r="I51" s="191"/>
      <c r="J51" s="191"/>
      <c r="K51" s="191"/>
      <c r="L51" s="191"/>
      <c r="M51" s="191"/>
      <c r="N51" s="191"/>
      <c r="O51" s="191"/>
      <c r="P51" s="191"/>
      <c r="Q51" s="191"/>
      <c r="R51" s="191"/>
      <c r="S51" s="192"/>
      <c r="T51" s="191"/>
      <c r="U51" s="191"/>
      <c r="V51" s="191"/>
      <c r="W51" s="191"/>
      <c r="X51" s="191"/>
      <c r="Y51" s="191"/>
      <c r="Z51" s="191"/>
      <c r="AA51" s="191"/>
      <c r="AB51" s="191"/>
      <c r="AC51" s="191"/>
      <c r="AD51" s="191"/>
      <c r="AE51" s="191"/>
      <c r="AF51" s="191"/>
      <c r="AG51" s="191"/>
      <c r="AH51" s="191"/>
      <c r="AI51" s="191"/>
      <c r="AJ51" s="191"/>
      <c r="AK51" s="191"/>
      <c r="AL51" s="241"/>
      <c r="AM51" s="241"/>
      <c r="AN51" s="241"/>
      <c r="AO51" s="241"/>
      <c r="AP51" s="241"/>
      <c r="AQ51" s="241"/>
      <c r="AR51" s="243"/>
      <c r="AS51" s="284"/>
    </row>
    <row r="52" spans="1:45" s="193" customFormat="1" ht="18.75" x14ac:dyDescent="0.25">
      <c r="A52" s="253">
        <v>25</v>
      </c>
      <c r="B52" s="255">
        <v>11862</v>
      </c>
      <c r="C52" s="255" t="s">
        <v>370</v>
      </c>
      <c r="D52" s="255">
        <v>11209</v>
      </c>
      <c r="E52" s="255" t="s">
        <v>48</v>
      </c>
      <c r="F52" s="191" t="s">
        <v>233</v>
      </c>
      <c r="G52" s="196" t="s">
        <v>74</v>
      </c>
      <c r="H52" s="192" t="s">
        <v>74</v>
      </c>
      <c r="I52" s="196" t="s">
        <v>234</v>
      </c>
      <c r="J52" s="196" t="s">
        <v>75</v>
      </c>
      <c r="K52" s="196" t="s">
        <v>73</v>
      </c>
      <c r="L52" s="196" t="s">
        <v>75</v>
      </c>
      <c r="M52" s="196" t="s">
        <v>75</v>
      </c>
      <c r="N52" s="196" t="s">
        <v>74</v>
      </c>
      <c r="O52" s="196" t="s">
        <v>74</v>
      </c>
      <c r="P52" s="196" t="s">
        <v>234</v>
      </c>
      <c r="Q52" s="196" t="s">
        <v>75</v>
      </c>
      <c r="R52" s="196" t="s">
        <v>75</v>
      </c>
      <c r="S52" s="196" t="s">
        <v>73</v>
      </c>
      <c r="T52" s="196" t="s">
        <v>73</v>
      </c>
      <c r="U52" s="196" t="s">
        <v>74</v>
      </c>
      <c r="V52" s="196" t="s">
        <v>74</v>
      </c>
      <c r="W52" s="196" t="s">
        <v>234</v>
      </c>
      <c r="X52" s="196" t="s">
        <v>75</v>
      </c>
      <c r="Y52" s="192" t="s">
        <v>75</v>
      </c>
      <c r="Z52" s="196" t="s">
        <v>76</v>
      </c>
      <c r="AA52" s="196" t="s">
        <v>73</v>
      </c>
      <c r="AB52" s="196" t="s">
        <v>74</v>
      </c>
      <c r="AC52" s="196" t="s">
        <v>74</v>
      </c>
      <c r="AD52" s="196" t="s">
        <v>234</v>
      </c>
      <c r="AE52" s="196" t="s">
        <v>75</v>
      </c>
      <c r="AF52" s="196" t="s">
        <v>75</v>
      </c>
      <c r="AG52" s="196" t="s">
        <v>71</v>
      </c>
      <c r="AH52" s="196" t="s">
        <v>75</v>
      </c>
      <c r="AI52" s="196" t="s">
        <v>74</v>
      </c>
      <c r="AJ52" s="196" t="s">
        <v>74</v>
      </c>
      <c r="AK52" s="191" t="s">
        <v>234</v>
      </c>
      <c r="AL52" s="240">
        <f t="shared" ref="AL52" si="176">SUM(COUNTIFS(G52:AK52,"A"))</f>
        <v>10</v>
      </c>
      <c r="AM52" s="240">
        <f t="shared" ref="AM52" si="177">SUM(COUNTIFS(G52:AK52,"B"))</f>
        <v>4</v>
      </c>
      <c r="AN52" s="240">
        <f t="shared" ref="AN52" si="178">SUM(COUNTIFS(G52:AK52,"C"))</f>
        <v>10</v>
      </c>
      <c r="AO52" s="240">
        <f t="shared" ref="AO52" si="179">SUM(COUNTIFS(G52:AK52,"G"))</f>
        <v>1</v>
      </c>
      <c r="AP52" s="240">
        <f t="shared" ref="AP52" si="180">SUM(COUNTIFS(G52:AK52,"W"))</f>
        <v>5</v>
      </c>
      <c r="AQ52" s="240">
        <f t="shared" ref="AQ52" si="181">SUM(COUNTIFS(G53:AK53,"A"))+(COUNTIFS(G53:AK53,"B"))+(COUNTIFS(G53:AK53,"C"))+(COUNTIFS(G53:AK53,"G"))</f>
        <v>0</v>
      </c>
      <c r="AR52" s="242">
        <f t="shared" ref="AR52" si="182">SUM(COUNTIFS(G52:AK52,"PH"))</f>
        <v>0</v>
      </c>
      <c r="AS52" s="284">
        <f t="shared" ref="AS52" si="183">AL52+AM52+AN52+AO52+AR52+AP52+AQ52</f>
        <v>30</v>
      </c>
    </row>
    <row r="53" spans="1:45" s="193" customFormat="1" ht="18.75" x14ac:dyDescent="0.25">
      <c r="A53" s="254"/>
      <c r="B53" s="256"/>
      <c r="C53" s="256"/>
      <c r="D53" s="256"/>
      <c r="E53" s="256"/>
      <c r="F53" s="191" t="s">
        <v>237</v>
      </c>
      <c r="G53" s="196"/>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c r="AE53" s="196"/>
      <c r="AF53" s="196"/>
      <c r="AG53" s="196"/>
      <c r="AH53" s="196"/>
      <c r="AI53" s="196"/>
      <c r="AJ53" s="196"/>
      <c r="AK53" s="196"/>
      <c r="AL53" s="241"/>
      <c r="AM53" s="241"/>
      <c r="AN53" s="241"/>
      <c r="AO53" s="241"/>
      <c r="AP53" s="241"/>
      <c r="AQ53" s="241"/>
      <c r="AR53" s="243"/>
      <c r="AS53" s="284"/>
    </row>
    <row r="54" spans="1:45" s="193" customFormat="1" ht="18.75" x14ac:dyDescent="0.25">
      <c r="A54" s="253">
        <v>26</v>
      </c>
      <c r="B54" s="248">
        <v>11749</v>
      </c>
      <c r="C54" s="246" t="s">
        <v>365</v>
      </c>
      <c r="D54" s="248">
        <v>11201</v>
      </c>
      <c r="E54" s="244" t="s">
        <v>48</v>
      </c>
      <c r="F54" s="191" t="s">
        <v>233</v>
      </c>
      <c r="G54" s="196" t="s">
        <v>73</v>
      </c>
      <c r="H54" s="192" t="s">
        <v>73</v>
      </c>
      <c r="I54" s="196" t="s">
        <v>73</v>
      </c>
      <c r="J54" s="196" t="s">
        <v>74</v>
      </c>
      <c r="K54" s="196" t="s">
        <v>74</v>
      </c>
      <c r="L54" s="196" t="s">
        <v>73</v>
      </c>
      <c r="M54" s="196" t="s">
        <v>234</v>
      </c>
      <c r="N54" s="196" t="s">
        <v>73</v>
      </c>
      <c r="O54" s="196" t="s">
        <v>73</v>
      </c>
      <c r="P54" s="196" t="s">
        <v>73</v>
      </c>
      <c r="Q54" s="196" t="s">
        <v>74</v>
      </c>
      <c r="R54" s="196" t="s">
        <v>74</v>
      </c>
      <c r="S54" s="196" t="s">
        <v>73</v>
      </c>
      <c r="T54" s="196" t="s">
        <v>234</v>
      </c>
      <c r="U54" s="196" t="s">
        <v>75</v>
      </c>
      <c r="V54" s="196" t="s">
        <v>73</v>
      </c>
      <c r="W54" s="196" t="s">
        <v>74</v>
      </c>
      <c r="X54" s="192" t="s">
        <v>74</v>
      </c>
      <c r="Y54" s="192" t="s">
        <v>74</v>
      </c>
      <c r="Z54" s="192" t="s">
        <v>73</v>
      </c>
      <c r="AA54" s="192" t="s">
        <v>234</v>
      </c>
      <c r="AB54" s="192" t="s">
        <v>75</v>
      </c>
      <c r="AC54" s="192" t="s">
        <v>73</v>
      </c>
      <c r="AD54" s="192" t="s">
        <v>73</v>
      </c>
      <c r="AE54" s="192" t="s">
        <v>74</v>
      </c>
      <c r="AF54" s="192" t="s">
        <v>74</v>
      </c>
      <c r="AG54" s="192" t="s">
        <v>73</v>
      </c>
      <c r="AH54" s="192" t="s">
        <v>234</v>
      </c>
      <c r="AI54" s="192" t="s">
        <v>75</v>
      </c>
      <c r="AJ54" s="192" t="s">
        <v>75</v>
      </c>
      <c r="AK54" s="192" t="s">
        <v>75</v>
      </c>
      <c r="AL54" s="240">
        <f t="shared" ref="AL54" si="184">SUM(COUNTIFS(G54:AK54,"A"))</f>
        <v>5</v>
      </c>
      <c r="AM54" s="240">
        <f t="shared" ref="AM54" si="185">SUM(COUNTIFS(G54:AK54,"B"))</f>
        <v>13</v>
      </c>
      <c r="AN54" s="240">
        <f t="shared" ref="AN54" si="186">SUM(COUNTIFS(G54:AK54,"C"))</f>
        <v>9</v>
      </c>
      <c r="AO54" s="240">
        <f t="shared" ref="AO54" si="187">SUM(COUNTIFS(G54:AK54,"G"))</f>
        <v>0</v>
      </c>
      <c r="AP54" s="240">
        <f t="shared" ref="AP54" si="188">SUM(COUNTIFS(G54:AK54,"W"))</f>
        <v>4</v>
      </c>
      <c r="AQ54" s="240">
        <f t="shared" ref="AQ54" si="189">SUM(COUNTIFS(G55:AK55,"A"))+(COUNTIFS(G55:AK55,"B"))+(COUNTIFS(G55:AK55,"C"))+(COUNTIFS(G55:AK55,"G"))</f>
        <v>0</v>
      </c>
      <c r="AR54" s="242">
        <f t="shared" ref="AR54" si="190">SUM(COUNTIFS(G54:AK54,"PH"))</f>
        <v>0</v>
      </c>
      <c r="AS54" s="284">
        <f t="shared" ref="AS54" si="191">AL54+AM54+AN54+AO54+AR54+AP54+AQ54</f>
        <v>31</v>
      </c>
    </row>
    <row r="55" spans="1:45" s="193" customFormat="1" ht="18.75" x14ac:dyDescent="0.25">
      <c r="A55" s="254"/>
      <c r="B55" s="248"/>
      <c r="C55" s="247"/>
      <c r="D55" s="248"/>
      <c r="E55" s="245"/>
      <c r="F55" s="191" t="s">
        <v>237</v>
      </c>
      <c r="G55" s="196"/>
      <c r="H55" s="196"/>
      <c r="I55" s="196"/>
      <c r="J55" s="196"/>
      <c r="K55" s="196"/>
      <c r="L55" s="196"/>
      <c r="M55" s="196"/>
      <c r="N55" s="196"/>
      <c r="O55" s="196"/>
      <c r="P55" s="196"/>
      <c r="Q55" s="196"/>
      <c r="R55" s="196"/>
      <c r="S55" s="196"/>
      <c r="T55" s="196"/>
      <c r="U55" s="196"/>
      <c r="V55" s="196"/>
      <c r="W55" s="196"/>
      <c r="X55" s="196"/>
      <c r="Y55" s="196"/>
      <c r="Z55" s="196"/>
      <c r="AA55" s="199"/>
      <c r="AB55" s="196"/>
      <c r="AC55" s="196"/>
      <c r="AD55" s="196"/>
      <c r="AE55" s="196"/>
      <c r="AF55" s="196"/>
      <c r="AG55" s="196"/>
      <c r="AH55" s="196"/>
      <c r="AI55" s="196"/>
      <c r="AJ55" s="196"/>
      <c r="AK55" s="196"/>
      <c r="AL55" s="241"/>
      <c r="AM55" s="241"/>
      <c r="AN55" s="241"/>
      <c r="AO55" s="241"/>
      <c r="AP55" s="241"/>
      <c r="AQ55" s="241"/>
      <c r="AR55" s="243"/>
      <c r="AS55" s="284"/>
    </row>
    <row r="56" spans="1:45" s="193" customFormat="1" ht="18.75" x14ac:dyDescent="0.25">
      <c r="A56" s="253">
        <v>27</v>
      </c>
      <c r="B56" s="248">
        <v>11954</v>
      </c>
      <c r="C56" s="246" t="s">
        <v>380</v>
      </c>
      <c r="D56" s="248">
        <v>11214</v>
      </c>
      <c r="E56" s="246" t="s">
        <v>48</v>
      </c>
      <c r="F56" s="191" t="s">
        <v>233</v>
      </c>
      <c r="G56" s="200" t="s">
        <v>75</v>
      </c>
      <c r="H56" s="192" t="s">
        <v>234</v>
      </c>
      <c r="I56" s="196" t="s">
        <v>74</v>
      </c>
      <c r="J56" s="196" t="s">
        <v>73</v>
      </c>
      <c r="K56" s="196" t="s">
        <v>73</v>
      </c>
      <c r="L56" s="196" t="s">
        <v>73</v>
      </c>
      <c r="M56" s="196" t="s">
        <v>73</v>
      </c>
      <c r="N56" s="196" t="s">
        <v>75</v>
      </c>
      <c r="O56" s="196" t="s">
        <v>234</v>
      </c>
      <c r="P56" s="196" t="s">
        <v>73</v>
      </c>
      <c r="Q56" s="196" t="s">
        <v>73</v>
      </c>
      <c r="R56" s="196" t="s">
        <v>73</v>
      </c>
      <c r="S56" s="196" t="s">
        <v>75</v>
      </c>
      <c r="T56" s="196" t="s">
        <v>75</v>
      </c>
      <c r="U56" s="196" t="s">
        <v>75</v>
      </c>
      <c r="V56" s="196" t="s">
        <v>234</v>
      </c>
      <c r="W56" s="196" t="s">
        <v>73</v>
      </c>
      <c r="X56" s="196" t="s">
        <v>73</v>
      </c>
      <c r="Y56" s="196" t="s">
        <v>73</v>
      </c>
      <c r="Z56" s="196" t="s">
        <v>73</v>
      </c>
      <c r="AA56" s="196" t="s">
        <v>73</v>
      </c>
      <c r="AB56" s="196" t="s">
        <v>76</v>
      </c>
      <c r="AC56" s="196" t="s">
        <v>234</v>
      </c>
      <c r="AD56" s="196" t="s">
        <v>73</v>
      </c>
      <c r="AE56" s="196" t="s">
        <v>73</v>
      </c>
      <c r="AF56" s="196" t="s">
        <v>73</v>
      </c>
      <c r="AG56" s="196" t="s">
        <v>73</v>
      </c>
      <c r="AH56" s="196" t="s">
        <v>75</v>
      </c>
      <c r="AI56" s="196" t="s">
        <v>75</v>
      </c>
      <c r="AJ56" s="196" t="s">
        <v>234</v>
      </c>
      <c r="AK56" s="196" t="s">
        <v>73</v>
      </c>
      <c r="AL56" s="240">
        <f>SUM(COUNTIFS(G56:AK56,"A"))</f>
        <v>7</v>
      </c>
      <c r="AM56" s="240">
        <f>SUM(COUNTIFS(G56:AK56,"B"))</f>
        <v>17</v>
      </c>
      <c r="AN56" s="240">
        <f>SUM(COUNTIFS(G56:AK56,"C"))</f>
        <v>1</v>
      </c>
      <c r="AO56" s="240">
        <f>SUM(COUNTIFS(G56:AK56,"G"))</f>
        <v>0</v>
      </c>
      <c r="AP56" s="240">
        <f>SUM(COUNTIFS(G56:AK56,"W"))</f>
        <v>5</v>
      </c>
      <c r="AQ56" s="240">
        <f>SUM(COUNTIFS(G57:AK57,"A"))+(COUNTIFS(G57:AK57,"B"))+(COUNTIFS(G57:AK57,"C"))+(COUNTIFS(G57:AK57,"G"))</f>
        <v>0</v>
      </c>
      <c r="AR56" s="242">
        <f>SUM(COUNTIFS(G56:AK56,"PH"))</f>
        <v>0</v>
      </c>
      <c r="AS56" s="284">
        <f>AL56+AM56+AN56+AO56+AR56+AP56+AQ56</f>
        <v>30</v>
      </c>
    </row>
    <row r="57" spans="1:45" s="193" customFormat="1" ht="18.75" x14ac:dyDescent="0.25">
      <c r="A57" s="254"/>
      <c r="B57" s="248"/>
      <c r="C57" s="247"/>
      <c r="D57" s="248"/>
      <c r="E57" s="247"/>
      <c r="F57" s="191" t="s">
        <v>237</v>
      </c>
      <c r="G57" s="196"/>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241"/>
      <c r="AM57" s="241"/>
      <c r="AN57" s="241"/>
      <c r="AO57" s="241"/>
      <c r="AP57" s="241"/>
      <c r="AQ57" s="241"/>
      <c r="AR57" s="243"/>
      <c r="AS57" s="284"/>
    </row>
    <row r="58" spans="1:45" s="193" customFormat="1" ht="18.75" x14ac:dyDescent="0.25">
      <c r="A58" s="253">
        <v>28</v>
      </c>
      <c r="B58" s="248">
        <v>12035</v>
      </c>
      <c r="C58" s="255" t="s">
        <v>425</v>
      </c>
      <c r="D58" s="248">
        <v>11222</v>
      </c>
      <c r="E58" s="246" t="s">
        <v>48</v>
      </c>
      <c r="F58" s="191" t="s">
        <v>233</v>
      </c>
      <c r="G58" s="192" t="s">
        <v>71</v>
      </c>
      <c r="H58" s="192" t="s">
        <v>71</v>
      </c>
      <c r="I58" s="192" t="s">
        <v>74</v>
      </c>
      <c r="J58" s="192" t="s">
        <v>234</v>
      </c>
      <c r="K58" s="192" t="s">
        <v>71</v>
      </c>
      <c r="L58" s="196" t="s">
        <v>71</v>
      </c>
      <c r="M58" s="196" t="s">
        <v>73</v>
      </c>
      <c r="N58" s="196" t="s">
        <v>75</v>
      </c>
      <c r="O58" s="196" t="s">
        <v>74</v>
      </c>
      <c r="P58" s="196" t="s">
        <v>74</v>
      </c>
      <c r="Q58" s="196" t="s">
        <v>234</v>
      </c>
      <c r="R58" s="196" t="s">
        <v>73</v>
      </c>
      <c r="S58" s="196" t="s">
        <v>71</v>
      </c>
      <c r="T58" s="196" t="s">
        <v>71</v>
      </c>
      <c r="U58" s="196" t="s">
        <v>73</v>
      </c>
      <c r="V58" s="196" t="s">
        <v>74</v>
      </c>
      <c r="W58" s="196" t="s">
        <v>74</v>
      </c>
      <c r="X58" s="196" t="s">
        <v>234</v>
      </c>
      <c r="Y58" s="196" t="s">
        <v>75</v>
      </c>
      <c r="Z58" s="196" t="s">
        <v>75</v>
      </c>
      <c r="AA58" s="196" t="s">
        <v>75</v>
      </c>
      <c r="AB58" s="196" t="s">
        <v>75</v>
      </c>
      <c r="AC58" s="196" t="s">
        <v>74</v>
      </c>
      <c r="AD58" s="196" t="s">
        <v>74</v>
      </c>
      <c r="AE58" s="196" t="s">
        <v>234</v>
      </c>
      <c r="AF58" s="196" t="s">
        <v>75</v>
      </c>
      <c r="AG58" s="196" t="s">
        <v>75</v>
      </c>
      <c r="AH58" s="196" t="s">
        <v>73</v>
      </c>
      <c r="AI58" s="196" t="s">
        <v>73</v>
      </c>
      <c r="AJ58" s="196" t="s">
        <v>74</v>
      </c>
      <c r="AK58" s="196" t="s">
        <v>74</v>
      </c>
      <c r="AL58" s="240">
        <f t="shared" ref="AL58" si="192">SUM(COUNTIFS(G58:AK58,"A"))</f>
        <v>7</v>
      </c>
      <c r="AM58" s="240">
        <f t="shared" ref="AM58" si="193">SUM(COUNTIFS(G58:AK58,"B"))</f>
        <v>5</v>
      </c>
      <c r="AN58" s="240">
        <f t="shared" ref="AN58" si="194">SUM(COUNTIFS(G58:AK58,"C"))</f>
        <v>9</v>
      </c>
      <c r="AO58" s="240">
        <f t="shared" ref="AO58" si="195">SUM(COUNTIFS(G58:AK58,"G"))</f>
        <v>6</v>
      </c>
      <c r="AP58" s="240">
        <f t="shared" ref="AP58" si="196">SUM(COUNTIFS(G58:AK58,"W"))</f>
        <v>4</v>
      </c>
      <c r="AQ58" s="240">
        <f t="shared" ref="AQ58" si="197">SUM(COUNTIFS(G59:AK59,"A"))+(COUNTIFS(G59:AK59,"B"))+(COUNTIFS(G59:AK59,"C"))+(COUNTIFS(G59:AK59,"G"))</f>
        <v>0</v>
      </c>
      <c r="AR58" s="242">
        <f t="shared" ref="AR58" si="198">SUM(COUNTIFS(G58:AK58,"PH"))</f>
        <v>0</v>
      </c>
      <c r="AS58" s="284">
        <f t="shared" ref="AS58" si="199">AL58+AM58+AN58+AO58+AR58+AP58+AQ58</f>
        <v>31</v>
      </c>
    </row>
    <row r="59" spans="1:45" s="193" customFormat="1" ht="18.75" x14ac:dyDescent="0.25">
      <c r="A59" s="254"/>
      <c r="B59" s="248"/>
      <c r="C59" s="256"/>
      <c r="D59" s="248"/>
      <c r="E59" s="247"/>
      <c r="F59" s="191" t="s">
        <v>237</v>
      </c>
      <c r="G59" s="192"/>
      <c r="H59" s="192"/>
      <c r="I59" s="192"/>
      <c r="J59" s="192"/>
      <c r="K59" s="192"/>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241"/>
      <c r="AM59" s="241"/>
      <c r="AN59" s="241"/>
      <c r="AO59" s="241"/>
      <c r="AP59" s="241"/>
      <c r="AQ59" s="241"/>
      <c r="AR59" s="243"/>
      <c r="AS59" s="284"/>
    </row>
    <row r="60" spans="1:45" s="193" customFormat="1" ht="18.75" x14ac:dyDescent="0.25">
      <c r="A60" s="253">
        <v>29</v>
      </c>
      <c r="B60" s="244">
        <v>11558</v>
      </c>
      <c r="C60" s="249" t="s">
        <v>426</v>
      </c>
      <c r="D60" s="244">
        <v>11185</v>
      </c>
      <c r="E60" s="246" t="s">
        <v>48</v>
      </c>
      <c r="F60" s="191" t="s">
        <v>233</v>
      </c>
      <c r="G60" s="303"/>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304"/>
      <c r="AH60" s="305"/>
      <c r="AI60" s="196" t="s">
        <v>71</v>
      </c>
      <c r="AJ60" s="196" t="s">
        <v>73</v>
      </c>
      <c r="AK60" s="196" t="s">
        <v>73</v>
      </c>
      <c r="AL60" s="240">
        <f>SUM(COUNTIFS(G60:AK60,"A"))</f>
        <v>0</v>
      </c>
      <c r="AM60" s="240">
        <f>SUM(COUNTIFS(G60:AK60,"B"))</f>
        <v>2</v>
      </c>
      <c r="AN60" s="240">
        <f>SUM(COUNTIFS(G60:AK60,"C"))</f>
        <v>0</v>
      </c>
      <c r="AO60" s="240">
        <f>SUM(COUNTIFS(G60:AK60,"G"))</f>
        <v>1</v>
      </c>
      <c r="AP60" s="240">
        <f>SUM(COUNTIFS(G60:AK60,"W"))</f>
        <v>0</v>
      </c>
      <c r="AQ60" s="240">
        <f>SUM(COUNTIFS(G61:AK61,"A"))+(COUNTIFS(G61:AK61,"B"))+(COUNTIFS(G61:AK61,"C"))+(COUNTIFS(G61:AK61,"G"))</f>
        <v>0</v>
      </c>
      <c r="AR60" s="242">
        <f>SUM(COUNTIFS(G60:AK60,"PH"))</f>
        <v>0</v>
      </c>
      <c r="AS60" s="284">
        <f>AL60+AM60+AN60+AO60+AR60+AP60+AQ60</f>
        <v>3</v>
      </c>
    </row>
    <row r="61" spans="1:45" s="193" customFormat="1" ht="18.75" x14ac:dyDescent="0.25">
      <c r="A61" s="254"/>
      <c r="B61" s="245"/>
      <c r="C61" s="250"/>
      <c r="D61" s="245"/>
      <c r="E61" s="247"/>
      <c r="F61" s="191" t="s">
        <v>237</v>
      </c>
      <c r="G61" s="192"/>
      <c r="H61" s="192"/>
      <c r="I61" s="192"/>
      <c r="J61" s="192"/>
      <c r="K61" s="192"/>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241"/>
      <c r="AM61" s="241"/>
      <c r="AN61" s="241"/>
      <c r="AO61" s="241"/>
      <c r="AP61" s="241"/>
      <c r="AQ61" s="241"/>
      <c r="AR61" s="243"/>
      <c r="AS61" s="284"/>
    </row>
    <row r="62" spans="1:45" s="193" customFormat="1" ht="18.75" x14ac:dyDescent="0.25">
      <c r="A62" s="253">
        <v>30</v>
      </c>
      <c r="B62" s="248">
        <v>9</v>
      </c>
      <c r="C62" s="251" t="s">
        <v>427</v>
      </c>
      <c r="D62" s="248">
        <v>11235</v>
      </c>
      <c r="E62" s="246" t="s">
        <v>48</v>
      </c>
      <c r="F62" s="191" t="s">
        <v>233</v>
      </c>
      <c r="G62" s="255" t="s">
        <v>387</v>
      </c>
      <c r="H62" s="257"/>
      <c r="I62" s="257"/>
      <c r="J62" s="257"/>
      <c r="K62" s="301"/>
      <c r="L62" s="196" t="s">
        <v>71</v>
      </c>
      <c r="M62" s="196" t="s">
        <v>71</v>
      </c>
      <c r="N62" s="196" t="s">
        <v>71</v>
      </c>
      <c r="O62" s="196" t="s">
        <v>71</v>
      </c>
      <c r="P62" s="196" t="s">
        <v>71</v>
      </c>
      <c r="Q62" s="196" t="s">
        <v>74</v>
      </c>
      <c r="R62" s="196" t="s">
        <v>74</v>
      </c>
      <c r="S62" s="196" t="s">
        <v>234</v>
      </c>
      <c r="T62" s="196" t="s">
        <v>73</v>
      </c>
      <c r="U62" s="196" t="s">
        <v>71</v>
      </c>
      <c r="V62" s="196" t="s">
        <v>75</v>
      </c>
      <c r="W62" s="196" t="s">
        <v>75</v>
      </c>
      <c r="X62" s="196" t="s">
        <v>71</v>
      </c>
      <c r="Y62" s="196" t="s">
        <v>74</v>
      </c>
      <c r="Z62" s="196" t="s">
        <v>234</v>
      </c>
      <c r="AA62" s="196" t="s">
        <v>71</v>
      </c>
      <c r="AB62" s="196" t="s">
        <v>71</v>
      </c>
      <c r="AC62" s="196" t="s">
        <v>75</v>
      </c>
      <c r="AD62" s="196" t="s">
        <v>75</v>
      </c>
      <c r="AE62" s="196" t="s">
        <v>74</v>
      </c>
      <c r="AF62" s="196" t="s">
        <v>73</v>
      </c>
      <c r="AG62" s="196" t="s">
        <v>234</v>
      </c>
      <c r="AH62" s="196" t="s">
        <v>71</v>
      </c>
      <c r="AI62" s="196" t="s">
        <v>71</v>
      </c>
      <c r="AJ62" s="196" t="s">
        <v>71</v>
      </c>
      <c r="AK62" s="196" t="s">
        <v>71</v>
      </c>
      <c r="AL62" s="240">
        <f>SUM(COUNTIFS(G62:AK62,"A"))</f>
        <v>4</v>
      </c>
      <c r="AM62" s="240">
        <f>SUM(COUNTIFS(G62:AK62,"B"))</f>
        <v>2</v>
      </c>
      <c r="AN62" s="240">
        <f>SUM(COUNTIFS(G62:AK62,"C"))</f>
        <v>4</v>
      </c>
      <c r="AO62" s="240">
        <f>SUM(COUNTIFS(G62:AK62,"G"))</f>
        <v>13</v>
      </c>
      <c r="AP62" s="240">
        <f>SUM(COUNTIFS(G62:AK62,"W"))</f>
        <v>3</v>
      </c>
      <c r="AQ62" s="240">
        <f>SUM(COUNTIFS(G63:AK63,"A"))+(COUNTIFS(G63:AK63,"B"))+(COUNTIFS(G63:AK63,"C"))+(COUNTIFS(G63:AK63,"G"))</f>
        <v>0</v>
      </c>
      <c r="AR62" s="242">
        <f>SUM(COUNTIFS(G62:AK62,"PH"))</f>
        <v>0</v>
      </c>
      <c r="AS62" s="284">
        <f>AL62+AM62+AN62+AO62+AR62+AP62+AQ62</f>
        <v>26</v>
      </c>
    </row>
    <row r="63" spans="1:45" s="193" customFormat="1" ht="18.75" x14ac:dyDescent="0.25">
      <c r="A63" s="254"/>
      <c r="B63" s="248"/>
      <c r="C63" s="252"/>
      <c r="D63" s="248"/>
      <c r="E63" s="247"/>
      <c r="F63" s="191" t="s">
        <v>237</v>
      </c>
      <c r="G63" s="256"/>
      <c r="H63" s="258"/>
      <c r="I63" s="258"/>
      <c r="J63" s="258"/>
      <c r="K63" s="302"/>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241"/>
      <c r="AM63" s="241"/>
      <c r="AN63" s="241"/>
      <c r="AO63" s="241"/>
      <c r="AP63" s="241"/>
      <c r="AQ63" s="241"/>
      <c r="AR63" s="243"/>
      <c r="AS63" s="284"/>
    </row>
    <row r="64" spans="1:45" s="193" customFormat="1" ht="18.75" x14ac:dyDescent="0.25">
      <c r="A64" s="253">
        <v>31</v>
      </c>
      <c r="B64" s="248">
        <v>10</v>
      </c>
      <c r="C64" s="251" t="s">
        <v>428</v>
      </c>
      <c r="D64" s="248">
        <v>11236</v>
      </c>
      <c r="E64" s="246" t="s">
        <v>48</v>
      </c>
      <c r="F64" s="191" t="s">
        <v>233</v>
      </c>
      <c r="G64" s="255" t="s">
        <v>387</v>
      </c>
      <c r="H64" s="257"/>
      <c r="I64" s="257"/>
      <c r="J64" s="257"/>
      <c r="K64" s="301"/>
      <c r="L64" s="196" t="s">
        <v>71</v>
      </c>
      <c r="M64" s="196" t="s">
        <v>71</v>
      </c>
      <c r="N64" s="196" t="s">
        <v>71</v>
      </c>
      <c r="O64" s="196" t="s">
        <v>71</v>
      </c>
      <c r="P64" s="196" t="s">
        <v>71</v>
      </c>
      <c r="Q64" s="196" t="s">
        <v>75</v>
      </c>
      <c r="R64" s="196" t="s">
        <v>71</v>
      </c>
      <c r="S64" s="196" t="s">
        <v>71</v>
      </c>
      <c r="T64" s="196" t="s">
        <v>74</v>
      </c>
      <c r="U64" s="196" t="s">
        <v>74</v>
      </c>
      <c r="V64" s="196" t="s">
        <v>234</v>
      </c>
      <c r="W64" s="196" t="s">
        <v>71</v>
      </c>
      <c r="X64" s="196" t="s">
        <v>71</v>
      </c>
      <c r="Y64" s="196" t="s">
        <v>71</v>
      </c>
      <c r="Z64" s="196" t="s">
        <v>71</v>
      </c>
      <c r="AA64" s="196" t="s">
        <v>74</v>
      </c>
      <c r="AB64" s="196" t="s">
        <v>73</v>
      </c>
      <c r="AC64" s="196" t="s">
        <v>234</v>
      </c>
      <c r="AD64" s="196" t="s">
        <v>73</v>
      </c>
      <c r="AE64" s="196" t="s">
        <v>71</v>
      </c>
      <c r="AF64" s="196" t="s">
        <v>71</v>
      </c>
      <c r="AG64" s="196" t="s">
        <v>71</v>
      </c>
      <c r="AH64" s="196" t="s">
        <v>74</v>
      </c>
      <c r="AI64" s="196" t="s">
        <v>74</v>
      </c>
      <c r="AJ64" s="196" t="s">
        <v>234</v>
      </c>
      <c r="AK64" s="196" t="s">
        <v>76</v>
      </c>
      <c r="AL64" s="240">
        <f t="shared" ref="AL64" si="200">SUM(COUNTIFS(G64:AK64,"A"))</f>
        <v>1</v>
      </c>
      <c r="AM64" s="240">
        <f t="shared" ref="AM64" si="201">SUM(COUNTIFS(G64:AK64,"B"))</f>
        <v>2</v>
      </c>
      <c r="AN64" s="240">
        <f t="shared" ref="AN64" si="202">SUM(COUNTIFS(G64:AK64,"C"))</f>
        <v>5</v>
      </c>
      <c r="AO64" s="240">
        <f t="shared" ref="AO64" si="203">SUM(COUNTIFS(G64:AK64,"G"))</f>
        <v>14</v>
      </c>
      <c r="AP64" s="240">
        <f t="shared" ref="AP64" si="204">SUM(COUNTIFS(G64:AK64,"W"))</f>
        <v>3</v>
      </c>
      <c r="AQ64" s="240">
        <f t="shared" ref="AQ64" si="205">SUM(COUNTIFS(G65:AK65,"A"))+(COUNTIFS(G65:AK65,"B"))+(COUNTIFS(G65:AK65,"C"))+(COUNTIFS(G65:AK65,"G"))</f>
        <v>0</v>
      </c>
      <c r="AR64" s="242">
        <f t="shared" ref="AR64" si="206">SUM(COUNTIFS(G64:AK64,"PH"))</f>
        <v>0</v>
      </c>
      <c r="AS64" s="284">
        <f t="shared" ref="AS64" si="207">AL64+AM64+AN64+AO64+AR64+AP64+AQ64</f>
        <v>25</v>
      </c>
    </row>
    <row r="65" spans="1:45" s="193" customFormat="1" ht="18.75" x14ac:dyDescent="0.25">
      <c r="A65" s="254"/>
      <c r="B65" s="248"/>
      <c r="C65" s="252"/>
      <c r="D65" s="248"/>
      <c r="E65" s="247"/>
      <c r="F65" s="191" t="s">
        <v>237</v>
      </c>
      <c r="G65" s="256"/>
      <c r="H65" s="258"/>
      <c r="I65" s="258"/>
      <c r="J65" s="258"/>
      <c r="K65" s="302"/>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241"/>
      <c r="AM65" s="241"/>
      <c r="AN65" s="241"/>
      <c r="AO65" s="241"/>
      <c r="AP65" s="241"/>
      <c r="AQ65" s="241"/>
      <c r="AR65" s="243"/>
      <c r="AS65" s="284"/>
    </row>
    <row r="66" spans="1:45" s="193" customFormat="1" ht="18.75" x14ac:dyDescent="0.25">
      <c r="A66" s="253">
        <v>32</v>
      </c>
      <c r="B66" s="246">
        <v>11000</v>
      </c>
      <c r="C66" s="246" t="s">
        <v>429</v>
      </c>
      <c r="D66" s="246">
        <v>11048</v>
      </c>
      <c r="E66" s="246" t="s">
        <v>43</v>
      </c>
      <c r="F66" s="191" t="s">
        <v>233</v>
      </c>
      <c r="G66" s="192" t="s">
        <v>234</v>
      </c>
      <c r="H66" s="192" t="s">
        <v>71</v>
      </c>
      <c r="I66" s="192" t="s">
        <v>71</v>
      </c>
      <c r="J66" s="192" t="s">
        <v>71</v>
      </c>
      <c r="K66" s="192" t="s">
        <v>71</v>
      </c>
      <c r="L66" s="192" t="s">
        <v>71</v>
      </c>
      <c r="M66" s="192" t="s">
        <v>71</v>
      </c>
      <c r="N66" s="192" t="s">
        <v>234</v>
      </c>
      <c r="O66" s="192" t="s">
        <v>71</v>
      </c>
      <c r="P66" s="192" t="s">
        <v>71</v>
      </c>
      <c r="Q66" s="192" t="s">
        <v>71</v>
      </c>
      <c r="R66" s="192" t="s">
        <v>71</v>
      </c>
      <c r="S66" s="192" t="s">
        <v>71</v>
      </c>
      <c r="T66" s="192" t="s">
        <v>71</v>
      </c>
      <c r="U66" s="192" t="s">
        <v>234</v>
      </c>
      <c r="V66" s="192" t="s">
        <v>71</v>
      </c>
      <c r="W66" s="192" t="s">
        <v>71</v>
      </c>
      <c r="X66" s="192" t="s">
        <v>71</v>
      </c>
      <c r="Y66" s="192" t="s">
        <v>71</v>
      </c>
      <c r="Z66" s="192" t="s">
        <v>71</v>
      </c>
      <c r="AA66" s="192" t="s">
        <v>71</v>
      </c>
      <c r="AB66" s="192" t="s">
        <v>234</v>
      </c>
      <c r="AC66" s="192" t="s">
        <v>71</v>
      </c>
      <c r="AD66" s="192" t="s">
        <v>71</v>
      </c>
      <c r="AE66" s="191" t="s">
        <v>71</v>
      </c>
      <c r="AF66" s="196" t="s">
        <v>71</v>
      </c>
      <c r="AG66" s="196" t="s">
        <v>73</v>
      </c>
      <c r="AH66" s="196" t="s">
        <v>71</v>
      </c>
      <c r="AI66" s="196" t="s">
        <v>234</v>
      </c>
      <c r="AJ66" s="196" t="s">
        <v>71</v>
      </c>
      <c r="AK66" s="192" t="s">
        <v>71</v>
      </c>
      <c r="AL66" s="240">
        <f>SUM(COUNTIFS(G66:AK66,"A"))</f>
        <v>0</v>
      </c>
      <c r="AM66" s="240">
        <f>SUM(COUNTIFS(G66:AK66,"B"))</f>
        <v>1</v>
      </c>
      <c r="AN66" s="240">
        <f>SUM(COUNTIFS(G66:AK66,"C"))</f>
        <v>0</v>
      </c>
      <c r="AO66" s="240">
        <f>SUM(COUNTIFS(G66:AK66,"G"))</f>
        <v>25</v>
      </c>
      <c r="AP66" s="240">
        <f>SUM(COUNTIFS(G66:AK66,"W"))</f>
        <v>5</v>
      </c>
      <c r="AQ66" s="240">
        <f>SUM(COUNTIFS(G67:AK67,"A"))+(COUNTIFS(G67:AK67,"B"))+(COUNTIFS(G67:AK67,"C"))+(COUNTIFS(G67:AK67,"G"))</f>
        <v>0</v>
      </c>
      <c r="AR66" s="242">
        <f>SUM(COUNTIFS(G66:AK66,"PH"))</f>
        <v>0</v>
      </c>
      <c r="AS66" s="284">
        <f>AL66+AM66+AN66+AO66+AR66+AP66+AQ66</f>
        <v>31</v>
      </c>
    </row>
    <row r="67" spans="1:45" s="193" customFormat="1" ht="18.75" x14ac:dyDescent="0.25">
      <c r="A67" s="254"/>
      <c r="B67" s="247"/>
      <c r="C67" s="247"/>
      <c r="D67" s="247"/>
      <c r="E67" s="247"/>
      <c r="F67" s="191" t="s">
        <v>237</v>
      </c>
      <c r="G67" s="192"/>
      <c r="H67" s="192"/>
      <c r="I67" s="192"/>
      <c r="J67" s="192"/>
      <c r="K67" s="192"/>
      <c r="L67" s="192"/>
      <c r="M67" s="192"/>
      <c r="N67" s="192"/>
      <c r="O67" s="192"/>
      <c r="P67" s="192"/>
      <c r="Q67" s="192"/>
      <c r="R67" s="192"/>
      <c r="S67" s="192"/>
      <c r="T67" s="192"/>
      <c r="U67" s="192"/>
      <c r="V67" s="192"/>
      <c r="W67" s="191"/>
      <c r="X67" s="191"/>
      <c r="Y67" s="192"/>
      <c r="Z67" s="191"/>
      <c r="AA67" s="191"/>
      <c r="AB67" s="191"/>
      <c r="AC67" s="191"/>
      <c r="AD67" s="191"/>
      <c r="AE67" s="191"/>
      <c r="AF67" s="191"/>
      <c r="AG67" s="191"/>
      <c r="AH67" s="191"/>
      <c r="AI67" s="191"/>
      <c r="AJ67" s="191"/>
      <c r="AK67" s="192"/>
      <c r="AL67" s="241"/>
      <c r="AM67" s="241"/>
      <c r="AN67" s="241"/>
      <c r="AO67" s="241"/>
      <c r="AP67" s="241"/>
      <c r="AQ67" s="241"/>
      <c r="AR67" s="243"/>
      <c r="AS67" s="284"/>
    </row>
    <row r="68" spans="1:45" s="193" customFormat="1" ht="18.75" x14ac:dyDescent="0.25">
      <c r="A68" s="253">
        <v>33</v>
      </c>
      <c r="B68" s="248">
        <v>11273</v>
      </c>
      <c r="C68" s="246" t="s">
        <v>362</v>
      </c>
      <c r="D68" s="244">
        <v>11153</v>
      </c>
      <c r="E68" s="246" t="s">
        <v>43</v>
      </c>
      <c r="F68" s="191" t="s">
        <v>233</v>
      </c>
      <c r="G68" s="192" t="s">
        <v>74</v>
      </c>
      <c r="H68" s="192" t="s">
        <v>74</v>
      </c>
      <c r="I68" s="192" t="s">
        <v>234</v>
      </c>
      <c r="J68" s="192" t="s">
        <v>71</v>
      </c>
      <c r="K68" s="192" t="s">
        <v>73</v>
      </c>
      <c r="L68" s="192" t="s">
        <v>73</v>
      </c>
      <c r="M68" s="192" t="s">
        <v>73</v>
      </c>
      <c r="N68" s="192" t="s">
        <v>74</v>
      </c>
      <c r="O68" s="192" t="s">
        <v>74</v>
      </c>
      <c r="P68" s="192" t="s">
        <v>234</v>
      </c>
      <c r="Q68" s="192" t="s">
        <v>71</v>
      </c>
      <c r="R68" s="192" t="s">
        <v>75</v>
      </c>
      <c r="S68" s="192" t="s">
        <v>74</v>
      </c>
      <c r="T68" s="192" t="s">
        <v>74</v>
      </c>
      <c r="U68" s="192" t="s">
        <v>74</v>
      </c>
      <c r="V68" s="196" t="s">
        <v>74</v>
      </c>
      <c r="W68" s="196" t="s">
        <v>234</v>
      </c>
      <c r="X68" s="196" t="s">
        <v>71</v>
      </c>
      <c r="Y68" s="192" t="s">
        <v>73</v>
      </c>
      <c r="Z68" s="192" t="s">
        <v>74</v>
      </c>
      <c r="AA68" s="192" t="s">
        <v>74</v>
      </c>
      <c r="AB68" s="192" t="s">
        <v>74</v>
      </c>
      <c r="AC68" s="192" t="s">
        <v>74</v>
      </c>
      <c r="AD68" s="192" t="s">
        <v>234</v>
      </c>
      <c r="AE68" s="192" t="s">
        <v>75</v>
      </c>
      <c r="AF68" s="192" t="s">
        <v>75</v>
      </c>
      <c r="AG68" s="192" t="s">
        <v>74</v>
      </c>
      <c r="AH68" s="192" t="s">
        <v>73</v>
      </c>
      <c r="AI68" s="192" t="s">
        <v>73</v>
      </c>
      <c r="AJ68" s="192" t="s">
        <v>74</v>
      </c>
      <c r="AK68" s="192" t="s">
        <v>234</v>
      </c>
      <c r="AL68" s="240">
        <f t="shared" ref="AL68" si="208">SUM(COUNTIFS(G68:AK68,"A"))</f>
        <v>3</v>
      </c>
      <c r="AM68" s="240">
        <f t="shared" ref="AM68" si="209">SUM(COUNTIFS(G68:AK68,"B"))</f>
        <v>6</v>
      </c>
      <c r="AN68" s="240">
        <f t="shared" ref="AN68" si="210">SUM(COUNTIFS(G68:AK68,"C"))</f>
        <v>14</v>
      </c>
      <c r="AO68" s="240">
        <f t="shared" ref="AO68" si="211">SUM(COUNTIFS(G68:AK68,"G"))</f>
        <v>3</v>
      </c>
      <c r="AP68" s="240">
        <f t="shared" ref="AP68" si="212">SUM(COUNTIFS(G68:AK68,"W"))</f>
        <v>5</v>
      </c>
      <c r="AQ68" s="240">
        <f t="shared" ref="AQ68" si="213">SUM(COUNTIFS(G69:AK69,"A"))+(COUNTIFS(G69:AK69,"B"))+(COUNTIFS(G69:AK69,"C"))+(COUNTIFS(G69:AK69,"G"))</f>
        <v>0</v>
      </c>
      <c r="AR68" s="242">
        <f t="shared" ref="AR68" si="214">SUM(COUNTIFS(G68:AK68,"PH"))</f>
        <v>0</v>
      </c>
      <c r="AS68" s="284">
        <f t="shared" ref="AS68" si="215">AL68+AM68+AN68+AO68+AR68+AP68+AQ68</f>
        <v>31</v>
      </c>
    </row>
    <row r="69" spans="1:45" s="193" customFormat="1" ht="18.75" x14ac:dyDescent="0.25">
      <c r="A69" s="254"/>
      <c r="B69" s="248"/>
      <c r="C69" s="247"/>
      <c r="D69" s="245"/>
      <c r="E69" s="247"/>
      <c r="F69" s="191" t="s">
        <v>237</v>
      </c>
      <c r="G69" s="196"/>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241"/>
      <c r="AM69" s="241"/>
      <c r="AN69" s="241"/>
      <c r="AO69" s="241"/>
      <c r="AP69" s="241"/>
      <c r="AQ69" s="241"/>
      <c r="AR69" s="243"/>
      <c r="AS69" s="284"/>
    </row>
    <row r="70" spans="1:45" s="193" customFormat="1" ht="18.75" x14ac:dyDescent="0.25">
      <c r="A70" s="253">
        <v>34</v>
      </c>
      <c r="B70" s="248">
        <v>11551</v>
      </c>
      <c r="C70" s="246" t="s">
        <v>430</v>
      </c>
      <c r="D70" s="248">
        <v>11180</v>
      </c>
      <c r="E70" s="244" t="s">
        <v>43</v>
      </c>
      <c r="F70" s="191" t="s">
        <v>233</v>
      </c>
      <c r="G70" s="196" t="s">
        <v>75</v>
      </c>
      <c r="H70" s="192" t="s">
        <v>73</v>
      </c>
      <c r="I70" s="196" t="s">
        <v>74</v>
      </c>
      <c r="J70" s="196" t="s">
        <v>74</v>
      </c>
      <c r="K70" s="196" t="s">
        <v>234</v>
      </c>
      <c r="L70" s="196" t="s">
        <v>75</v>
      </c>
      <c r="M70" s="196" t="s">
        <v>75</v>
      </c>
      <c r="N70" s="196" t="s">
        <v>75</v>
      </c>
      <c r="O70" s="196" t="s">
        <v>73</v>
      </c>
      <c r="P70" s="196" t="s">
        <v>74</v>
      </c>
      <c r="Q70" s="196" t="s">
        <v>74</v>
      </c>
      <c r="R70" s="196" t="s">
        <v>234</v>
      </c>
      <c r="S70" s="196" t="s">
        <v>75</v>
      </c>
      <c r="T70" s="196" t="s">
        <v>75</v>
      </c>
      <c r="U70" s="196" t="s">
        <v>73</v>
      </c>
      <c r="V70" s="196" t="s">
        <v>73</v>
      </c>
      <c r="W70" s="196" t="s">
        <v>74</v>
      </c>
      <c r="X70" s="196" t="s">
        <v>74</v>
      </c>
      <c r="Y70" s="192" t="s">
        <v>234</v>
      </c>
      <c r="Z70" s="192" t="s">
        <v>73</v>
      </c>
      <c r="AA70" s="192" t="s">
        <v>73</v>
      </c>
      <c r="AB70" s="192" t="s">
        <v>73</v>
      </c>
      <c r="AC70" s="192" t="s">
        <v>73</v>
      </c>
      <c r="AD70" s="192" t="s">
        <v>74</v>
      </c>
      <c r="AE70" s="192" t="s">
        <v>74</v>
      </c>
      <c r="AF70" s="192" t="s">
        <v>234</v>
      </c>
      <c r="AG70" s="192" t="s">
        <v>73</v>
      </c>
      <c r="AH70" s="192" t="s">
        <v>75</v>
      </c>
      <c r="AI70" s="192" t="s">
        <v>75</v>
      </c>
      <c r="AJ70" s="192" t="s">
        <v>75</v>
      </c>
      <c r="AK70" s="192" t="s">
        <v>74</v>
      </c>
      <c r="AL70" s="240">
        <f t="shared" ref="AL70" si="216">SUM(COUNTIFS(G70:AK70,"A"))</f>
        <v>9</v>
      </c>
      <c r="AM70" s="240">
        <f t="shared" ref="AM70" si="217">SUM(COUNTIFS(G70:AK70,"B"))</f>
        <v>9</v>
      </c>
      <c r="AN70" s="240">
        <f t="shared" ref="AN70" si="218">SUM(COUNTIFS(G70:AK70,"C"))</f>
        <v>9</v>
      </c>
      <c r="AO70" s="240">
        <f t="shared" ref="AO70" si="219">SUM(COUNTIFS(G70:AK70,"G"))</f>
        <v>0</v>
      </c>
      <c r="AP70" s="240">
        <f t="shared" ref="AP70" si="220">SUM(COUNTIFS(G70:AK70,"W"))</f>
        <v>4</v>
      </c>
      <c r="AQ70" s="240">
        <f t="shared" ref="AQ70" si="221">SUM(COUNTIFS(G71:AK71,"A"))+(COUNTIFS(G71:AK71,"B"))+(COUNTIFS(G71:AK71,"C"))+(COUNTIFS(G71:AK71,"G"))</f>
        <v>0</v>
      </c>
      <c r="AR70" s="242">
        <f t="shared" ref="AR70" si="222">SUM(COUNTIFS(G70:AK70,"PH"))</f>
        <v>0</v>
      </c>
      <c r="AS70" s="284">
        <f t="shared" ref="AS70" si="223">AL70+AM70+AN70+AO70+AR70+AP70+AQ70</f>
        <v>31</v>
      </c>
    </row>
    <row r="71" spans="1:45" s="193" customFormat="1" ht="18.75" x14ac:dyDescent="0.25">
      <c r="A71" s="254"/>
      <c r="B71" s="248"/>
      <c r="C71" s="247"/>
      <c r="D71" s="248"/>
      <c r="E71" s="245"/>
      <c r="F71" s="191" t="s">
        <v>237</v>
      </c>
      <c r="G71" s="196"/>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c r="AE71" s="196"/>
      <c r="AF71" s="196"/>
      <c r="AG71" s="196"/>
      <c r="AH71" s="196"/>
      <c r="AI71" s="196"/>
      <c r="AJ71" s="196"/>
      <c r="AK71" s="196"/>
      <c r="AL71" s="241"/>
      <c r="AM71" s="241"/>
      <c r="AN71" s="241"/>
      <c r="AO71" s="241"/>
      <c r="AP71" s="241"/>
      <c r="AQ71" s="241"/>
      <c r="AR71" s="243"/>
      <c r="AS71" s="284"/>
    </row>
    <row r="72" spans="1:45" s="193" customFormat="1" ht="18.75" x14ac:dyDescent="0.25">
      <c r="A72" s="253">
        <v>35</v>
      </c>
      <c r="B72" s="244">
        <v>11907</v>
      </c>
      <c r="C72" s="246" t="s">
        <v>431</v>
      </c>
      <c r="D72" s="244">
        <v>11213</v>
      </c>
      <c r="E72" s="244" t="s">
        <v>43</v>
      </c>
      <c r="F72" s="191" t="s">
        <v>233</v>
      </c>
      <c r="G72" s="196" t="s">
        <v>73</v>
      </c>
      <c r="H72" s="192" t="s">
        <v>75</v>
      </c>
      <c r="I72" s="196" t="s">
        <v>73</v>
      </c>
      <c r="J72" s="196" t="s">
        <v>73</v>
      </c>
      <c r="K72" s="196" t="s">
        <v>74</v>
      </c>
      <c r="L72" s="196" t="s">
        <v>234</v>
      </c>
      <c r="M72" s="196" t="s">
        <v>74</v>
      </c>
      <c r="N72" s="196" t="s">
        <v>73</v>
      </c>
      <c r="O72" s="196" t="s">
        <v>75</v>
      </c>
      <c r="P72" s="196" t="s">
        <v>73</v>
      </c>
      <c r="Q72" s="196" t="s">
        <v>73</v>
      </c>
      <c r="R72" s="196" t="s">
        <v>74</v>
      </c>
      <c r="S72" s="196" t="s">
        <v>234</v>
      </c>
      <c r="T72" s="196" t="s">
        <v>73</v>
      </c>
      <c r="U72" s="196" t="s">
        <v>75</v>
      </c>
      <c r="V72" s="196" t="s">
        <v>75</v>
      </c>
      <c r="W72" s="196" t="s">
        <v>73</v>
      </c>
      <c r="X72" s="196" t="s">
        <v>73</v>
      </c>
      <c r="Y72" s="196" t="s">
        <v>74</v>
      </c>
      <c r="Z72" s="196" t="s">
        <v>234</v>
      </c>
      <c r="AA72" s="196" t="s">
        <v>75</v>
      </c>
      <c r="AB72" s="192" t="s">
        <v>75</v>
      </c>
      <c r="AC72" s="196" t="s">
        <v>75</v>
      </c>
      <c r="AD72" s="196" t="s">
        <v>75</v>
      </c>
      <c r="AE72" s="196" t="s">
        <v>73</v>
      </c>
      <c r="AF72" s="196" t="s">
        <v>74</v>
      </c>
      <c r="AG72" s="196" t="s">
        <v>234</v>
      </c>
      <c r="AH72" s="196" t="s">
        <v>74</v>
      </c>
      <c r="AI72" s="192" t="s">
        <v>74</v>
      </c>
      <c r="AJ72" s="192" t="s">
        <v>73</v>
      </c>
      <c r="AK72" s="196" t="s">
        <v>75</v>
      </c>
      <c r="AL72" s="240">
        <f t="shared" ref="AL72" si="224">SUM(COUNTIFS(G72:AK72,"A"))</f>
        <v>9</v>
      </c>
      <c r="AM72" s="240">
        <f t="shared" ref="AM72" si="225">SUM(COUNTIFS(G72:AK72,"B"))</f>
        <v>11</v>
      </c>
      <c r="AN72" s="240">
        <f t="shared" ref="AN72" si="226">SUM(COUNTIFS(G72:AK72,"C"))</f>
        <v>7</v>
      </c>
      <c r="AO72" s="240">
        <f t="shared" ref="AO72" si="227">SUM(COUNTIFS(G72:AK72,"G"))</f>
        <v>0</v>
      </c>
      <c r="AP72" s="240">
        <f t="shared" ref="AP72" si="228">SUM(COUNTIFS(G72:AK72,"W"))</f>
        <v>4</v>
      </c>
      <c r="AQ72" s="240">
        <f t="shared" ref="AQ72" si="229">SUM(COUNTIFS(G73:AK73,"A"))+(COUNTIFS(G73:AK73,"B"))+(COUNTIFS(G73:AK73,"C"))+(COUNTIFS(G73:AK73,"G"))</f>
        <v>0</v>
      </c>
      <c r="AR72" s="242">
        <f t="shared" ref="AR72" si="230">SUM(COUNTIFS(G72:AK72,"PH"))</f>
        <v>0</v>
      </c>
      <c r="AS72" s="284">
        <f t="shared" ref="AS72" si="231">AL72+AM72+AN72+AO72+AR72+AP72+AQ72</f>
        <v>31</v>
      </c>
    </row>
    <row r="73" spans="1:45" s="193" customFormat="1" ht="18.75" x14ac:dyDescent="0.25">
      <c r="A73" s="254"/>
      <c r="B73" s="245"/>
      <c r="C73" s="247"/>
      <c r="D73" s="245"/>
      <c r="E73" s="245"/>
      <c r="F73" s="197" t="s">
        <v>237</v>
      </c>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241"/>
      <c r="AM73" s="241"/>
      <c r="AN73" s="241"/>
      <c r="AO73" s="241"/>
      <c r="AP73" s="241"/>
      <c r="AQ73" s="241"/>
      <c r="AR73" s="243"/>
      <c r="AS73" s="284"/>
    </row>
    <row r="74" spans="1:45" s="193" customFormat="1" ht="18.75" x14ac:dyDescent="0.25">
      <c r="A74" s="253">
        <v>36</v>
      </c>
      <c r="B74" s="244">
        <v>10990</v>
      </c>
      <c r="C74" s="246" t="s">
        <v>39</v>
      </c>
      <c r="D74" s="246">
        <v>11091</v>
      </c>
      <c r="E74" s="244" t="s">
        <v>38</v>
      </c>
      <c r="F74" s="191" t="s">
        <v>233</v>
      </c>
      <c r="G74" s="192" t="s">
        <v>76</v>
      </c>
      <c r="H74" s="192" t="s">
        <v>73</v>
      </c>
      <c r="I74" s="192" t="s">
        <v>75</v>
      </c>
      <c r="J74" s="192" t="s">
        <v>76</v>
      </c>
      <c r="K74" s="192" t="s">
        <v>76</v>
      </c>
      <c r="L74" s="192" t="s">
        <v>76</v>
      </c>
      <c r="M74" s="192" t="s">
        <v>76</v>
      </c>
      <c r="N74" s="192" t="s">
        <v>76</v>
      </c>
      <c r="O74" s="192" t="s">
        <v>76</v>
      </c>
      <c r="P74" s="192" t="s">
        <v>76</v>
      </c>
      <c r="Q74" s="192" t="s">
        <v>76</v>
      </c>
      <c r="R74" s="192" t="s">
        <v>76</v>
      </c>
      <c r="S74" s="192" t="s">
        <v>76</v>
      </c>
      <c r="T74" s="192" t="s">
        <v>76</v>
      </c>
      <c r="U74" s="192" t="s">
        <v>76</v>
      </c>
      <c r="V74" s="192" t="s">
        <v>76</v>
      </c>
      <c r="W74" s="192" t="s">
        <v>76</v>
      </c>
      <c r="X74" s="192" t="s">
        <v>76</v>
      </c>
      <c r="Y74" s="192" t="s">
        <v>76</v>
      </c>
      <c r="Z74" s="192" t="s">
        <v>76</v>
      </c>
      <c r="AA74" s="192" t="s">
        <v>76</v>
      </c>
      <c r="AB74" s="192" t="s">
        <v>76</v>
      </c>
      <c r="AC74" s="192" t="s">
        <v>76</v>
      </c>
      <c r="AD74" s="192" t="s">
        <v>76</v>
      </c>
      <c r="AE74" s="192" t="s">
        <v>76</v>
      </c>
      <c r="AF74" s="192" t="s">
        <v>76</v>
      </c>
      <c r="AG74" s="192" t="s">
        <v>76</v>
      </c>
      <c r="AH74" s="192" t="s">
        <v>76</v>
      </c>
      <c r="AI74" s="192" t="s">
        <v>76</v>
      </c>
      <c r="AJ74" s="192" t="s">
        <v>76</v>
      </c>
      <c r="AK74" s="192" t="s">
        <v>76</v>
      </c>
      <c r="AL74" s="240">
        <f t="shared" ref="AL74" si="232">SUM(COUNTIFS(G74:AK74,"A"))</f>
        <v>1</v>
      </c>
      <c r="AM74" s="240">
        <f t="shared" ref="AM74" si="233">SUM(COUNTIFS(G74:AK74,"B"))</f>
        <v>1</v>
      </c>
      <c r="AN74" s="240">
        <f t="shared" ref="AN74" si="234">SUM(COUNTIFS(G74:AK74,"C"))</f>
        <v>0</v>
      </c>
      <c r="AO74" s="240">
        <f t="shared" ref="AO74" si="235">SUM(COUNTIFS(G74:AK74,"G"))</f>
        <v>0</v>
      </c>
      <c r="AP74" s="240">
        <f t="shared" ref="AP74" si="236">SUM(COUNTIFS(G74:AK74,"W"))</f>
        <v>0</v>
      </c>
      <c r="AQ74" s="240">
        <f t="shared" ref="AQ74" si="237">SUM(COUNTIFS(G75:AK75,"A"))+(COUNTIFS(G75:AK75,"B"))+(COUNTIFS(G75:AK75,"C"))+(COUNTIFS(G75:AK75,"G"))</f>
        <v>0</v>
      </c>
      <c r="AR74" s="242">
        <f t="shared" ref="AR74" si="238">SUM(COUNTIFS(G74:AK74,"PH"))</f>
        <v>0</v>
      </c>
      <c r="AS74" s="284">
        <f t="shared" ref="AS74" si="239">AL74+AM74+AN74+AO74+AR74+AP74+AQ74</f>
        <v>2</v>
      </c>
    </row>
    <row r="75" spans="1:45" s="193" customFormat="1" ht="18.75" x14ac:dyDescent="0.25">
      <c r="A75" s="254"/>
      <c r="B75" s="245"/>
      <c r="C75" s="247"/>
      <c r="D75" s="247"/>
      <c r="E75" s="245"/>
      <c r="F75" s="191" t="s">
        <v>237</v>
      </c>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241"/>
      <c r="AM75" s="241"/>
      <c r="AN75" s="241"/>
      <c r="AO75" s="241"/>
      <c r="AP75" s="241"/>
      <c r="AQ75" s="241"/>
      <c r="AR75" s="243"/>
      <c r="AS75" s="284"/>
    </row>
    <row r="76" spans="1:45" s="193" customFormat="1" ht="18.75" x14ac:dyDescent="0.25">
      <c r="A76" s="253">
        <v>37</v>
      </c>
      <c r="B76" s="248">
        <v>11</v>
      </c>
      <c r="C76" s="251" t="s">
        <v>432</v>
      </c>
      <c r="D76" s="248">
        <v>11234</v>
      </c>
      <c r="E76" s="244" t="s">
        <v>38</v>
      </c>
      <c r="F76" s="191" t="s">
        <v>233</v>
      </c>
      <c r="G76" s="306" t="s">
        <v>387</v>
      </c>
      <c r="H76" s="307"/>
      <c r="I76" s="308"/>
      <c r="J76" s="196" t="s">
        <v>71</v>
      </c>
      <c r="K76" s="196" t="s">
        <v>71</v>
      </c>
      <c r="L76" s="196" t="s">
        <v>71</v>
      </c>
      <c r="M76" s="196" t="s">
        <v>71</v>
      </c>
      <c r="N76" s="196" t="s">
        <v>71</v>
      </c>
      <c r="O76" s="196" t="s">
        <v>75</v>
      </c>
      <c r="P76" s="196" t="s">
        <v>71</v>
      </c>
      <c r="Q76" s="196" t="s">
        <v>71</v>
      </c>
      <c r="R76" s="196" t="s">
        <v>75</v>
      </c>
      <c r="S76" s="196" t="s">
        <v>71</v>
      </c>
      <c r="T76" s="196" t="s">
        <v>75</v>
      </c>
      <c r="U76" s="196" t="s">
        <v>74</v>
      </c>
      <c r="V76" s="196" t="s">
        <v>74</v>
      </c>
      <c r="W76" s="196" t="s">
        <v>71</v>
      </c>
      <c r="X76" s="196" t="s">
        <v>234</v>
      </c>
      <c r="Y76" s="196" t="s">
        <v>75</v>
      </c>
      <c r="Z76" s="196" t="s">
        <v>71</v>
      </c>
      <c r="AA76" s="196" t="s">
        <v>74</v>
      </c>
      <c r="AB76" s="196" t="s">
        <v>74</v>
      </c>
      <c r="AC76" s="196" t="s">
        <v>73</v>
      </c>
      <c r="AD76" s="196" t="s">
        <v>234</v>
      </c>
      <c r="AE76" s="196" t="s">
        <v>71</v>
      </c>
      <c r="AF76" s="196" t="s">
        <v>75</v>
      </c>
      <c r="AG76" s="196" t="s">
        <v>71</v>
      </c>
      <c r="AH76" s="196" t="s">
        <v>75</v>
      </c>
      <c r="AI76" s="196" t="s">
        <v>75</v>
      </c>
      <c r="AJ76" s="196" t="s">
        <v>75</v>
      </c>
      <c r="AK76" s="196" t="s">
        <v>234</v>
      </c>
      <c r="AL76" s="240">
        <f t="shared" ref="AL76" si="240">SUM(COUNTIFS(G76:AK76,"A"))</f>
        <v>8</v>
      </c>
      <c r="AM76" s="240">
        <f t="shared" ref="AM76" si="241">SUM(COUNTIFS(G76:AK76,"B"))</f>
        <v>1</v>
      </c>
      <c r="AN76" s="240">
        <f t="shared" ref="AN76" si="242">SUM(COUNTIFS(G76:AK76,"C"))</f>
        <v>4</v>
      </c>
      <c r="AO76" s="240">
        <f t="shared" ref="AO76" si="243">SUM(COUNTIFS(G76:AK76,"G"))</f>
        <v>12</v>
      </c>
      <c r="AP76" s="240">
        <f t="shared" ref="AP76" si="244">SUM(COUNTIFS(G76:AK76,"W"))</f>
        <v>3</v>
      </c>
      <c r="AQ76" s="240">
        <f t="shared" ref="AQ76" si="245">SUM(COUNTIFS(G77:AK77,"A"))+(COUNTIFS(G77:AK77,"B"))+(COUNTIFS(G77:AK77,"C"))+(COUNTIFS(G77:AK77,"G"))</f>
        <v>0</v>
      </c>
      <c r="AR76" s="242">
        <f t="shared" ref="AR76" si="246">SUM(COUNTIFS(G76:AK76,"PH"))</f>
        <v>0</v>
      </c>
      <c r="AS76" s="284">
        <f t="shared" ref="AS76" si="247">AL76+AM76+AN76+AO76+AR76+AP76+AQ76</f>
        <v>28</v>
      </c>
    </row>
    <row r="77" spans="1:45" s="193" customFormat="1" ht="18.75" x14ac:dyDescent="0.25">
      <c r="A77" s="254"/>
      <c r="B77" s="248"/>
      <c r="C77" s="252"/>
      <c r="D77" s="248"/>
      <c r="E77" s="245"/>
      <c r="F77" s="191" t="s">
        <v>237</v>
      </c>
      <c r="G77" s="309"/>
      <c r="H77" s="310"/>
      <c r="I77" s="311"/>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241"/>
      <c r="AM77" s="241"/>
      <c r="AN77" s="241"/>
      <c r="AO77" s="241"/>
      <c r="AP77" s="241"/>
      <c r="AQ77" s="241"/>
      <c r="AR77" s="243"/>
      <c r="AS77" s="284"/>
    </row>
    <row r="78" spans="1:45" s="193" customFormat="1" ht="18.75" x14ac:dyDescent="0.25">
      <c r="A78" s="253">
        <v>38</v>
      </c>
      <c r="B78" s="246">
        <v>11311</v>
      </c>
      <c r="C78" s="246" t="s">
        <v>360</v>
      </c>
      <c r="D78" s="246">
        <v>11155</v>
      </c>
      <c r="E78" s="246" t="s">
        <v>38</v>
      </c>
      <c r="F78" s="191" t="s">
        <v>233</v>
      </c>
      <c r="G78" s="192" t="s">
        <v>75</v>
      </c>
      <c r="H78" s="192" t="s">
        <v>75</v>
      </c>
      <c r="I78" s="192" t="s">
        <v>74</v>
      </c>
      <c r="J78" s="196" t="s">
        <v>74</v>
      </c>
      <c r="K78" s="196" t="s">
        <v>234</v>
      </c>
      <c r="L78" s="196" t="s">
        <v>74</v>
      </c>
      <c r="M78" s="196" t="s">
        <v>74</v>
      </c>
      <c r="N78" s="196" t="s">
        <v>74</v>
      </c>
      <c r="O78" s="196" t="s">
        <v>73</v>
      </c>
      <c r="P78" s="196" t="s">
        <v>75</v>
      </c>
      <c r="Q78" s="196" t="s">
        <v>75</v>
      </c>
      <c r="R78" s="196" t="s">
        <v>234</v>
      </c>
      <c r="S78" s="196" t="s">
        <v>74</v>
      </c>
      <c r="T78" s="192" t="s">
        <v>74</v>
      </c>
      <c r="U78" s="192" t="s">
        <v>74</v>
      </c>
      <c r="V78" s="196" t="s">
        <v>73</v>
      </c>
      <c r="W78" s="196" t="s">
        <v>73</v>
      </c>
      <c r="X78" s="196" t="s">
        <v>75</v>
      </c>
      <c r="Y78" s="192" t="s">
        <v>234</v>
      </c>
      <c r="Z78" s="192" t="s">
        <v>74</v>
      </c>
      <c r="AA78" s="192" t="s">
        <v>73</v>
      </c>
      <c r="AB78" s="192" t="s">
        <v>73</v>
      </c>
      <c r="AC78" s="196" t="s">
        <v>75</v>
      </c>
      <c r="AD78" s="196" t="s">
        <v>73</v>
      </c>
      <c r="AE78" s="192" t="s">
        <v>75</v>
      </c>
      <c r="AF78" s="192" t="s">
        <v>234</v>
      </c>
      <c r="AG78" s="192" t="s">
        <v>74</v>
      </c>
      <c r="AH78" s="192" t="s">
        <v>74</v>
      </c>
      <c r="AI78" s="192" t="s">
        <v>74</v>
      </c>
      <c r="AJ78" s="192" t="s">
        <v>73</v>
      </c>
      <c r="AK78" s="196" t="s">
        <v>75</v>
      </c>
      <c r="AL78" s="240">
        <f>SUM(COUNTIFS(G78:AK78,"A"))</f>
        <v>8</v>
      </c>
      <c r="AM78" s="240">
        <f>SUM(COUNTIFS(G78:AK78,"B"))</f>
        <v>7</v>
      </c>
      <c r="AN78" s="240">
        <f>SUM(COUNTIFS(G78:AK78,"C"))</f>
        <v>12</v>
      </c>
      <c r="AO78" s="240">
        <f>SUM(COUNTIFS(G78:AK78,"G"))</f>
        <v>0</v>
      </c>
      <c r="AP78" s="240">
        <f>SUM(COUNTIFS(G78:AK78,"W"))</f>
        <v>4</v>
      </c>
      <c r="AQ78" s="240">
        <f>SUM(COUNTIFS(G79:AK79,"A"))+(COUNTIFS(G79:AK79,"B"))+(COUNTIFS(G79:AK79,"C"))+(COUNTIFS(G79:AK79,"G"))</f>
        <v>0</v>
      </c>
      <c r="AR78" s="242">
        <f>SUM(COUNTIFS(G78:AK78,"PH"))</f>
        <v>0</v>
      </c>
      <c r="AS78" s="284">
        <f>AL78+AM78+AN78+AO78+AR78+AP78+AQ78</f>
        <v>31</v>
      </c>
    </row>
    <row r="79" spans="1:45" s="193" customFormat="1" ht="18.75" x14ac:dyDescent="0.25">
      <c r="A79" s="254"/>
      <c r="B79" s="247"/>
      <c r="C79" s="247"/>
      <c r="D79" s="247"/>
      <c r="E79" s="247"/>
      <c r="F79" s="191" t="s">
        <v>237</v>
      </c>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241"/>
      <c r="AM79" s="241"/>
      <c r="AN79" s="241"/>
      <c r="AO79" s="241"/>
      <c r="AP79" s="241"/>
      <c r="AQ79" s="241"/>
      <c r="AR79" s="243"/>
      <c r="AS79" s="284"/>
    </row>
    <row r="80" spans="1:45" s="193" customFormat="1" ht="18.75" x14ac:dyDescent="0.25">
      <c r="A80" s="253">
        <v>39</v>
      </c>
      <c r="B80" s="248">
        <v>11376</v>
      </c>
      <c r="C80" s="255" t="s">
        <v>390</v>
      </c>
      <c r="D80" s="248">
        <v>11220</v>
      </c>
      <c r="E80" s="246" t="s">
        <v>38</v>
      </c>
      <c r="F80" s="191" t="s">
        <v>233</v>
      </c>
      <c r="G80" s="196" t="s">
        <v>73</v>
      </c>
      <c r="H80" s="196" t="s">
        <v>74</v>
      </c>
      <c r="I80" s="196" t="s">
        <v>73</v>
      </c>
      <c r="J80" s="196" t="s">
        <v>73</v>
      </c>
      <c r="K80" s="196" t="s">
        <v>74</v>
      </c>
      <c r="L80" s="196" t="s">
        <v>73</v>
      </c>
      <c r="M80" s="196" t="s">
        <v>75</v>
      </c>
      <c r="N80" s="196" t="s">
        <v>75</v>
      </c>
      <c r="O80" s="196" t="s">
        <v>74</v>
      </c>
      <c r="P80" s="196" t="s">
        <v>74</v>
      </c>
      <c r="Q80" s="196" t="s">
        <v>73</v>
      </c>
      <c r="R80" s="196" t="s">
        <v>73</v>
      </c>
      <c r="S80" s="196" t="s">
        <v>75</v>
      </c>
      <c r="T80" s="196" t="s">
        <v>234</v>
      </c>
      <c r="U80" s="196" t="s">
        <v>73</v>
      </c>
      <c r="V80" s="196" t="s">
        <v>75</v>
      </c>
      <c r="W80" s="196" t="s">
        <v>75</v>
      </c>
      <c r="X80" s="196" t="s">
        <v>74</v>
      </c>
      <c r="Y80" s="196" t="s">
        <v>73</v>
      </c>
      <c r="Z80" s="196" t="s">
        <v>75</v>
      </c>
      <c r="AA80" s="196" t="s">
        <v>234</v>
      </c>
      <c r="AB80" s="196" t="s">
        <v>74</v>
      </c>
      <c r="AC80" s="196" t="s">
        <v>74</v>
      </c>
      <c r="AD80" s="196" t="s">
        <v>74</v>
      </c>
      <c r="AE80" s="196" t="s">
        <v>73</v>
      </c>
      <c r="AF80" s="196" t="s">
        <v>73</v>
      </c>
      <c r="AG80" s="196" t="s">
        <v>75</v>
      </c>
      <c r="AH80" s="196" t="s">
        <v>234</v>
      </c>
      <c r="AI80" s="196" t="s">
        <v>71</v>
      </c>
      <c r="AJ80" s="196" t="s">
        <v>75</v>
      </c>
      <c r="AK80" s="196" t="s">
        <v>73</v>
      </c>
      <c r="AL80" s="240">
        <f t="shared" ref="AL80" si="248">SUM(COUNTIFS(G80:AK80,"A"))</f>
        <v>8</v>
      </c>
      <c r="AM80" s="240">
        <f t="shared" ref="AM80" si="249">SUM(COUNTIFS(G80:AK80,"B"))</f>
        <v>11</v>
      </c>
      <c r="AN80" s="240">
        <f t="shared" ref="AN80" si="250">SUM(COUNTIFS(G80:AK80,"C"))</f>
        <v>8</v>
      </c>
      <c r="AO80" s="240">
        <f t="shared" ref="AO80" si="251">SUM(COUNTIFS(G80:AK80,"G"))</f>
        <v>1</v>
      </c>
      <c r="AP80" s="240">
        <f t="shared" ref="AP80" si="252">SUM(COUNTIFS(G80:AK80,"W"))</f>
        <v>3</v>
      </c>
      <c r="AQ80" s="240">
        <f t="shared" ref="AQ80" si="253">SUM(COUNTIFS(G81:AK81,"A"))+(COUNTIFS(G81:AK81,"B"))+(COUNTIFS(G81:AK81,"C"))+(COUNTIFS(G81:AK81,"G"))</f>
        <v>0</v>
      </c>
      <c r="AR80" s="242">
        <f t="shared" ref="AR80" si="254">SUM(COUNTIFS(G80:AK80,"PH"))</f>
        <v>0</v>
      </c>
      <c r="AS80" s="284">
        <f t="shared" ref="AS80" si="255">AL80+AM80+AN80+AO80+AR80+AP80+AQ80</f>
        <v>31</v>
      </c>
    </row>
    <row r="81" spans="1:45" s="193" customFormat="1" ht="18.75" x14ac:dyDescent="0.25">
      <c r="A81" s="254"/>
      <c r="B81" s="248"/>
      <c r="C81" s="256"/>
      <c r="D81" s="248"/>
      <c r="E81" s="247"/>
      <c r="F81" s="191" t="s">
        <v>237</v>
      </c>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241"/>
      <c r="AM81" s="241"/>
      <c r="AN81" s="241"/>
      <c r="AO81" s="241"/>
      <c r="AP81" s="241"/>
      <c r="AQ81" s="241"/>
      <c r="AR81" s="243"/>
      <c r="AS81" s="284"/>
    </row>
    <row r="82" spans="1:45" s="193" customFormat="1" ht="18.75" x14ac:dyDescent="0.25">
      <c r="A82" s="253">
        <v>40</v>
      </c>
      <c r="B82" s="246">
        <v>10980</v>
      </c>
      <c r="C82" s="246" t="s">
        <v>51</v>
      </c>
      <c r="D82" s="246">
        <v>10609</v>
      </c>
      <c r="E82" s="246" t="s">
        <v>345</v>
      </c>
      <c r="F82" s="191" t="s">
        <v>233</v>
      </c>
      <c r="G82" s="192" t="s">
        <v>75</v>
      </c>
      <c r="H82" s="192" t="s">
        <v>74</v>
      </c>
      <c r="I82" s="192" t="s">
        <v>234</v>
      </c>
      <c r="J82" s="192" t="s">
        <v>71</v>
      </c>
      <c r="K82" s="192" t="s">
        <v>75</v>
      </c>
      <c r="L82" s="192" t="s">
        <v>76</v>
      </c>
      <c r="M82" s="192" t="s">
        <v>76</v>
      </c>
      <c r="N82" s="192" t="s">
        <v>76</v>
      </c>
      <c r="O82" s="192" t="s">
        <v>76</v>
      </c>
      <c r="P82" s="192" t="s">
        <v>76</v>
      </c>
      <c r="Q82" s="192" t="s">
        <v>76</v>
      </c>
      <c r="R82" s="192" t="s">
        <v>76</v>
      </c>
      <c r="S82" s="192" t="s">
        <v>76</v>
      </c>
      <c r="T82" s="192" t="s">
        <v>76</v>
      </c>
      <c r="U82" s="192" t="s">
        <v>76</v>
      </c>
      <c r="V82" s="192" t="s">
        <v>76</v>
      </c>
      <c r="W82" s="192" t="s">
        <v>76</v>
      </c>
      <c r="X82" s="192" t="s">
        <v>76</v>
      </c>
      <c r="Y82" s="192" t="s">
        <v>76</v>
      </c>
      <c r="Z82" s="192" t="s">
        <v>76</v>
      </c>
      <c r="AA82" s="192" t="s">
        <v>76</v>
      </c>
      <c r="AB82" s="192" t="s">
        <v>76</v>
      </c>
      <c r="AC82" s="192" t="s">
        <v>76</v>
      </c>
      <c r="AD82" s="192" t="s">
        <v>76</v>
      </c>
      <c r="AE82" s="192" t="s">
        <v>76</v>
      </c>
      <c r="AF82" s="192" t="s">
        <v>76</v>
      </c>
      <c r="AG82" s="192" t="s">
        <v>76</v>
      </c>
      <c r="AH82" s="192" t="s">
        <v>76</v>
      </c>
      <c r="AI82" s="192" t="s">
        <v>76</v>
      </c>
      <c r="AJ82" s="192" t="s">
        <v>76</v>
      </c>
      <c r="AK82" s="192" t="s">
        <v>76</v>
      </c>
      <c r="AL82" s="240">
        <f t="shared" ref="AL82" si="256">SUM(COUNTIFS(G82:AK82,"A"))</f>
        <v>2</v>
      </c>
      <c r="AM82" s="240">
        <f t="shared" ref="AM82" si="257">SUM(COUNTIFS(G82:AK82,"B"))</f>
        <v>0</v>
      </c>
      <c r="AN82" s="240">
        <f t="shared" ref="AN82" si="258">SUM(COUNTIFS(G82:AK82,"C"))</f>
        <v>1</v>
      </c>
      <c r="AO82" s="240">
        <f t="shared" ref="AO82" si="259">SUM(COUNTIFS(G82:AK82,"G"))</f>
        <v>1</v>
      </c>
      <c r="AP82" s="240">
        <f t="shared" ref="AP82" si="260">SUM(COUNTIFS(G82:AK82,"W"))</f>
        <v>1</v>
      </c>
      <c r="AQ82" s="240">
        <f t="shared" ref="AQ82" si="261">SUM(COUNTIFS(G83:AK83,"A"))+(COUNTIFS(G83:AK83,"B"))+(COUNTIFS(G83:AK83,"C"))+(COUNTIFS(G83:AK83,"G"))</f>
        <v>0</v>
      </c>
      <c r="AR82" s="242">
        <f t="shared" ref="AR82" si="262">SUM(COUNTIFS(G82:AK82,"PH"))</f>
        <v>0</v>
      </c>
      <c r="AS82" s="284">
        <f t="shared" ref="AS82" si="263">AL82+AM82+AN82+AO82+AR82+AP82+AQ82</f>
        <v>5</v>
      </c>
    </row>
    <row r="83" spans="1:45" s="193" customFormat="1" ht="18.75" x14ac:dyDescent="0.25">
      <c r="A83" s="254"/>
      <c r="B83" s="247"/>
      <c r="C83" s="247"/>
      <c r="D83" s="247"/>
      <c r="E83" s="247"/>
      <c r="F83" s="191" t="s">
        <v>237</v>
      </c>
      <c r="G83" s="191"/>
      <c r="H83" s="192"/>
      <c r="I83" s="191"/>
      <c r="J83" s="191"/>
      <c r="K83" s="191"/>
      <c r="L83" s="191"/>
      <c r="M83" s="191"/>
      <c r="N83" s="191"/>
      <c r="O83" s="192"/>
      <c r="P83" s="191"/>
      <c r="Q83" s="191"/>
      <c r="R83" s="191"/>
      <c r="S83" s="191"/>
      <c r="T83" s="191"/>
      <c r="U83" s="191"/>
      <c r="V83" s="191"/>
      <c r="W83" s="191"/>
      <c r="X83" s="191"/>
      <c r="Y83" s="191"/>
      <c r="Z83" s="191"/>
      <c r="AA83" s="191"/>
      <c r="AB83" s="191"/>
      <c r="AC83" s="191"/>
      <c r="AD83" s="191"/>
      <c r="AE83" s="191"/>
      <c r="AF83" s="191"/>
      <c r="AG83" s="191"/>
      <c r="AH83" s="191"/>
      <c r="AI83" s="191"/>
      <c r="AJ83" s="191"/>
      <c r="AK83" s="191"/>
      <c r="AL83" s="241"/>
      <c r="AM83" s="241"/>
      <c r="AN83" s="241"/>
      <c r="AO83" s="241"/>
      <c r="AP83" s="241"/>
      <c r="AQ83" s="241"/>
      <c r="AR83" s="243"/>
      <c r="AS83" s="284"/>
    </row>
    <row r="84" spans="1:45" s="193" customFormat="1" ht="18.75" x14ac:dyDescent="0.25">
      <c r="A84" s="253">
        <v>41</v>
      </c>
      <c r="B84" s="244">
        <v>10978</v>
      </c>
      <c r="C84" s="246" t="s">
        <v>53</v>
      </c>
      <c r="D84" s="246">
        <v>11085</v>
      </c>
      <c r="E84" s="246" t="s">
        <v>345</v>
      </c>
      <c r="F84" s="191" t="s">
        <v>233</v>
      </c>
      <c r="G84" s="192" t="s">
        <v>234</v>
      </c>
      <c r="H84" s="192" t="s">
        <v>75</v>
      </c>
      <c r="I84" s="192" t="s">
        <v>75</v>
      </c>
      <c r="J84" s="192" t="s">
        <v>75</v>
      </c>
      <c r="K84" s="192" t="s">
        <v>71</v>
      </c>
      <c r="L84" s="192" t="s">
        <v>73</v>
      </c>
      <c r="M84" s="192" t="s">
        <v>75</v>
      </c>
      <c r="N84" s="192" t="s">
        <v>234</v>
      </c>
      <c r="O84" s="192" t="s">
        <v>74</v>
      </c>
      <c r="P84" s="192" t="s">
        <v>73</v>
      </c>
      <c r="Q84" s="192" t="s">
        <v>73</v>
      </c>
      <c r="R84" s="192" t="s">
        <v>71</v>
      </c>
      <c r="S84" s="192" t="s">
        <v>75</v>
      </c>
      <c r="T84" s="192" t="s">
        <v>74</v>
      </c>
      <c r="U84" s="192" t="s">
        <v>234</v>
      </c>
      <c r="V84" s="192" t="s">
        <v>75</v>
      </c>
      <c r="W84" s="192" t="s">
        <v>75</v>
      </c>
      <c r="X84" s="192" t="s">
        <v>71</v>
      </c>
      <c r="Y84" s="192" t="s">
        <v>71</v>
      </c>
      <c r="Z84" s="192" t="s">
        <v>75</v>
      </c>
      <c r="AA84" s="192" t="s">
        <v>74</v>
      </c>
      <c r="AB84" s="192" t="s">
        <v>234</v>
      </c>
      <c r="AC84" s="192" t="s">
        <v>75</v>
      </c>
      <c r="AD84" s="192" t="s">
        <v>75</v>
      </c>
      <c r="AE84" s="192" t="s">
        <v>73</v>
      </c>
      <c r="AF84" s="192" t="s">
        <v>71</v>
      </c>
      <c r="AG84" s="192" t="s">
        <v>74</v>
      </c>
      <c r="AH84" s="192" t="s">
        <v>74</v>
      </c>
      <c r="AI84" s="192" t="s">
        <v>234</v>
      </c>
      <c r="AJ84" s="192" t="s">
        <v>75</v>
      </c>
      <c r="AK84" s="192" t="s">
        <v>75</v>
      </c>
      <c r="AL84" s="240">
        <f>SUM(COUNTIFS(G84:AK84,"A"))</f>
        <v>12</v>
      </c>
      <c r="AM84" s="240">
        <f>SUM(COUNTIFS(G84:AK84,"B"))</f>
        <v>4</v>
      </c>
      <c r="AN84" s="240">
        <f>SUM(COUNTIFS(G84:AK84,"C"))</f>
        <v>5</v>
      </c>
      <c r="AO84" s="240">
        <f>SUM(COUNTIFS(G84:AK84,"G"))</f>
        <v>5</v>
      </c>
      <c r="AP84" s="240">
        <f>SUM(COUNTIFS(G84:AK84,"W"))</f>
        <v>5</v>
      </c>
      <c r="AQ84" s="240">
        <f>SUM(COUNTIFS(G85:AK85,"A"))+(COUNTIFS(G85:AK85,"B"))+(COUNTIFS(G85:AK85,"C"))+(COUNTIFS(G85:AK85,"G"))</f>
        <v>0</v>
      </c>
      <c r="AR84" s="242">
        <f>SUM(COUNTIFS(G84:AK84,"PH"))</f>
        <v>0</v>
      </c>
      <c r="AS84" s="284">
        <f>AL84+AM84+AN84+AO84+AR84+AP84+AQ84</f>
        <v>31</v>
      </c>
    </row>
    <row r="85" spans="1:45" s="193" customFormat="1" ht="18.75" x14ac:dyDescent="0.25">
      <c r="A85" s="254"/>
      <c r="B85" s="245"/>
      <c r="C85" s="247"/>
      <c r="D85" s="247"/>
      <c r="E85" s="247"/>
      <c r="F85" s="191" t="s">
        <v>237</v>
      </c>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241"/>
      <c r="AM85" s="241"/>
      <c r="AN85" s="241"/>
      <c r="AO85" s="241"/>
      <c r="AP85" s="241"/>
      <c r="AQ85" s="241"/>
      <c r="AR85" s="243"/>
      <c r="AS85" s="284"/>
    </row>
    <row r="86" spans="1:45" s="193" customFormat="1" ht="18.75" x14ac:dyDescent="0.25">
      <c r="A86" s="270" t="s">
        <v>2</v>
      </c>
      <c r="B86" s="272" t="s">
        <v>232</v>
      </c>
      <c r="C86" s="276" t="s">
        <v>63</v>
      </c>
      <c r="D86" s="272" t="s">
        <v>299</v>
      </c>
      <c r="E86" s="274" t="s">
        <v>5</v>
      </c>
      <c r="F86" s="274" t="s">
        <v>233</v>
      </c>
      <c r="G86" s="201">
        <v>1</v>
      </c>
      <c r="H86" s="202">
        <v>2</v>
      </c>
      <c r="I86" s="201">
        <v>3</v>
      </c>
      <c r="J86" s="201">
        <v>4</v>
      </c>
      <c r="K86" s="201">
        <v>5</v>
      </c>
      <c r="L86" s="201">
        <v>6</v>
      </c>
      <c r="M86" s="201">
        <v>7</v>
      </c>
      <c r="N86" s="201">
        <v>8</v>
      </c>
      <c r="O86" s="201">
        <v>9</v>
      </c>
      <c r="P86" s="201">
        <v>10</v>
      </c>
      <c r="Q86" s="201">
        <v>11</v>
      </c>
      <c r="R86" s="201">
        <v>12</v>
      </c>
      <c r="S86" s="201">
        <v>13</v>
      </c>
      <c r="T86" s="201">
        <v>14</v>
      </c>
      <c r="U86" s="201">
        <v>15</v>
      </c>
      <c r="V86" s="201">
        <v>16</v>
      </c>
      <c r="W86" s="201">
        <v>17</v>
      </c>
      <c r="X86" s="201">
        <v>18</v>
      </c>
      <c r="Y86" s="201">
        <v>19</v>
      </c>
      <c r="Z86" s="201">
        <v>20</v>
      </c>
      <c r="AA86" s="201">
        <v>21</v>
      </c>
      <c r="AB86" s="201">
        <v>22</v>
      </c>
      <c r="AC86" s="201">
        <v>23</v>
      </c>
      <c r="AD86" s="201">
        <v>24</v>
      </c>
      <c r="AE86" s="201">
        <v>25</v>
      </c>
      <c r="AF86" s="201">
        <v>26</v>
      </c>
      <c r="AG86" s="201">
        <v>27</v>
      </c>
      <c r="AH86" s="201">
        <v>28</v>
      </c>
      <c r="AI86" s="201">
        <v>29</v>
      </c>
      <c r="AJ86" s="201">
        <v>30</v>
      </c>
      <c r="AK86" s="201">
        <v>31</v>
      </c>
      <c r="AL86" s="242" t="s">
        <v>75</v>
      </c>
      <c r="AM86" s="242" t="s">
        <v>73</v>
      </c>
      <c r="AN86" s="242" t="s">
        <v>74</v>
      </c>
      <c r="AO86" s="242" t="s">
        <v>71</v>
      </c>
      <c r="AP86" s="242" t="s">
        <v>234</v>
      </c>
      <c r="AQ86" s="242" t="s">
        <v>72</v>
      </c>
      <c r="AR86" s="242" t="s">
        <v>235</v>
      </c>
      <c r="AS86" s="312" t="s">
        <v>236</v>
      </c>
    </row>
    <row r="87" spans="1:45" s="193" customFormat="1" ht="18.75" x14ac:dyDescent="0.25">
      <c r="A87" s="271"/>
      <c r="B87" s="273"/>
      <c r="C87" s="277"/>
      <c r="D87" s="273"/>
      <c r="E87" s="275"/>
      <c r="F87" s="275"/>
      <c r="G87" s="201" t="s">
        <v>68</v>
      </c>
      <c r="H87" s="201" t="s">
        <v>69</v>
      </c>
      <c r="I87" s="201" t="s">
        <v>70</v>
      </c>
      <c r="J87" s="201" t="s">
        <v>64</v>
      </c>
      <c r="K87" s="201" t="s">
        <v>65</v>
      </c>
      <c r="L87" s="201" t="s">
        <v>66</v>
      </c>
      <c r="M87" s="201" t="s">
        <v>67</v>
      </c>
      <c r="N87" s="201" t="s">
        <v>68</v>
      </c>
      <c r="O87" s="201" t="s">
        <v>69</v>
      </c>
      <c r="P87" s="201" t="s">
        <v>70</v>
      </c>
      <c r="Q87" s="201" t="s">
        <v>64</v>
      </c>
      <c r="R87" s="201" t="s">
        <v>65</v>
      </c>
      <c r="S87" s="201" t="s">
        <v>66</v>
      </c>
      <c r="T87" s="201" t="s">
        <v>67</v>
      </c>
      <c r="U87" s="201" t="s">
        <v>68</v>
      </c>
      <c r="V87" s="201" t="s">
        <v>69</v>
      </c>
      <c r="W87" s="201" t="s">
        <v>70</v>
      </c>
      <c r="X87" s="201" t="s">
        <v>64</v>
      </c>
      <c r="Y87" s="201" t="s">
        <v>65</v>
      </c>
      <c r="Z87" s="201" t="s">
        <v>66</v>
      </c>
      <c r="AA87" s="201" t="s">
        <v>67</v>
      </c>
      <c r="AB87" s="201" t="s">
        <v>68</v>
      </c>
      <c r="AC87" s="201" t="s">
        <v>69</v>
      </c>
      <c r="AD87" s="201" t="s">
        <v>70</v>
      </c>
      <c r="AE87" s="201" t="s">
        <v>64</v>
      </c>
      <c r="AF87" s="201" t="s">
        <v>65</v>
      </c>
      <c r="AG87" s="201" t="s">
        <v>66</v>
      </c>
      <c r="AH87" s="201" t="s">
        <v>67</v>
      </c>
      <c r="AI87" s="201" t="s">
        <v>68</v>
      </c>
      <c r="AJ87" s="201" t="s">
        <v>69</v>
      </c>
      <c r="AK87" s="201" t="s">
        <v>70</v>
      </c>
      <c r="AL87" s="243"/>
      <c r="AM87" s="243"/>
      <c r="AN87" s="243"/>
      <c r="AO87" s="243"/>
      <c r="AP87" s="243"/>
      <c r="AQ87" s="243"/>
      <c r="AR87" s="243"/>
      <c r="AS87" s="313"/>
    </row>
    <row r="88" spans="1:45" s="193" customFormat="1" ht="18.75" x14ac:dyDescent="0.25">
      <c r="A88" s="253">
        <v>42</v>
      </c>
      <c r="B88" s="244">
        <v>10974</v>
      </c>
      <c r="C88" s="246" t="s">
        <v>55</v>
      </c>
      <c r="D88" s="246">
        <v>11098</v>
      </c>
      <c r="E88" s="246" t="s">
        <v>345</v>
      </c>
      <c r="F88" s="191" t="s">
        <v>233</v>
      </c>
      <c r="G88" s="192" t="s">
        <v>74</v>
      </c>
      <c r="H88" s="192" t="s">
        <v>234</v>
      </c>
      <c r="I88" s="192" t="s">
        <v>74</v>
      </c>
      <c r="J88" s="192" t="s">
        <v>73</v>
      </c>
      <c r="K88" s="192" t="s">
        <v>73</v>
      </c>
      <c r="L88" s="192" t="s">
        <v>75</v>
      </c>
      <c r="M88" s="192" t="s">
        <v>74</v>
      </c>
      <c r="N88" s="192" t="s">
        <v>74</v>
      </c>
      <c r="O88" s="192" t="s">
        <v>234</v>
      </c>
      <c r="P88" s="192" t="s">
        <v>75</v>
      </c>
      <c r="Q88" s="192" t="s">
        <v>75</v>
      </c>
      <c r="R88" s="192" t="s">
        <v>75</v>
      </c>
      <c r="S88" s="192" t="s">
        <v>73</v>
      </c>
      <c r="T88" s="192" t="s">
        <v>75</v>
      </c>
      <c r="U88" s="192" t="s">
        <v>75</v>
      </c>
      <c r="V88" s="192" t="s">
        <v>234</v>
      </c>
      <c r="W88" s="192" t="s">
        <v>71</v>
      </c>
      <c r="X88" s="192" t="s">
        <v>75</v>
      </c>
      <c r="Y88" s="192" t="s">
        <v>75</v>
      </c>
      <c r="Z88" s="192" t="s">
        <v>73</v>
      </c>
      <c r="AA88" s="192" t="s">
        <v>75</v>
      </c>
      <c r="AB88" s="192" t="s">
        <v>75</v>
      </c>
      <c r="AC88" s="192" t="s">
        <v>234</v>
      </c>
      <c r="AD88" s="192" t="s">
        <v>73</v>
      </c>
      <c r="AE88" s="192" t="s">
        <v>75</v>
      </c>
      <c r="AF88" s="192" t="s">
        <v>73</v>
      </c>
      <c r="AG88" s="192" t="s">
        <v>75</v>
      </c>
      <c r="AH88" s="192" t="s">
        <v>75</v>
      </c>
      <c r="AI88" s="192" t="s">
        <v>75</v>
      </c>
      <c r="AJ88" s="192" t="s">
        <v>234</v>
      </c>
      <c r="AK88" s="192" t="s">
        <v>73</v>
      </c>
      <c r="AL88" s="240">
        <f t="shared" ref="AL88" si="264">SUM(COUNTIFS(G88:AK88,"A"))</f>
        <v>14</v>
      </c>
      <c r="AM88" s="240">
        <f t="shared" ref="AM88" si="265">SUM(COUNTIFS(G88:AK88,"B"))</f>
        <v>7</v>
      </c>
      <c r="AN88" s="240">
        <f t="shared" ref="AN88" si="266">SUM(COUNTIFS(G88:AK88,"C"))</f>
        <v>4</v>
      </c>
      <c r="AO88" s="240">
        <f t="shared" ref="AO88" si="267">SUM(COUNTIFS(G88:AK88,"G"))</f>
        <v>1</v>
      </c>
      <c r="AP88" s="240">
        <f t="shared" ref="AP88" si="268">SUM(COUNTIFS(G88:AK88,"W"))</f>
        <v>5</v>
      </c>
      <c r="AQ88" s="240">
        <f t="shared" ref="AQ88" si="269">SUM(COUNTIFS(G89:AK89,"A"))+(COUNTIFS(G89:AK89,"B"))+(COUNTIFS(G89:AK89,"C"))+(COUNTIFS(G89:AK89,"G"))</f>
        <v>0</v>
      </c>
      <c r="AR88" s="242">
        <f t="shared" ref="AR88" si="270">SUM(COUNTIFS(G88:AK88,"PH"))</f>
        <v>0</v>
      </c>
      <c r="AS88" s="284">
        <f t="shared" ref="AS88" si="271">AL88+AM88+AN88+AO88+AR88+AP88+AQ88</f>
        <v>31</v>
      </c>
    </row>
    <row r="89" spans="1:45" s="193" customFormat="1" ht="18.75" x14ac:dyDescent="0.25">
      <c r="A89" s="254"/>
      <c r="B89" s="245"/>
      <c r="C89" s="247"/>
      <c r="D89" s="247"/>
      <c r="E89" s="247"/>
      <c r="F89" s="191" t="s">
        <v>237</v>
      </c>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241"/>
      <c r="AM89" s="241"/>
      <c r="AN89" s="241"/>
      <c r="AO89" s="241"/>
      <c r="AP89" s="241"/>
      <c r="AQ89" s="241"/>
      <c r="AR89" s="243"/>
      <c r="AS89" s="284"/>
    </row>
    <row r="90" spans="1:45" s="193" customFormat="1" ht="18.75" x14ac:dyDescent="0.25">
      <c r="A90" s="253">
        <v>43</v>
      </c>
      <c r="B90" s="244">
        <v>10983</v>
      </c>
      <c r="C90" s="246" t="s">
        <v>363</v>
      </c>
      <c r="D90" s="246">
        <v>11117</v>
      </c>
      <c r="E90" s="246" t="s">
        <v>345</v>
      </c>
      <c r="F90" s="191" t="s">
        <v>233</v>
      </c>
      <c r="G90" s="192" t="s">
        <v>76</v>
      </c>
      <c r="H90" s="192" t="s">
        <v>76</v>
      </c>
      <c r="I90" s="192" t="s">
        <v>76</v>
      </c>
      <c r="J90" s="192" t="s">
        <v>76</v>
      </c>
      <c r="K90" s="192" t="s">
        <v>76</v>
      </c>
      <c r="L90" s="192" t="s">
        <v>76</v>
      </c>
      <c r="M90" s="192" t="s">
        <v>76</v>
      </c>
      <c r="N90" s="192" t="s">
        <v>76</v>
      </c>
      <c r="O90" s="192" t="s">
        <v>76</v>
      </c>
      <c r="P90" s="192" t="s">
        <v>76</v>
      </c>
      <c r="Q90" s="192" t="s">
        <v>76</v>
      </c>
      <c r="R90" s="192" t="s">
        <v>76</v>
      </c>
      <c r="S90" s="192" t="s">
        <v>76</v>
      </c>
      <c r="T90" s="192" t="s">
        <v>76</v>
      </c>
      <c r="U90" s="192" t="s">
        <v>76</v>
      </c>
      <c r="V90" s="192" t="s">
        <v>76</v>
      </c>
      <c r="W90" s="192" t="s">
        <v>76</v>
      </c>
      <c r="X90" s="192" t="s">
        <v>76</v>
      </c>
      <c r="Y90" s="192" t="s">
        <v>76</v>
      </c>
      <c r="Z90" s="192" t="s">
        <v>76</v>
      </c>
      <c r="AA90" s="192" t="s">
        <v>76</v>
      </c>
      <c r="AB90" s="192" t="s">
        <v>76</v>
      </c>
      <c r="AC90" s="192" t="s">
        <v>76</v>
      </c>
      <c r="AD90" s="192" t="s">
        <v>74</v>
      </c>
      <c r="AE90" s="192" t="s">
        <v>74</v>
      </c>
      <c r="AF90" s="192" t="s">
        <v>74</v>
      </c>
      <c r="AG90" s="192" t="s">
        <v>74</v>
      </c>
      <c r="AH90" s="192" t="s">
        <v>74</v>
      </c>
      <c r="AI90" s="192" t="s">
        <v>74</v>
      </c>
      <c r="AJ90" s="192" t="s">
        <v>234</v>
      </c>
      <c r="AK90" s="192" t="s">
        <v>76</v>
      </c>
      <c r="AL90" s="240">
        <f t="shared" ref="AL90" si="272">SUM(COUNTIFS(G90:AK90,"A"))</f>
        <v>0</v>
      </c>
      <c r="AM90" s="240">
        <f t="shared" ref="AM90" si="273">SUM(COUNTIFS(G90:AK90,"B"))</f>
        <v>0</v>
      </c>
      <c r="AN90" s="240">
        <f t="shared" ref="AN90" si="274">SUM(COUNTIFS(G90:AK90,"C"))</f>
        <v>6</v>
      </c>
      <c r="AO90" s="240">
        <f t="shared" ref="AO90" si="275">SUM(COUNTIFS(G90:AK90,"G"))</f>
        <v>0</v>
      </c>
      <c r="AP90" s="240">
        <f t="shared" ref="AP90" si="276">SUM(COUNTIFS(G90:AK90,"W"))</f>
        <v>1</v>
      </c>
      <c r="AQ90" s="240">
        <f t="shared" ref="AQ90" si="277">SUM(COUNTIFS(G91:AK91,"A"))+(COUNTIFS(G91:AK91,"B"))+(COUNTIFS(G91:AK91,"C"))+(COUNTIFS(G91:AK91,"G"))</f>
        <v>0</v>
      </c>
      <c r="AR90" s="242">
        <f t="shared" ref="AR90" si="278">SUM(COUNTIFS(G90:AK90,"PH"))</f>
        <v>0</v>
      </c>
      <c r="AS90" s="284">
        <f t="shared" ref="AS90" si="279">AL90+AM90+AN90+AO90+AR90+AP90+AQ90</f>
        <v>7</v>
      </c>
    </row>
    <row r="91" spans="1:45" s="193" customFormat="1" ht="18.75" x14ac:dyDescent="0.25">
      <c r="A91" s="254"/>
      <c r="B91" s="245"/>
      <c r="C91" s="247"/>
      <c r="D91" s="247"/>
      <c r="E91" s="247"/>
      <c r="F91" s="191" t="s">
        <v>237</v>
      </c>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241"/>
      <c r="AM91" s="241"/>
      <c r="AN91" s="241"/>
      <c r="AO91" s="241"/>
      <c r="AP91" s="241"/>
      <c r="AQ91" s="241"/>
      <c r="AR91" s="243"/>
      <c r="AS91" s="284"/>
    </row>
    <row r="92" spans="1:45" s="193" customFormat="1" ht="18.75" x14ac:dyDescent="0.25">
      <c r="A92" s="253">
        <v>44</v>
      </c>
      <c r="B92" s="244">
        <v>11158</v>
      </c>
      <c r="C92" s="246" t="s">
        <v>238</v>
      </c>
      <c r="D92" s="244">
        <v>11134</v>
      </c>
      <c r="E92" s="246" t="s">
        <v>345</v>
      </c>
      <c r="F92" s="191" t="s">
        <v>233</v>
      </c>
      <c r="G92" s="192" t="s">
        <v>73</v>
      </c>
      <c r="H92" s="192" t="s">
        <v>73</v>
      </c>
      <c r="I92" s="192" t="s">
        <v>73</v>
      </c>
      <c r="J92" s="192" t="s">
        <v>73</v>
      </c>
      <c r="K92" s="192" t="s">
        <v>74</v>
      </c>
      <c r="L92" s="192" t="s">
        <v>74</v>
      </c>
      <c r="M92" s="192" t="s">
        <v>234</v>
      </c>
      <c r="N92" s="192" t="s">
        <v>71</v>
      </c>
      <c r="O92" s="192" t="s">
        <v>75</v>
      </c>
      <c r="P92" s="192" t="s">
        <v>73</v>
      </c>
      <c r="Q92" s="192" t="s">
        <v>71</v>
      </c>
      <c r="R92" s="192" t="s">
        <v>74</v>
      </c>
      <c r="S92" s="192" t="s">
        <v>74</v>
      </c>
      <c r="T92" s="192" t="s">
        <v>234</v>
      </c>
      <c r="U92" s="192" t="s">
        <v>71</v>
      </c>
      <c r="V92" s="192" t="s">
        <v>73</v>
      </c>
      <c r="W92" s="192" t="s">
        <v>73</v>
      </c>
      <c r="X92" s="192" t="s">
        <v>73</v>
      </c>
      <c r="Y92" s="192" t="s">
        <v>74</v>
      </c>
      <c r="Z92" s="192" t="s">
        <v>74</v>
      </c>
      <c r="AA92" s="192" t="s">
        <v>234</v>
      </c>
      <c r="AB92" s="192" t="s">
        <v>71</v>
      </c>
      <c r="AC92" s="192" t="s">
        <v>73</v>
      </c>
      <c r="AD92" s="192" t="s">
        <v>73</v>
      </c>
      <c r="AE92" s="192" t="s">
        <v>75</v>
      </c>
      <c r="AF92" s="192" t="s">
        <v>74</v>
      </c>
      <c r="AG92" s="192" t="s">
        <v>73</v>
      </c>
      <c r="AH92" s="192" t="s">
        <v>234</v>
      </c>
      <c r="AI92" s="192" t="s">
        <v>75</v>
      </c>
      <c r="AJ92" s="192" t="s">
        <v>74</v>
      </c>
      <c r="AK92" s="192" t="s">
        <v>74</v>
      </c>
      <c r="AL92" s="240">
        <f t="shared" ref="AL92" si="280">SUM(COUNTIFS(G92:AK92,"A"))</f>
        <v>3</v>
      </c>
      <c r="AM92" s="240">
        <f t="shared" ref="AM92" si="281">SUM(COUNTIFS(G92:AK92,"B"))</f>
        <v>11</v>
      </c>
      <c r="AN92" s="240">
        <f t="shared" ref="AN92" si="282">SUM(COUNTIFS(G92:AK92,"C"))</f>
        <v>9</v>
      </c>
      <c r="AO92" s="240">
        <f t="shared" ref="AO92" si="283">SUM(COUNTIFS(G92:AK92,"G"))</f>
        <v>4</v>
      </c>
      <c r="AP92" s="240">
        <f t="shared" ref="AP92" si="284">SUM(COUNTIFS(G92:AK92,"W"))</f>
        <v>4</v>
      </c>
      <c r="AQ92" s="240">
        <f t="shared" ref="AQ92" si="285">SUM(COUNTIFS(G93:AK93,"A"))+(COUNTIFS(G93:AK93,"B"))+(COUNTIFS(G93:AK93,"C"))+(COUNTIFS(G93:AK93,"G"))</f>
        <v>0</v>
      </c>
      <c r="AR92" s="242">
        <f t="shared" ref="AR92" si="286">SUM(COUNTIFS(G92:AK92,"PH"))</f>
        <v>0</v>
      </c>
      <c r="AS92" s="284">
        <f t="shared" ref="AS92" si="287">AL92+AM92+AN92+AO92+AR92+AP92+AQ92</f>
        <v>31</v>
      </c>
    </row>
    <row r="93" spans="1:45" s="193" customFormat="1" ht="18.75" x14ac:dyDescent="0.25">
      <c r="A93" s="254"/>
      <c r="B93" s="278"/>
      <c r="C93" s="247"/>
      <c r="D93" s="278"/>
      <c r="E93" s="247"/>
      <c r="F93" s="197" t="s">
        <v>237</v>
      </c>
      <c r="G93" s="196"/>
      <c r="H93" s="196"/>
      <c r="I93" s="196"/>
      <c r="J93" s="196"/>
      <c r="K93" s="196"/>
      <c r="L93" s="196"/>
      <c r="M93" s="196"/>
      <c r="N93" s="196"/>
      <c r="O93" s="196"/>
      <c r="P93" s="196"/>
      <c r="Q93" s="196"/>
      <c r="R93" s="196"/>
      <c r="S93" s="192"/>
      <c r="T93" s="192"/>
      <c r="U93" s="192"/>
      <c r="V93" s="192"/>
      <c r="W93" s="192"/>
      <c r="X93" s="192"/>
      <c r="Y93" s="192"/>
      <c r="Z93" s="192"/>
      <c r="AA93" s="192"/>
      <c r="AB93" s="192"/>
      <c r="AC93" s="192"/>
      <c r="AD93" s="192"/>
      <c r="AE93" s="192"/>
      <c r="AF93" s="192"/>
      <c r="AG93" s="192"/>
      <c r="AH93" s="192"/>
      <c r="AI93" s="192"/>
      <c r="AJ93" s="192"/>
      <c r="AK93" s="192"/>
      <c r="AL93" s="241"/>
      <c r="AM93" s="241"/>
      <c r="AN93" s="241"/>
      <c r="AO93" s="241"/>
      <c r="AP93" s="241"/>
      <c r="AQ93" s="241"/>
      <c r="AR93" s="243"/>
      <c r="AS93" s="284"/>
    </row>
    <row r="94" spans="1:45" s="193" customFormat="1" ht="18.75" x14ac:dyDescent="0.25">
      <c r="A94" s="253">
        <v>45</v>
      </c>
      <c r="B94" s="244">
        <v>11203</v>
      </c>
      <c r="C94" s="246" t="s">
        <v>248</v>
      </c>
      <c r="D94" s="244">
        <v>11139</v>
      </c>
      <c r="E94" s="244" t="s">
        <v>216</v>
      </c>
      <c r="F94" s="191" t="s">
        <v>233</v>
      </c>
      <c r="G94" s="192" t="s">
        <v>71</v>
      </c>
      <c r="H94" s="192" t="s">
        <v>71</v>
      </c>
      <c r="I94" s="192" t="s">
        <v>71</v>
      </c>
      <c r="J94" s="192" t="s">
        <v>234</v>
      </c>
      <c r="K94" s="192" t="s">
        <v>71</v>
      </c>
      <c r="L94" s="192" t="s">
        <v>71</v>
      </c>
      <c r="M94" s="192" t="s">
        <v>71</v>
      </c>
      <c r="N94" s="192" t="s">
        <v>75</v>
      </c>
      <c r="O94" s="196" t="s">
        <v>71</v>
      </c>
      <c r="P94" s="196" t="s">
        <v>71</v>
      </c>
      <c r="Q94" s="196" t="s">
        <v>234</v>
      </c>
      <c r="R94" s="196" t="s">
        <v>71</v>
      </c>
      <c r="S94" s="196" t="s">
        <v>71</v>
      </c>
      <c r="T94" s="196" t="s">
        <v>71</v>
      </c>
      <c r="U94" s="196" t="s">
        <v>74</v>
      </c>
      <c r="V94" s="196" t="s">
        <v>74</v>
      </c>
      <c r="W94" s="196" t="s">
        <v>73</v>
      </c>
      <c r="X94" s="196" t="s">
        <v>234</v>
      </c>
      <c r="Y94" s="196" t="s">
        <v>73</v>
      </c>
      <c r="Z94" s="196" t="s">
        <v>71</v>
      </c>
      <c r="AA94" s="196" t="s">
        <v>71</v>
      </c>
      <c r="AB94" s="196" t="s">
        <v>74</v>
      </c>
      <c r="AC94" s="196" t="s">
        <v>74</v>
      </c>
      <c r="AD94" s="314" t="s">
        <v>433</v>
      </c>
      <c r="AE94" s="315"/>
      <c r="AF94" s="315"/>
      <c r="AG94" s="315"/>
      <c r="AH94" s="315"/>
      <c r="AI94" s="315"/>
      <c r="AJ94" s="315"/>
      <c r="AK94" s="316"/>
      <c r="AL94" s="240">
        <f>SUM(COUNTIFS(G94:AK94,"A"))</f>
        <v>1</v>
      </c>
      <c r="AM94" s="240">
        <f>SUM(COUNTIFS(G94:AK94,"B"))</f>
        <v>2</v>
      </c>
      <c r="AN94" s="240">
        <f>SUM(COUNTIFS(G94:AK94,"C"))</f>
        <v>4</v>
      </c>
      <c r="AO94" s="240">
        <f>SUM(COUNTIFS(G94:AK94,"G"))</f>
        <v>13</v>
      </c>
      <c r="AP94" s="240">
        <f>SUM(COUNTIFS(G94:AK94,"W"))</f>
        <v>3</v>
      </c>
      <c r="AQ94" s="240">
        <f>SUM(COUNTIFS(G95:AK95,"A"))+(COUNTIFS(G95:AK95,"B"))+(COUNTIFS(G95:AK95,"C"))+(COUNTIFS(G95:AK95,"G"))</f>
        <v>0</v>
      </c>
      <c r="AR94" s="242">
        <f>SUM(COUNTIFS(G94:AK94,"PH"))</f>
        <v>0</v>
      </c>
      <c r="AS94" s="284">
        <f>AL94+AM94+AN94+AO94+AR94+AP94+AQ94</f>
        <v>23</v>
      </c>
    </row>
    <row r="95" spans="1:45" s="193" customFormat="1" ht="18.75" x14ac:dyDescent="0.25">
      <c r="A95" s="254"/>
      <c r="B95" s="245"/>
      <c r="C95" s="247"/>
      <c r="D95" s="245"/>
      <c r="E95" s="245"/>
      <c r="F95" s="197" t="s">
        <v>237</v>
      </c>
      <c r="G95" s="196"/>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241"/>
      <c r="AM95" s="241"/>
      <c r="AN95" s="241"/>
      <c r="AO95" s="241"/>
      <c r="AP95" s="241"/>
      <c r="AQ95" s="241"/>
      <c r="AR95" s="243"/>
      <c r="AS95" s="284"/>
    </row>
    <row r="96" spans="1:45" s="193" customFormat="1" ht="18.75" x14ac:dyDescent="0.25">
      <c r="A96" s="253">
        <v>46</v>
      </c>
      <c r="B96" s="248">
        <v>11276</v>
      </c>
      <c r="C96" s="246" t="s">
        <v>269</v>
      </c>
      <c r="D96" s="244">
        <v>11151</v>
      </c>
      <c r="E96" s="246" t="s">
        <v>216</v>
      </c>
      <c r="F96" s="191" t="s">
        <v>233</v>
      </c>
      <c r="G96" s="192" t="s">
        <v>73</v>
      </c>
      <c r="H96" s="192" t="s">
        <v>73</v>
      </c>
      <c r="I96" s="192" t="s">
        <v>74</v>
      </c>
      <c r="J96" s="192" t="s">
        <v>74</v>
      </c>
      <c r="K96" s="192" t="s">
        <v>74</v>
      </c>
      <c r="L96" s="192" t="s">
        <v>234</v>
      </c>
      <c r="M96" s="192" t="s">
        <v>73</v>
      </c>
      <c r="N96" s="192" t="s">
        <v>73</v>
      </c>
      <c r="O96" s="192" t="s">
        <v>73</v>
      </c>
      <c r="P96" s="192" t="s">
        <v>74</v>
      </c>
      <c r="Q96" s="192" t="s">
        <v>74</v>
      </c>
      <c r="R96" s="192" t="s">
        <v>73</v>
      </c>
      <c r="S96" s="192" t="s">
        <v>234</v>
      </c>
      <c r="T96" s="192" t="s">
        <v>73</v>
      </c>
      <c r="U96" s="192" t="s">
        <v>73</v>
      </c>
      <c r="V96" s="192" t="s">
        <v>71</v>
      </c>
      <c r="W96" s="192" t="s">
        <v>74</v>
      </c>
      <c r="X96" s="192" t="s">
        <v>74</v>
      </c>
      <c r="Y96" s="192" t="s">
        <v>73</v>
      </c>
      <c r="Z96" s="192" t="s">
        <v>234</v>
      </c>
      <c r="AA96" s="192" t="s">
        <v>73</v>
      </c>
      <c r="AB96" s="192" t="s">
        <v>73</v>
      </c>
      <c r="AC96" s="192" t="s">
        <v>73</v>
      </c>
      <c r="AD96" s="192" t="s">
        <v>74</v>
      </c>
      <c r="AE96" s="196" t="s">
        <v>74</v>
      </c>
      <c r="AF96" s="196" t="s">
        <v>73</v>
      </c>
      <c r="AG96" s="196" t="s">
        <v>234</v>
      </c>
      <c r="AH96" s="196" t="s">
        <v>73</v>
      </c>
      <c r="AI96" s="196" t="s">
        <v>73</v>
      </c>
      <c r="AJ96" s="196" t="s">
        <v>73</v>
      </c>
      <c r="AK96" s="196" t="s">
        <v>73</v>
      </c>
      <c r="AL96" s="240">
        <f t="shared" ref="AL96" si="288">SUM(COUNTIFS(G96:AK96,"A"))</f>
        <v>0</v>
      </c>
      <c r="AM96" s="240">
        <f t="shared" ref="AM96" si="289">SUM(COUNTIFS(G96:AK96,"B"))</f>
        <v>17</v>
      </c>
      <c r="AN96" s="240">
        <f t="shared" ref="AN96" si="290">SUM(COUNTIFS(G96:AK96,"C"))</f>
        <v>9</v>
      </c>
      <c r="AO96" s="240">
        <f t="shared" ref="AO96" si="291">SUM(COUNTIFS(G96:AK96,"G"))</f>
        <v>1</v>
      </c>
      <c r="AP96" s="240">
        <f t="shared" ref="AP96" si="292">SUM(COUNTIFS(G96:AK96,"W"))</f>
        <v>4</v>
      </c>
      <c r="AQ96" s="240">
        <f t="shared" ref="AQ96" si="293">SUM(COUNTIFS(G97:AK97,"A"))+(COUNTIFS(G97:AK97,"B"))+(COUNTIFS(G97:AK97,"C"))+(COUNTIFS(G97:AK97,"G"))</f>
        <v>0</v>
      </c>
      <c r="AR96" s="242">
        <f t="shared" ref="AR96" si="294">SUM(COUNTIFS(G96:AK96,"PH"))</f>
        <v>0</v>
      </c>
      <c r="AS96" s="284">
        <f t="shared" ref="AS96" si="295">AL96+AM96+AN96+AO96+AR96+AP96+AQ96</f>
        <v>31</v>
      </c>
    </row>
    <row r="97" spans="1:45" s="193" customFormat="1" ht="18.75" x14ac:dyDescent="0.25">
      <c r="A97" s="254"/>
      <c r="B97" s="248"/>
      <c r="C97" s="247"/>
      <c r="D97" s="245"/>
      <c r="E97" s="247"/>
      <c r="F97" s="191" t="s">
        <v>237</v>
      </c>
      <c r="G97" s="196"/>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241"/>
      <c r="AM97" s="241"/>
      <c r="AN97" s="241"/>
      <c r="AO97" s="241"/>
      <c r="AP97" s="241"/>
      <c r="AQ97" s="241"/>
      <c r="AR97" s="243"/>
      <c r="AS97" s="284"/>
    </row>
    <row r="98" spans="1:45" s="193" customFormat="1" ht="18.75" x14ac:dyDescent="0.25">
      <c r="A98" s="253">
        <v>47</v>
      </c>
      <c r="B98" s="259">
        <v>11439</v>
      </c>
      <c r="C98" s="259" t="s">
        <v>338</v>
      </c>
      <c r="D98" s="259">
        <v>11171</v>
      </c>
      <c r="E98" s="259" t="s">
        <v>216</v>
      </c>
      <c r="F98" s="198" t="s">
        <v>233</v>
      </c>
      <c r="G98" s="196" t="s">
        <v>74</v>
      </c>
      <c r="H98" s="192" t="s">
        <v>234</v>
      </c>
      <c r="I98" s="192" t="s">
        <v>73</v>
      </c>
      <c r="J98" s="196" t="s">
        <v>76</v>
      </c>
      <c r="K98" s="196" t="s">
        <v>76</v>
      </c>
      <c r="L98" s="196" t="s">
        <v>73</v>
      </c>
      <c r="M98" s="196" t="s">
        <v>74</v>
      </c>
      <c r="N98" s="196" t="s">
        <v>74</v>
      </c>
      <c r="O98" s="196" t="s">
        <v>76</v>
      </c>
      <c r="P98" s="196" t="s">
        <v>76</v>
      </c>
      <c r="Q98" s="196" t="s">
        <v>76</v>
      </c>
      <c r="R98" s="196" t="s">
        <v>76</v>
      </c>
      <c r="S98" s="196" t="s">
        <v>76</v>
      </c>
      <c r="T98" s="196" t="s">
        <v>76</v>
      </c>
      <c r="U98" s="196" t="s">
        <v>76</v>
      </c>
      <c r="V98" s="196" t="s">
        <v>76</v>
      </c>
      <c r="W98" s="196" t="s">
        <v>76</v>
      </c>
      <c r="X98" s="196" t="s">
        <v>76</v>
      </c>
      <c r="Y98" s="196" t="s">
        <v>76</v>
      </c>
      <c r="Z98" s="196" t="s">
        <v>76</v>
      </c>
      <c r="AA98" s="196" t="s">
        <v>76</v>
      </c>
      <c r="AB98" s="196" t="s">
        <v>74</v>
      </c>
      <c r="AC98" s="196" t="s">
        <v>74</v>
      </c>
      <c r="AD98" s="196" t="s">
        <v>73</v>
      </c>
      <c r="AE98" s="196" t="s">
        <v>73</v>
      </c>
      <c r="AF98" s="196" t="s">
        <v>75</v>
      </c>
      <c r="AG98" s="196" t="s">
        <v>73</v>
      </c>
      <c r="AH98" s="196" t="s">
        <v>71</v>
      </c>
      <c r="AI98" s="192" t="s">
        <v>74</v>
      </c>
      <c r="AJ98" s="192" t="s">
        <v>234</v>
      </c>
      <c r="AK98" s="192" t="s">
        <v>71</v>
      </c>
      <c r="AL98" s="240">
        <f t="shared" ref="AL98" si="296">SUM(COUNTIFS(G98:AK98,"A"))</f>
        <v>1</v>
      </c>
      <c r="AM98" s="240">
        <f t="shared" ref="AM98" si="297">SUM(COUNTIFS(G98:AK98,"B"))</f>
        <v>5</v>
      </c>
      <c r="AN98" s="240">
        <f t="shared" ref="AN98" si="298">SUM(COUNTIFS(G98:AK98,"C"))</f>
        <v>6</v>
      </c>
      <c r="AO98" s="240">
        <f t="shared" ref="AO98" si="299">SUM(COUNTIFS(G98:AK98,"G"))</f>
        <v>2</v>
      </c>
      <c r="AP98" s="240">
        <f t="shared" ref="AP98" si="300">SUM(COUNTIFS(G98:AK98,"W"))</f>
        <v>2</v>
      </c>
      <c r="AQ98" s="240">
        <f t="shared" ref="AQ98" si="301">SUM(COUNTIFS(G99:AK99,"A"))+(COUNTIFS(G99:AK99,"B"))+(COUNTIFS(G99:AK99,"C"))+(COUNTIFS(G99:AK99,"G"))</f>
        <v>0</v>
      </c>
      <c r="AR98" s="242">
        <f t="shared" ref="AR98" si="302">SUM(COUNTIFS(G98:AK98,"PH"))</f>
        <v>0</v>
      </c>
      <c r="AS98" s="284">
        <f t="shared" ref="AS98" si="303">AL98+AM98+AN98+AO98+AR98+AP98+AQ98</f>
        <v>16</v>
      </c>
    </row>
    <row r="99" spans="1:45" s="193" customFormat="1" ht="18.75" x14ac:dyDescent="0.25">
      <c r="A99" s="254"/>
      <c r="B99" s="259"/>
      <c r="C99" s="259"/>
      <c r="D99" s="259"/>
      <c r="E99" s="259"/>
      <c r="F99" s="198" t="s">
        <v>237</v>
      </c>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196"/>
      <c r="AH99" s="196"/>
      <c r="AI99" s="196"/>
      <c r="AJ99" s="196"/>
      <c r="AK99" s="196"/>
      <c r="AL99" s="241"/>
      <c r="AM99" s="241"/>
      <c r="AN99" s="241"/>
      <c r="AO99" s="241"/>
      <c r="AP99" s="241"/>
      <c r="AQ99" s="241"/>
      <c r="AR99" s="243"/>
      <c r="AS99" s="284"/>
    </row>
    <row r="100" spans="1:45" s="193" customFormat="1" ht="18.75" x14ac:dyDescent="0.25">
      <c r="A100" s="253">
        <v>48</v>
      </c>
      <c r="B100" s="246">
        <v>12</v>
      </c>
      <c r="C100" s="249" t="s">
        <v>434</v>
      </c>
      <c r="D100" s="246">
        <v>11240</v>
      </c>
      <c r="E100" s="259" t="s">
        <v>216</v>
      </c>
      <c r="F100" s="198" t="s">
        <v>233</v>
      </c>
      <c r="G100" s="306" t="s">
        <v>387</v>
      </c>
      <c r="H100" s="307"/>
      <c r="I100" s="307"/>
      <c r="J100" s="307"/>
      <c r="K100" s="307"/>
      <c r="L100" s="307"/>
      <c r="M100" s="307"/>
      <c r="N100" s="307"/>
      <c r="O100" s="307"/>
      <c r="P100" s="307"/>
      <c r="Q100" s="307"/>
      <c r="R100" s="307"/>
      <c r="S100" s="307"/>
      <c r="T100" s="307"/>
      <c r="U100" s="307"/>
      <c r="V100" s="307"/>
      <c r="W100" s="307"/>
      <c r="X100" s="307"/>
      <c r="Y100" s="307"/>
      <c r="Z100" s="307"/>
      <c r="AA100" s="308"/>
      <c r="AB100" s="196" t="s">
        <v>71</v>
      </c>
      <c r="AC100" s="196" t="s">
        <v>71</v>
      </c>
      <c r="AD100" s="196" t="s">
        <v>71</v>
      </c>
      <c r="AE100" s="196" t="s">
        <v>71</v>
      </c>
      <c r="AF100" s="196" t="s">
        <v>75</v>
      </c>
      <c r="AG100" s="196" t="s">
        <v>71</v>
      </c>
      <c r="AH100" s="196" t="s">
        <v>73</v>
      </c>
      <c r="AI100" s="196" t="s">
        <v>73</v>
      </c>
      <c r="AJ100" s="196" t="s">
        <v>73</v>
      </c>
      <c r="AK100" s="196" t="s">
        <v>74</v>
      </c>
      <c r="AL100" s="240">
        <f t="shared" ref="AL100" si="304">SUM(COUNTIFS(G100:AK100,"A"))</f>
        <v>1</v>
      </c>
      <c r="AM100" s="240">
        <f t="shared" ref="AM100" si="305">SUM(COUNTIFS(G100:AK100,"B"))</f>
        <v>3</v>
      </c>
      <c r="AN100" s="240">
        <f t="shared" ref="AN100" si="306">SUM(COUNTIFS(G100:AK100,"C"))</f>
        <v>1</v>
      </c>
      <c r="AO100" s="240">
        <f t="shared" ref="AO100" si="307">SUM(COUNTIFS(G100:AK100,"G"))</f>
        <v>5</v>
      </c>
      <c r="AP100" s="240">
        <f t="shared" ref="AP100" si="308">SUM(COUNTIFS(G100:AK100,"W"))</f>
        <v>0</v>
      </c>
      <c r="AQ100" s="240">
        <f t="shared" ref="AQ100" si="309">SUM(COUNTIFS(G101:AK101,"A"))+(COUNTIFS(G101:AK101,"B"))+(COUNTIFS(G101:AK101,"C"))+(COUNTIFS(G101:AK101,"G"))</f>
        <v>0</v>
      </c>
      <c r="AR100" s="242">
        <f t="shared" ref="AR100" si="310">SUM(COUNTIFS(G100:AK100,"PH"))</f>
        <v>0</v>
      </c>
      <c r="AS100" s="284">
        <f t="shared" ref="AS100" si="311">AL100+AM100+AN100+AO100+AR100+AP100+AQ100</f>
        <v>10</v>
      </c>
    </row>
    <row r="101" spans="1:45" s="193" customFormat="1" ht="18.75" x14ac:dyDescent="0.25">
      <c r="A101" s="254"/>
      <c r="B101" s="247"/>
      <c r="C101" s="250"/>
      <c r="D101" s="247"/>
      <c r="E101" s="259"/>
      <c r="F101" s="198" t="s">
        <v>237</v>
      </c>
      <c r="G101" s="309"/>
      <c r="H101" s="310"/>
      <c r="I101" s="310"/>
      <c r="J101" s="310"/>
      <c r="K101" s="310"/>
      <c r="L101" s="310"/>
      <c r="M101" s="310"/>
      <c r="N101" s="310"/>
      <c r="O101" s="310"/>
      <c r="P101" s="310"/>
      <c r="Q101" s="310"/>
      <c r="R101" s="310"/>
      <c r="S101" s="310"/>
      <c r="T101" s="310"/>
      <c r="U101" s="310"/>
      <c r="V101" s="310"/>
      <c r="W101" s="310"/>
      <c r="X101" s="310"/>
      <c r="Y101" s="310"/>
      <c r="Z101" s="310"/>
      <c r="AA101" s="311"/>
      <c r="AB101" s="196"/>
      <c r="AC101" s="196"/>
      <c r="AD101" s="196"/>
      <c r="AE101" s="196"/>
      <c r="AF101" s="196"/>
      <c r="AG101" s="196"/>
      <c r="AH101" s="196"/>
      <c r="AI101" s="196"/>
      <c r="AJ101" s="196"/>
      <c r="AK101" s="196"/>
      <c r="AL101" s="241"/>
      <c r="AM101" s="241"/>
      <c r="AN101" s="241"/>
      <c r="AO101" s="241"/>
      <c r="AP101" s="241"/>
      <c r="AQ101" s="241"/>
      <c r="AR101" s="243"/>
      <c r="AS101" s="284"/>
    </row>
    <row r="102" spans="1:45" s="193" customFormat="1" ht="18.75" x14ac:dyDescent="0.25">
      <c r="A102" s="253">
        <v>49</v>
      </c>
      <c r="B102" s="248">
        <v>10985</v>
      </c>
      <c r="C102" s="249" t="s">
        <v>54</v>
      </c>
      <c r="D102" s="246">
        <v>11087</v>
      </c>
      <c r="E102" s="259" t="s">
        <v>216</v>
      </c>
      <c r="F102" s="198" t="s">
        <v>233</v>
      </c>
      <c r="G102" s="196" t="s">
        <v>76</v>
      </c>
      <c r="H102" s="196" t="s">
        <v>76</v>
      </c>
      <c r="I102" s="196" t="s">
        <v>76</v>
      </c>
      <c r="J102" s="196" t="s">
        <v>76</v>
      </c>
      <c r="K102" s="196" t="s">
        <v>76</v>
      </c>
      <c r="L102" s="196" t="s">
        <v>76</v>
      </c>
      <c r="M102" s="196" t="s">
        <v>76</v>
      </c>
      <c r="N102" s="196" t="s">
        <v>76</v>
      </c>
      <c r="O102" s="196" t="s">
        <v>76</v>
      </c>
      <c r="P102" s="196" t="s">
        <v>76</v>
      </c>
      <c r="Q102" s="196" t="s">
        <v>76</v>
      </c>
      <c r="R102" s="196" t="s">
        <v>76</v>
      </c>
      <c r="S102" s="196" t="s">
        <v>76</v>
      </c>
      <c r="T102" s="196" t="s">
        <v>76</v>
      </c>
      <c r="U102" s="196" t="s">
        <v>76</v>
      </c>
      <c r="V102" s="196" t="s">
        <v>76</v>
      </c>
      <c r="W102" s="196" t="s">
        <v>76</v>
      </c>
      <c r="X102" s="196" t="s">
        <v>76</v>
      </c>
      <c r="Y102" s="196" t="s">
        <v>76</v>
      </c>
      <c r="Z102" s="196" t="s">
        <v>76</v>
      </c>
      <c r="AA102" s="196" t="s">
        <v>76</v>
      </c>
      <c r="AB102" s="196" t="s">
        <v>76</v>
      </c>
      <c r="AC102" s="196" t="s">
        <v>76</v>
      </c>
      <c r="AD102" s="196" t="s">
        <v>76</v>
      </c>
      <c r="AE102" s="196" t="s">
        <v>76</v>
      </c>
      <c r="AF102" s="196" t="s">
        <v>76</v>
      </c>
      <c r="AG102" s="196" t="s">
        <v>76</v>
      </c>
      <c r="AH102" s="196" t="s">
        <v>76</v>
      </c>
      <c r="AI102" s="196" t="s">
        <v>71</v>
      </c>
      <c r="AJ102" s="196" t="s">
        <v>71</v>
      </c>
      <c r="AK102" s="196" t="s">
        <v>75</v>
      </c>
      <c r="AL102" s="240">
        <f>SUM(COUNTIFS(G102:AK102,"A"))</f>
        <v>1</v>
      </c>
      <c r="AM102" s="240">
        <f>SUM(COUNTIFS(G102:AK102,"B"))</f>
        <v>0</v>
      </c>
      <c r="AN102" s="240">
        <f>SUM(COUNTIFS(G102:AK102,"C"))</f>
        <v>0</v>
      </c>
      <c r="AO102" s="240">
        <f>SUM(COUNTIFS(G102:AK102,"G"))</f>
        <v>2</v>
      </c>
      <c r="AP102" s="240">
        <f>SUM(COUNTIFS(G102:AK102,"W"))</f>
        <v>0</v>
      </c>
      <c r="AQ102" s="240">
        <f>SUM(COUNTIFS(G103:AK103,"A"))+(COUNTIFS(G103:AK103,"B"))+(COUNTIFS(G103:AK103,"C"))+(COUNTIFS(G103:AK103,"G"))</f>
        <v>0</v>
      </c>
      <c r="AR102" s="242">
        <f>SUM(COUNTIFS(G102:AK102,"PH"))</f>
        <v>0</v>
      </c>
      <c r="AS102" s="284">
        <f>AL102+AM102+AN102+AO102+AR102+AP102+AQ102</f>
        <v>3</v>
      </c>
    </row>
    <row r="103" spans="1:45" s="193" customFormat="1" ht="18.75" x14ac:dyDescent="0.25">
      <c r="A103" s="254"/>
      <c r="B103" s="248"/>
      <c r="C103" s="250"/>
      <c r="D103" s="247"/>
      <c r="E103" s="259"/>
      <c r="F103" s="198" t="s">
        <v>237</v>
      </c>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241"/>
      <c r="AM103" s="241"/>
      <c r="AN103" s="241"/>
      <c r="AO103" s="241"/>
      <c r="AP103" s="241"/>
      <c r="AQ103" s="241"/>
      <c r="AR103" s="243"/>
      <c r="AS103" s="284"/>
    </row>
    <row r="104" spans="1:45" s="193" customFormat="1" ht="18.75" x14ac:dyDescent="0.25">
      <c r="A104" s="253">
        <v>50</v>
      </c>
      <c r="B104" s="248">
        <v>11214</v>
      </c>
      <c r="C104" s="246" t="s">
        <v>364</v>
      </c>
      <c r="D104" s="248">
        <v>11140</v>
      </c>
      <c r="E104" s="244" t="s">
        <v>62</v>
      </c>
      <c r="F104" s="191" t="s">
        <v>233</v>
      </c>
      <c r="G104" s="192" t="s">
        <v>71</v>
      </c>
      <c r="H104" s="192" t="s">
        <v>71</v>
      </c>
      <c r="I104" s="192" t="s">
        <v>71</v>
      </c>
      <c r="J104" s="196" t="s">
        <v>71</v>
      </c>
      <c r="K104" s="196" t="s">
        <v>71</v>
      </c>
      <c r="L104" s="196" t="s">
        <v>234</v>
      </c>
      <c r="M104" s="196" t="s">
        <v>71</v>
      </c>
      <c r="N104" s="196" t="s">
        <v>71</v>
      </c>
      <c r="O104" s="196" t="s">
        <v>71</v>
      </c>
      <c r="P104" s="196" t="s">
        <v>71</v>
      </c>
      <c r="Q104" s="196" t="s">
        <v>71</v>
      </c>
      <c r="R104" s="196" t="s">
        <v>71</v>
      </c>
      <c r="S104" s="196" t="s">
        <v>234</v>
      </c>
      <c r="T104" s="196" t="s">
        <v>71</v>
      </c>
      <c r="U104" s="196" t="s">
        <v>71</v>
      </c>
      <c r="V104" s="196" t="s">
        <v>71</v>
      </c>
      <c r="W104" s="196" t="s">
        <v>71</v>
      </c>
      <c r="X104" s="196" t="s">
        <v>71</v>
      </c>
      <c r="Y104" s="192" t="s">
        <v>71</v>
      </c>
      <c r="Z104" s="196" t="s">
        <v>234</v>
      </c>
      <c r="AA104" s="196" t="s">
        <v>71</v>
      </c>
      <c r="AB104" s="196" t="s">
        <v>71</v>
      </c>
      <c r="AC104" s="196" t="s">
        <v>71</v>
      </c>
      <c r="AD104" s="196" t="s">
        <v>71</v>
      </c>
      <c r="AE104" s="196" t="s">
        <v>71</v>
      </c>
      <c r="AF104" s="196" t="s">
        <v>71</v>
      </c>
      <c r="AG104" s="196" t="s">
        <v>234</v>
      </c>
      <c r="AH104" s="196" t="s">
        <v>71</v>
      </c>
      <c r="AI104" s="192" t="s">
        <v>71</v>
      </c>
      <c r="AJ104" s="192" t="s">
        <v>71</v>
      </c>
      <c r="AK104" s="192" t="s">
        <v>71</v>
      </c>
      <c r="AL104" s="240">
        <f t="shared" ref="AL104" si="312">SUM(COUNTIFS(G104:AK104,"A"))</f>
        <v>0</v>
      </c>
      <c r="AM104" s="240">
        <f t="shared" ref="AM104" si="313">SUM(COUNTIFS(G104:AK104,"B"))</f>
        <v>0</v>
      </c>
      <c r="AN104" s="240">
        <f t="shared" ref="AN104" si="314">SUM(COUNTIFS(G104:AK104,"C"))</f>
        <v>0</v>
      </c>
      <c r="AO104" s="240">
        <f t="shared" ref="AO104" si="315">SUM(COUNTIFS(G104:AK104,"G"))</f>
        <v>27</v>
      </c>
      <c r="AP104" s="240">
        <f t="shared" ref="AP104" si="316">SUM(COUNTIFS(G104:AK104,"W"))</f>
        <v>4</v>
      </c>
      <c r="AQ104" s="240">
        <f t="shared" ref="AQ104" si="317">SUM(COUNTIFS(G105:AK105,"A"))+(COUNTIFS(G105:AK105,"B"))+(COUNTIFS(G105:AK105,"C"))+(COUNTIFS(G105:AK105,"G"))</f>
        <v>0</v>
      </c>
      <c r="AR104" s="242">
        <f t="shared" ref="AR104" si="318">SUM(COUNTIFS(G104:AK104,"PH"))</f>
        <v>0</v>
      </c>
      <c r="AS104" s="284">
        <f t="shared" ref="AS104" si="319">AL104+AM104+AN104+AO104+AR104+AP104+AQ104</f>
        <v>31</v>
      </c>
    </row>
    <row r="105" spans="1:45" s="193" customFormat="1" ht="18.75" x14ac:dyDescent="0.25">
      <c r="A105" s="254"/>
      <c r="B105" s="248"/>
      <c r="C105" s="247"/>
      <c r="D105" s="248"/>
      <c r="E105" s="245"/>
      <c r="F105" s="191" t="s">
        <v>237</v>
      </c>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196"/>
      <c r="AD105" s="196"/>
      <c r="AE105" s="196"/>
      <c r="AF105" s="196"/>
      <c r="AG105" s="196"/>
      <c r="AH105" s="196"/>
      <c r="AI105" s="196"/>
      <c r="AJ105" s="196"/>
      <c r="AK105" s="196"/>
      <c r="AL105" s="241"/>
      <c r="AM105" s="241"/>
      <c r="AN105" s="241"/>
      <c r="AO105" s="241"/>
      <c r="AP105" s="241"/>
      <c r="AQ105" s="241"/>
      <c r="AR105" s="243"/>
      <c r="AS105" s="284"/>
    </row>
    <row r="106" spans="1:45" s="193" customFormat="1" ht="18.75" x14ac:dyDescent="0.25">
      <c r="A106" s="253">
        <v>51</v>
      </c>
      <c r="B106" s="248">
        <v>11572</v>
      </c>
      <c r="C106" s="246" t="s">
        <v>346</v>
      </c>
      <c r="D106" s="248">
        <v>11178</v>
      </c>
      <c r="E106" s="244" t="s">
        <v>59</v>
      </c>
      <c r="F106" s="191" t="s">
        <v>233</v>
      </c>
      <c r="G106" s="196" t="s">
        <v>71</v>
      </c>
      <c r="H106" s="192" t="s">
        <v>71</v>
      </c>
      <c r="I106" s="192" t="s">
        <v>71</v>
      </c>
      <c r="J106" s="196" t="s">
        <v>71</v>
      </c>
      <c r="K106" s="196" t="s">
        <v>71</v>
      </c>
      <c r="L106" s="196" t="s">
        <v>71</v>
      </c>
      <c r="M106" s="196" t="s">
        <v>234</v>
      </c>
      <c r="N106" s="196" t="s">
        <v>71</v>
      </c>
      <c r="O106" s="196" t="s">
        <v>71</v>
      </c>
      <c r="P106" s="196" t="s">
        <v>71</v>
      </c>
      <c r="Q106" s="196" t="s">
        <v>71</v>
      </c>
      <c r="R106" s="196" t="s">
        <v>71</v>
      </c>
      <c r="S106" s="196" t="s">
        <v>71</v>
      </c>
      <c r="T106" s="196" t="s">
        <v>234</v>
      </c>
      <c r="U106" s="196" t="s">
        <v>71</v>
      </c>
      <c r="V106" s="196" t="s">
        <v>71</v>
      </c>
      <c r="W106" s="196" t="s">
        <v>71</v>
      </c>
      <c r="X106" s="196" t="s">
        <v>71</v>
      </c>
      <c r="Y106" s="192" t="s">
        <v>71</v>
      </c>
      <c r="Z106" s="196" t="s">
        <v>71</v>
      </c>
      <c r="AA106" s="196" t="s">
        <v>234</v>
      </c>
      <c r="AB106" s="196" t="s">
        <v>71</v>
      </c>
      <c r="AC106" s="196" t="s">
        <v>71</v>
      </c>
      <c r="AD106" s="196" t="s">
        <v>71</v>
      </c>
      <c r="AE106" s="196" t="s">
        <v>71</v>
      </c>
      <c r="AF106" s="196" t="s">
        <v>71</v>
      </c>
      <c r="AG106" s="196" t="s">
        <v>71</v>
      </c>
      <c r="AH106" s="196" t="s">
        <v>234</v>
      </c>
      <c r="AI106" s="196" t="s">
        <v>71</v>
      </c>
      <c r="AJ106" s="196" t="s">
        <v>71</v>
      </c>
      <c r="AK106" s="196" t="s">
        <v>71</v>
      </c>
      <c r="AL106" s="240">
        <f t="shared" ref="AL106" si="320">SUM(COUNTIFS(G106:AK106,"A"))</f>
        <v>0</v>
      </c>
      <c r="AM106" s="240">
        <f t="shared" ref="AM106" si="321">SUM(COUNTIFS(G106:AK106,"B"))</f>
        <v>0</v>
      </c>
      <c r="AN106" s="240">
        <f t="shared" ref="AN106" si="322">SUM(COUNTIFS(G106:AK106,"C"))</f>
        <v>0</v>
      </c>
      <c r="AO106" s="240">
        <f t="shared" ref="AO106" si="323">SUM(COUNTIFS(G106:AK106,"G"))</f>
        <v>27</v>
      </c>
      <c r="AP106" s="240">
        <f t="shared" ref="AP106" si="324">SUM(COUNTIFS(G106:AK106,"W"))</f>
        <v>4</v>
      </c>
      <c r="AQ106" s="240">
        <f t="shared" ref="AQ106" si="325">SUM(COUNTIFS(G107:AK107,"A"))+(COUNTIFS(G107:AK107,"B"))+(COUNTIFS(G107:AK107,"C"))+(COUNTIFS(G107:AK107,"G"))</f>
        <v>0</v>
      </c>
      <c r="AR106" s="242">
        <f t="shared" ref="AR106" si="326">SUM(COUNTIFS(G106:AK106,"PH"))</f>
        <v>0</v>
      </c>
      <c r="AS106" s="284">
        <f t="shared" ref="AS106" si="327">AL106+AM106+AN106+AO106+AR106+AP106+AQ106</f>
        <v>31</v>
      </c>
    </row>
    <row r="107" spans="1:45" s="193" customFormat="1" ht="18.75" x14ac:dyDescent="0.25">
      <c r="A107" s="254"/>
      <c r="B107" s="248"/>
      <c r="C107" s="247"/>
      <c r="D107" s="248"/>
      <c r="E107" s="245"/>
      <c r="F107" s="191" t="s">
        <v>237</v>
      </c>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G107" s="196"/>
      <c r="AH107" s="196"/>
      <c r="AI107" s="192"/>
      <c r="AJ107" s="192"/>
      <c r="AK107" s="196"/>
      <c r="AL107" s="241"/>
      <c r="AM107" s="241"/>
      <c r="AN107" s="241"/>
      <c r="AO107" s="241"/>
      <c r="AP107" s="241"/>
      <c r="AQ107" s="241"/>
      <c r="AR107" s="243"/>
      <c r="AS107" s="284"/>
    </row>
    <row r="108" spans="1:45" s="193" customFormat="1" ht="18.75" x14ac:dyDescent="0.25">
      <c r="A108" s="253">
        <v>52</v>
      </c>
      <c r="B108" s="248">
        <v>11640</v>
      </c>
      <c r="C108" s="317" t="s">
        <v>435</v>
      </c>
      <c r="D108" s="248">
        <v>11193</v>
      </c>
      <c r="E108" s="317" t="s">
        <v>61</v>
      </c>
      <c r="F108" s="191" t="s">
        <v>233</v>
      </c>
      <c r="G108" s="196" t="s">
        <v>74</v>
      </c>
      <c r="H108" s="192" t="s">
        <v>234</v>
      </c>
      <c r="I108" s="192" t="s">
        <v>75</v>
      </c>
      <c r="J108" s="196" t="s">
        <v>75</v>
      </c>
      <c r="K108" s="196" t="s">
        <v>73</v>
      </c>
      <c r="L108" s="196" t="s">
        <v>75</v>
      </c>
      <c r="M108" s="196" t="s">
        <v>73</v>
      </c>
      <c r="N108" s="196" t="s">
        <v>73</v>
      </c>
      <c r="O108" s="196" t="s">
        <v>234</v>
      </c>
      <c r="P108" s="196" t="s">
        <v>73</v>
      </c>
      <c r="Q108" s="196" t="s">
        <v>74</v>
      </c>
      <c r="R108" s="196" t="s">
        <v>74</v>
      </c>
      <c r="S108" s="196" t="s">
        <v>73</v>
      </c>
      <c r="T108" s="196" t="s">
        <v>73</v>
      </c>
      <c r="U108" s="196" t="s">
        <v>75</v>
      </c>
      <c r="V108" s="196" t="s">
        <v>234</v>
      </c>
      <c r="W108" s="196" t="s">
        <v>74</v>
      </c>
      <c r="X108" s="196" t="s">
        <v>73</v>
      </c>
      <c r="Y108" s="192" t="s">
        <v>74</v>
      </c>
      <c r="Z108" s="196" t="s">
        <v>73</v>
      </c>
      <c r="AA108" s="196" t="s">
        <v>75</v>
      </c>
      <c r="AB108" s="196" t="s">
        <v>75</v>
      </c>
      <c r="AC108" s="196" t="s">
        <v>234</v>
      </c>
      <c r="AD108" s="196" t="s">
        <v>75</v>
      </c>
      <c r="AE108" s="196" t="s">
        <v>74</v>
      </c>
      <c r="AF108" s="196" t="s">
        <v>74</v>
      </c>
      <c r="AG108" s="196" t="s">
        <v>73</v>
      </c>
      <c r="AH108" s="196" t="s">
        <v>73</v>
      </c>
      <c r="AI108" s="196" t="s">
        <v>73</v>
      </c>
      <c r="AJ108" s="196" t="s">
        <v>234</v>
      </c>
      <c r="AK108" s="196" t="s">
        <v>74</v>
      </c>
      <c r="AL108" s="240">
        <f t="shared" ref="AL108" si="328">SUM(COUNTIFS(G108:AK108,"A"))</f>
        <v>7</v>
      </c>
      <c r="AM108" s="240">
        <f t="shared" ref="AM108" si="329">SUM(COUNTIFS(G108:AK108,"B"))</f>
        <v>11</v>
      </c>
      <c r="AN108" s="240">
        <f t="shared" ref="AN108" si="330">SUM(COUNTIFS(G108:AK108,"C"))</f>
        <v>8</v>
      </c>
      <c r="AO108" s="240">
        <f t="shared" ref="AO108" si="331">SUM(COUNTIFS(G108:AK108,"G"))</f>
        <v>0</v>
      </c>
      <c r="AP108" s="240">
        <f t="shared" ref="AP108" si="332">SUM(COUNTIFS(G108:AK108,"W"))</f>
        <v>5</v>
      </c>
      <c r="AQ108" s="240">
        <f t="shared" ref="AQ108" si="333">SUM(COUNTIFS(G109:AK109,"A"))+(COUNTIFS(G109:AK109,"B"))+(COUNTIFS(G109:AK109,"C"))+(COUNTIFS(G109:AK109,"G"))</f>
        <v>0</v>
      </c>
      <c r="AR108" s="242">
        <f t="shared" ref="AR108" si="334">SUM(COUNTIFS(G108:AK108,"PH"))</f>
        <v>0</v>
      </c>
      <c r="AS108" s="284">
        <f t="shared" ref="AS108" si="335">AL108+AM108+AN108+AO108+AR108+AP108+AQ108</f>
        <v>31</v>
      </c>
    </row>
    <row r="109" spans="1:45" s="193" customFormat="1" ht="18.75" x14ac:dyDescent="0.25">
      <c r="A109" s="254"/>
      <c r="B109" s="248"/>
      <c r="C109" s="247"/>
      <c r="D109" s="248"/>
      <c r="E109" s="247"/>
      <c r="F109" s="191" t="s">
        <v>237</v>
      </c>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196"/>
      <c r="AH109" s="196"/>
      <c r="AI109" s="196"/>
      <c r="AJ109" s="196"/>
      <c r="AK109" s="196"/>
      <c r="AL109" s="241"/>
      <c r="AM109" s="241"/>
      <c r="AN109" s="241"/>
      <c r="AO109" s="241"/>
      <c r="AP109" s="241"/>
      <c r="AQ109" s="241"/>
      <c r="AR109" s="243"/>
      <c r="AS109" s="284"/>
    </row>
    <row r="110" spans="1:45" s="193" customFormat="1" ht="18.75" x14ac:dyDescent="0.25">
      <c r="A110" s="253">
        <v>53</v>
      </c>
      <c r="B110" s="248">
        <v>12057</v>
      </c>
      <c r="C110" s="255" t="s">
        <v>391</v>
      </c>
      <c r="D110" s="248">
        <v>11225</v>
      </c>
      <c r="E110" s="246" t="s">
        <v>381</v>
      </c>
      <c r="F110" s="191" t="s">
        <v>233</v>
      </c>
      <c r="G110" s="196" t="s">
        <v>71</v>
      </c>
      <c r="H110" s="196" t="s">
        <v>71</v>
      </c>
      <c r="I110" s="196" t="s">
        <v>71</v>
      </c>
      <c r="J110" s="196" t="s">
        <v>71</v>
      </c>
      <c r="K110" s="196" t="s">
        <v>71</v>
      </c>
      <c r="L110" s="196" t="s">
        <v>71</v>
      </c>
      <c r="M110" s="196" t="s">
        <v>234</v>
      </c>
      <c r="N110" s="196" t="s">
        <v>71</v>
      </c>
      <c r="O110" s="196" t="s">
        <v>71</v>
      </c>
      <c r="P110" s="196" t="s">
        <v>71</v>
      </c>
      <c r="Q110" s="196" t="s">
        <v>71</v>
      </c>
      <c r="R110" s="196" t="s">
        <v>71</v>
      </c>
      <c r="S110" s="196" t="s">
        <v>71</v>
      </c>
      <c r="T110" s="196" t="s">
        <v>234</v>
      </c>
      <c r="U110" s="196" t="s">
        <v>71</v>
      </c>
      <c r="V110" s="196" t="s">
        <v>71</v>
      </c>
      <c r="W110" s="196" t="s">
        <v>71</v>
      </c>
      <c r="X110" s="196" t="s">
        <v>71</v>
      </c>
      <c r="Y110" s="196" t="s">
        <v>71</v>
      </c>
      <c r="Z110" s="196" t="s">
        <v>71</v>
      </c>
      <c r="AA110" s="196" t="s">
        <v>234</v>
      </c>
      <c r="AB110" s="196" t="s">
        <v>71</v>
      </c>
      <c r="AC110" s="196" t="s">
        <v>71</v>
      </c>
      <c r="AD110" s="196" t="s">
        <v>71</v>
      </c>
      <c r="AE110" s="196" t="s">
        <v>71</v>
      </c>
      <c r="AF110" s="196" t="s">
        <v>71</v>
      </c>
      <c r="AG110" s="196" t="s">
        <v>71</v>
      </c>
      <c r="AH110" s="196" t="s">
        <v>234</v>
      </c>
      <c r="AI110" s="196" t="s">
        <v>71</v>
      </c>
      <c r="AJ110" s="196" t="s">
        <v>71</v>
      </c>
      <c r="AK110" s="196" t="s">
        <v>71</v>
      </c>
      <c r="AL110" s="240">
        <f t="shared" ref="AL110" si="336">SUM(COUNTIFS(G110:AK110,"A"))</f>
        <v>0</v>
      </c>
      <c r="AM110" s="240">
        <f t="shared" ref="AM110" si="337">SUM(COUNTIFS(G110:AK110,"B"))</f>
        <v>0</v>
      </c>
      <c r="AN110" s="240">
        <f t="shared" ref="AN110" si="338">SUM(COUNTIFS(G110:AK110,"C"))</f>
        <v>0</v>
      </c>
      <c r="AO110" s="240">
        <f t="shared" ref="AO110" si="339">SUM(COUNTIFS(G110:AK110,"G"))</f>
        <v>27</v>
      </c>
      <c r="AP110" s="240">
        <f t="shared" ref="AP110" si="340">SUM(COUNTIFS(G110:AK110,"W"))</f>
        <v>4</v>
      </c>
      <c r="AQ110" s="240">
        <f t="shared" ref="AQ110" si="341">SUM(COUNTIFS(G111:AK111,"A"))+(COUNTIFS(G111:AK111,"B"))+(COUNTIFS(G111:AK111,"C"))+(COUNTIFS(G111:AK111,"G"))</f>
        <v>0</v>
      </c>
      <c r="AR110" s="242">
        <f t="shared" ref="AR110" si="342">SUM(COUNTIFS(G110:AK110,"PH"))</f>
        <v>0</v>
      </c>
      <c r="AS110" s="284">
        <f t="shared" ref="AS110" si="343">AL110+AM110+AN110+AO110+AR110+AP110+AQ110</f>
        <v>31</v>
      </c>
    </row>
    <row r="111" spans="1:45" s="193" customFormat="1" ht="18.75" x14ac:dyDescent="0.25">
      <c r="A111" s="254"/>
      <c r="B111" s="248"/>
      <c r="C111" s="256"/>
      <c r="D111" s="248"/>
      <c r="E111" s="247"/>
      <c r="F111" s="191" t="s">
        <v>237</v>
      </c>
      <c r="G111" s="196"/>
      <c r="H111" s="196"/>
      <c r="I111" s="196"/>
      <c r="J111" s="196"/>
      <c r="K111" s="196"/>
      <c r="L111" s="196"/>
      <c r="M111" s="196"/>
      <c r="N111" s="196"/>
      <c r="O111" s="196"/>
      <c r="P111" s="196"/>
      <c r="Q111" s="196"/>
      <c r="R111" s="196"/>
      <c r="S111" s="196"/>
      <c r="T111" s="196"/>
      <c r="U111" s="196"/>
      <c r="V111" s="196"/>
      <c r="W111" s="196"/>
      <c r="X111" s="196"/>
      <c r="Y111" s="196"/>
      <c r="Z111" s="196"/>
      <c r="AA111" s="196"/>
      <c r="AB111" s="196"/>
      <c r="AC111" s="196"/>
      <c r="AD111" s="196"/>
      <c r="AE111" s="196"/>
      <c r="AF111" s="196"/>
      <c r="AG111" s="196"/>
      <c r="AH111" s="196"/>
      <c r="AI111" s="196"/>
      <c r="AJ111" s="196"/>
      <c r="AK111" s="196"/>
      <c r="AL111" s="241"/>
      <c r="AM111" s="241"/>
      <c r="AN111" s="241"/>
      <c r="AO111" s="241"/>
      <c r="AP111" s="241"/>
      <c r="AQ111" s="241"/>
      <c r="AR111" s="243"/>
      <c r="AS111" s="284"/>
    </row>
    <row r="112" spans="1:45" s="193" customFormat="1" ht="18.75" x14ac:dyDescent="0.25">
      <c r="A112" s="253">
        <v>54</v>
      </c>
      <c r="B112" s="248">
        <v>12141</v>
      </c>
      <c r="C112" s="251" t="s">
        <v>392</v>
      </c>
      <c r="D112" s="248">
        <v>11226</v>
      </c>
      <c r="E112" s="246" t="s">
        <v>393</v>
      </c>
      <c r="F112" s="191" t="s">
        <v>233</v>
      </c>
      <c r="G112" s="196" t="s">
        <v>71</v>
      </c>
      <c r="H112" s="196" t="s">
        <v>71</v>
      </c>
      <c r="I112" s="196" t="s">
        <v>71</v>
      </c>
      <c r="J112" s="196" t="s">
        <v>71</v>
      </c>
      <c r="K112" s="196" t="s">
        <v>234</v>
      </c>
      <c r="L112" s="196" t="s">
        <v>71</v>
      </c>
      <c r="M112" s="196" t="s">
        <v>76</v>
      </c>
      <c r="N112" s="196" t="s">
        <v>71</v>
      </c>
      <c r="O112" s="196" t="s">
        <v>71</v>
      </c>
      <c r="P112" s="196" t="s">
        <v>71</v>
      </c>
      <c r="Q112" s="196" t="s">
        <v>71</v>
      </c>
      <c r="R112" s="196" t="s">
        <v>234</v>
      </c>
      <c r="S112" s="196" t="s">
        <v>76</v>
      </c>
      <c r="T112" s="196" t="s">
        <v>71</v>
      </c>
      <c r="U112" s="196" t="s">
        <v>71</v>
      </c>
      <c r="V112" s="196" t="s">
        <v>71</v>
      </c>
      <c r="W112" s="196" t="s">
        <v>76</v>
      </c>
      <c r="X112" s="196" t="s">
        <v>76</v>
      </c>
      <c r="Y112" s="196" t="s">
        <v>234</v>
      </c>
      <c r="Z112" s="196" t="s">
        <v>71</v>
      </c>
      <c r="AA112" s="196" t="s">
        <v>71</v>
      </c>
      <c r="AB112" s="196" t="s">
        <v>71</v>
      </c>
      <c r="AC112" s="196" t="s">
        <v>71</v>
      </c>
      <c r="AD112" s="196" t="s">
        <v>71</v>
      </c>
      <c r="AE112" s="196" t="s">
        <v>71</v>
      </c>
      <c r="AF112" s="196" t="s">
        <v>234</v>
      </c>
      <c r="AG112" s="196" t="s">
        <v>76</v>
      </c>
      <c r="AH112" s="196" t="s">
        <v>71</v>
      </c>
      <c r="AI112" s="196" t="s">
        <v>71</v>
      </c>
      <c r="AJ112" s="196" t="s">
        <v>71</v>
      </c>
      <c r="AK112" s="196" t="s">
        <v>71</v>
      </c>
      <c r="AL112" s="240">
        <f>SUM(COUNTIFS(G112:AK112,"A"))</f>
        <v>0</v>
      </c>
      <c r="AM112" s="240">
        <f>SUM(COUNTIFS(G112:AK112,"B"))</f>
        <v>0</v>
      </c>
      <c r="AN112" s="240">
        <f>SUM(COUNTIFS(G112:AK112,"C"))</f>
        <v>0</v>
      </c>
      <c r="AO112" s="240">
        <f>SUM(COUNTIFS(G112:AK112,"G"))</f>
        <v>22</v>
      </c>
      <c r="AP112" s="240">
        <f>SUM(COUNTIFS(G112:AK112,"W"))</f>
        <v>4</v>
      </c>
      <c r="AQ112" s="240">
        <f>SUM(COUNTIFS(G113:AK113,"A"))+(COUNTIFS(G113:AK113,"B"))+(COUNTIFS(G113:AK113,"C"))+(COUNTIFS(G113:AK113,"G"))</f>
        <v>0</v>
      </c>
      <c r="AR112" s="242">
        <f>SUM(COUNTIFS(G112:AK112,"PH"))</f>
        <v>0</v>
      </c>
      <c r="AS112" s="284">
        <f>AL112+AM112+AN112+AO112+AR112+AP112+AQ112</f>
        <v>26</v>
      </c>
    </row>
    <row r="113" spans="1:45" s="193" customFormat="1" ht="18.75" x14ac:dyDescent="0.25">
      <c r="A113" s="254"/>
      <c r="B113" s="248"/>
      <c r="C113" s="252"/>
      <c r="D113" s="248"/>
      <c r="E113" s="247"/>
      <c r="F113" s="191" t="s">
        <v>237</v>
      </c>
      <c r="G113" s="196"/>
      <c r="H113" s="196"/>
      <c r="I113" s="196"/>
      <c r="J113" s="196"/>
      <c r="K113" s="196"/>
      <c r="L113" s="196"/>
      <c r="M113" s="196"/>
      <c r="N113" s="196"/>
      <c r="O113" s="196"/>
      <c r="P113" s="196"/>
      <c r="Q113" s="196"/>
      <c r="R113" s="196"/>
      <c r="S113" s="196"/>
      <c r="T113" s="196"/>
      <c r="U113" s="196"/>
      <c r="V113" s="196"/>
      <c r="W113" s="196"/>
      <c r="X113" s="196"/>
      <c r="Y113" s="196"/>
      <c r="Z113" s="196"/>
      <c r="AA113" s="196"/>
      <c r="AB113" s="196"/>
      <c r="AC113" s="196"/>
      <c r="AD113" s="196"/>
      <c r="AE113" s="196"/>
      <c r="AF113" s="196"/>
      <c r="AG113" s="196"/>
      <c r="AH113" s="196"/>
      <c r="AI113" s="196"/>
      <c r="AJ113" s="196"/>
      <c r="AK113" s="196"/>
      <c r="AL113" s="241"/>
      <c r="AM113" s="241"/>
      <c r="AN113" s="241"/>
      <c r="AO113" s="241"/>
      <c r="AP113" s="241"/>
      <c r="AQ113" s="241"/>
      <c r="AR113" s="243"/>
      <c r="AS113" s="284"/>
    </row>
    <row r="114" spans="1:45" s="193" customFormat="1" ht="18.75" x14ac:dyDescent="0.25">
      <c r="A114" s="203"/>
      <c r="B114" s="204"/>
      <c r="C114" s="318" t="s">
        <v>303</v>
      </c>
      <c r="D114" s="319"/>
      <c r="E114" s="320"/>
      <c r="F114" s="194"/>
      <c r="G114" s="205">
        <f>SUM(COUNTIF(G4:G113,{"A","B","C","G","W","PH"}))</f>
        <v>35</v>
      </c>
      <c r="H114" s="205">
        <f>SUM(COUNTIF(H4:H113,{"A","B","C","G","W","PH"}))</f>
        <v>39</v>
      </c>
      <c r="I114" s="205">
        <f>SUM(COUNTIF(I4:I113,{"A","B","C","G","W","PH"}))</f>
        <v>38</v>
      </c>
      <c r="J114" s="205">
        <f>SUM(COUNTIF(J4:J113,{"A","B","C","G","W","PH"}))</f>
        <v>39</v>
      </c>
      <c r="K114" s="205">
        <f>SUM(COUNTIF(K4:K113,{"A","B","C","G","W","PH"}))</f>
        <v>40</v>
      </c>
      <c r="L114" s="205">
        <f>SUM(COUNTIF(L4:L113,{"A","B","C","G","W","PH"}))</f>
        <v>42</v>
      </c>
      <c r="M114" s="205">
        <f>SUM(COUNTIF(M4:M113,{"A","B","C","G","W","PH"}))</f>
        <v>42</v>
      </c>
      <c r="N114" s="205">
        <f>SUM(COUNTIF(N4:N113,{"A","B","C","G","W","PH"}))</f>
        <v>43</v>
      </c>
      <c r="O114" s="205">
        <f>SUM(COUNTIF(O4:O113,{"A","B","C","G","W","PH"}))</f>
        <v>44</v>
      </c>
      <c r="P114" s="205">
        <f>SUM(COUNTIF(P4:P113,{"A","B","C","G","W","PH"}))</f>
        <v>43</v>
      </c>
      <c r="Q114" s="205">
        <f>SUM(COUNTIF(Q4:Q113,{"A","B","C","G","W","PH"}))</f>
        <v>44</v>
      </c>
      <c r="R114" s="205">
        <f>SUM(COUNTIF(R4:R113,{"A","B","C","G","W","PH"}))</f>
        <v>44</v>
      </c>
      <c r="S114" s="205">
        <f>SUM(COUNTIF(S4:S113,{"A","B","C","G","W","PH"}))</f>
        <v>42</v>
      </c>
      <c r="T114" s="205">
        <f>SUM(COUNTIF(T4:T113,{"A","B","C","G","W","PH"}))</f>
        <v>43</v>
      </c>
      <c r="U114" s="205">
        <f>SUM(COUNTIF(U4:U113,{"A","B","C","G","W","PH"}))</f>
        <v>41</v>
      </c>
      <c r="V114" s="205">
        <f>SUM(COUNTIF(V4:V113,{"A","B","C","G","W","PH"}))</f>
        <v>42</v>
      </c>
      <c r="W114" s="205">
        <f>SUM(COUNTIF(W4:W113,{"A","B","C","G","W","PH"}))</f>
        <v>40</v>
      </c>
      <c r="X114" s="205">
        <f>SUM(COUNTIF(X4:X113,{"A","B","C","G","W","PH"}))</f>
        <v>39</v>
      </c>
      <c r="Y114" s="205">
        <f>SUM(COUNTIF(Y4:Y113,{"A","B","C","G","W","PH"}))</f>
        <v>41</v>
      </c>
      <c r="Z114" s="205">
        <f>SUM(COUNTIF(Z4:Z113,{"A","B","C","G","W","PH"}))</f>
        <v>39</v>
      </c>
      <c r="AA114" s="205">
        <f>SUM(COUNTIF(AA4:AA113,{"A","B","C","G","W","PH"}))</f>
        <v>42</v>
      </c>
      <c r="AB114" s="205">
        <f>SUM(COUNTIF(AB4:AB113,{"A","B","C","G","W","PH"}))</f>
        <v>44</v>
      </c>
      <c r="AC114" s="205">
        <f>SUM(COUNTIF(AC4:AC113,{"A","B","C","G","W","PH"}))</f>
        <v>46</v>
      </c>
      <c r="AD114" s="205">
        <f>SUM(COUNTIF(AD4:AD113,{"A","B","C","G","W","PH"}))</f>
        <v>46</v>
      </c>
      <c r="AE114" s="205">
        <f>SUM(COUNTIF(AE4:AE113,{"A","B","C","G","W","PH"}))</f>
        <v>46</v>
      </c>
      <c r="AF114" s="205">
        <f>SUM(COUNTIF(AF4:AF113,{"A","B","C","G","W","PH"}))</f>
        <v>45</v>
      </c>
      <c r="AG114" s="205">
        <f>SUM(COUNTIF(AG4:AG113,{"A","B","C","G","W","PH"}))</f>
        <v>44</v>
      </c>
      <c r="AH114" s="205">
        <f>SUM(COUNTIF(AH4:AH113,{"A","B","C","G","W","PH"}))</f>
        <v>45</v>
      </c>
      <c r="AI114" s="205">
        <f>SUM(COUNTIF(AI4:AI113,{"A","B","C","G","W","PH"}))</f>
        <v>47</v>
      </c>
      <c r="AJ114" s="205">
        <f>SUM(COUNTIF(AJ4:AJ113,{"A","B","C","G","W","PH"}))</f>
        <v>46</v>
      </c>
      <c r="AK114" s="205">
        <f>SUM(COUNTIF(AK4:AK113,{"A","B","C","G","W","PH"}))</f>
        <v>44</v>
      </c>
      <c r="AL114" s="202"/>
      <c r="AM114" s="202"/>
      <c r="AN114" s="202"/>
      <c r="AO114" s="202"/>
      <c r="AP114" s="202"/>
      <c r="AQ114" s="202"/>
      <c r="AR114" s="202"/>
      <c r="AS114" s="206"/>
    </row>
    <row r="115" spans="1:45" s="193" customFormat="1" ht="18.75" x14ac:dyDescent="0.25">
      <c r="A115" s="203"/>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240">
        <f>SUM(AL4:AL113)</f>
        <v>221</v>
      </c>
      <c r="AM115" s="240">
        <f t="shared" ref="AM115:AR115" si="344">SUM(AM4:AM113)</f>
        <v>270</v>
      </c>
      <c r="AN115" s="240">
        <f>SUM(AN4:AN113)</f>
        <v>255</v>
      </c>
      <c r="AO115" s="240">
        <f t="shared" si="344"/>
        <v>394</v>
      </c>
      <c r="AP115" s="240">
        <f t="shared" si="344"/>
        <v>175</v>
      </c>
      <c r="AQ115" s="240">
        <f t="shared" si="344"/>
        <v>0</v>
      </c>
      <c r="AR115" s="240">
        <f t="shared" si="344"/>
        <v>0</v>
      </c>
      <c r="AS115" s="284">
        <f>SUM(AS4:AS113)</f>
        <v>1315</v>
      </c>
    </row>
    <row r="116" spans="1:45" s="193" customFormat="1" ht="18.75" x14ac:dyDescent="0.25">
      <c r="A116" s="203"/>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241"/>
      <c r="AM116" s="241"/>
      <c r="AN116" s="241"/>
      <c r="AO116" s="241"/>
      <c r="AP116" s="241"/>
      <c r="AQ116" s="241"/>
      <c r="AR116" s="241"/>
      <c r="AS116" s="284"/>
    </row>
    <row r="117" spans="1:45" s="193" customFormat="1" ht="19.5" thickBot="1" x14ac:dyDescent="0.3">
      <c r="A117" s="207"/>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c r="AA117" s="208"/>
      <c r="AB117" s="208"/>
      <c r="AC117" s="208"/>
      <c r="AD117" s="208"/>
      <c r="AE117" s="208"/>
      <c r="AF117" s="208"/>
      <c r="AG117" s="208"/>
      <c r="AH117" s="208"/>
      <c r="AI117" s="208"/>
      <c r="AJ117" s="208"/>
      <c r="AK117" s="208"/>
      <c r="AL117" s="321" t="s">
        <v>236</v>
      </c>
      <c r="AM117" s="322"/>
      <c r="AN117" s="322"/>
      <c r="AO117" s="322"/>
      <c r="AP117" s="323"/>
      <c r="AQ117" s="321">
        <f>AS115</f>
        <v>1315</v>
      </c>
      <c r="AR117" s="324"/>
      <c r="AS117" s="325"/>
    </row>
  </sheetData>
  <autoFilter ref="A3:AT3" xr:uid="{4738BD01-15E1-454E-8384-E0345C3445D5}"/>
  <mergeCells count="756">
    <mergeCell ref="B100:B101"/>
    <mergeCell ref="B102:B103"/>
    <mergeCell ref="B104:B105"/>
    <mergeCell ref="B106:B107"/>
    <mergeCell ref="B108:B109"/>
    <mergeCell ref="B110:B111"/>
    <mergeCell ref="B112:B113"/>
    <mergeCell ref="B76:B77"/>
    <mergeCell ref="B78:B79"/>
    <mergeCell ref="B80:B81"/>
    <mergeCell ref="B82:B83"/>
    <mergeCell ref="B84:B85"/>
    <mergeCell ref="B86:B87"/>
    <mergeCell ref="B88:B89"/>
    <mergeCell ref="B90:B91"/>
    <mergeCell ref="B92:B93"/>
    <mergeCell ref="AL117:AP117"/>
    <mergeCell ref="AQ117:AS11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C114:E114"/>
    <mergeCell ref="AL115:AL116"/>
    <mergeCell ref="AM115:AM116"/>
    <mergeCell ref="AN115:AN116"/>
    <mergeCell ref="AO115:AO116"/>
    <mergeCell ref="AP115:AP116"/>
    <mergeCell ref="AQ115:AQ116"/>
    <mergeCell ref="AR115:AR116"/>
    <mergeCell ref="AS115:AS116"/>
    <mergeCell ref="AP110:AP111"/>
    <mergeCell ref="AQ110:AQ111"/>
    <mergeCell ref="AR110:AR111"/>
    <mergeCell ref="AS110:AS111"/>
    <mergeCell ref="A112:A113"/>
    <mergeCell ref="C112:C113"/>
    <mergeCell ref="D112:D113"/>
    <mergeCell ref="E112:E113"/>
    <mergeCell ref="AL112:AL113"/>
    <mergeCell ref="AM112:AM113"/>
    <mergeCell ref="AN112:AN113"/>
    <mergeCell ref="AO112:AO113"/>
    <mergeCell ref="AP112:AP113"/>
    <mergeCell ref="AQ112:AQ113"/>
    <mergeCell ref="AR112:AR113"/>
    <mergeCell ref="AS112:AS113"/>
    <mergeCell ref="A110:A111"/>
    <mergeCell ref="C110:C111"/>
    <mergeCell ref="D110:D111"/>
    <mergeCell ref="E110:E111"/>
    <mergeCell ref="AL110:AL111"/>
    <mergeCell ref="AM110:AM111"/>
    <mergeCell ref="AN110:AN111"/>
    <mergeCell ref="AO110:AO111"/>
    <mergeCell ref="AP106:AP107"/>
    <mergeCell ref="AQ106:AQ107"/>
    <mergeCell ref="AR106:AR107"/>
    <mergeCell ref="AS106:AS107"/>
    <mergeCell ref="A108:A109"/>
    <mergeCell ref="C108:C109"/>
    <mergeCell ref="D108:D109"/>
    <mergeCell ref="E108:E109"/>
    <mergeCell ref="AL108:AL109"/>
    <mergeCell ref="AM108:AM109"/>
    <mergeCell ref="AN108:AN109"/>
    <mergeCell ref="AO108:AO109"/>
    <mergeCell ref="AP108:AP109"/>
    <mergeCell ref="AQ108:AQ109"/>
    <mergeCell ref="AR108:AR109"/>
    <mergeCell ref="AS108:AS109"/>
    <mergeCell ref="A106:A107"/>
    <mergeCell ref="C106:C107"/>
    <mergeCell ref="D106:D107"/>
    <mergeCell ref="E106:E107"/>
    <mergeCell ref="AL106:AL107"/>
    <mergeCell ref="AM106:AM107"/>
    <mergeCell ref="AN106:AN107"/>
    <mergeCell ref="AO106:AO107"/>
    <mergeCell ref="AS102:AS103"/>
    <mergeCell ref="A104:A105"/>
    <mergeCell ref="C104:C105"/>
    <mergeCell ref="D104:D105"/>
    <mergeCell ref="E104:E105"/>
    <mergeCell ref="AL104:AL105"/>
    <mergeCell ref="AM104:AM105"/>
    <mergeCell ref="AN104:AN105"/>
    <mergeCell ref="AO104:AO105"/>
    <mergeCell ref="AP104:AP105"/>
    <mergeCell ref="AQ104:AQ105"/>
    <mergeCell ref="AR104:AR105"/>
    <mergeCell ref="AS104:AS105"/>
    <mergeCell ref="A102:A103"/>
    <mergeCell ref="C102:C103"/>
    <mergeCell ref="D102:D103"/>
    <mergeCell ref="E102:E103"/>
    <mergeCell ref="AL102:AL103"/>
    <mergeCell ref="AM102:AM103"/>
    <mergeCell ref="AN102:AN103"/>
    <mergeCell ref="AO102:AO103"/>
    <mergeCell ref="AP102:AP103"/>
    <mergeCell ref="AQ102:AQ103"/>
    <mergeCell ref="AR102:AR103"/>
    <mergeCell ref="AS88:AS89"/>
    <mergeCell ref="AS90:AS91"/>
    <mergeCell ref="AS92:AS93"/>
    <mergeCell ref="AD94:AK94"/>
    <mergeCell ref="AS94:AS95"/>
    <mergeCell ref="AS96:AS97"/>
    <mergeCell ref="AS98:AS99"/>
    <mergeCell ref="A100:A101"/>
    <mergeCell ref="C100:C101"/>
    <mergeCell ref="D100:D101"/>
    <mergeCell ref="E100:E101"/>
    <mergeCell ref="G100:AA101"/>
    <mergeCell ref="AL100:AL101"/>
    <mergeCell ref="AM100:AM101"/>
    <mergeCell ref="AN100:AN101"/>
    <mergeCell ref="AO100:AO101"/>
    <mergeCell ref="AP100:AP101"/>
    <mergeCell ref="AQ100:AQ101"/>
    <mergeCell ref="AR100:AR101"/>
    <mergeCell ref="AS100:AS101"/>
    <mergeCell ref="B94:B95"/>
    <mergeCell ref="B96:B97"/>
    <mergeCell ref="B98:B99"/>
    <mergeCell ref="AR98:AR99"/>
    <mergeCell ref="AS74:AS75"/>
    <mergeCell ref="G76:I77"/>
    <mergeCell ref="AS76:AS77"/>
    <mergeCell ref="AS78:AS79"/>
    <mergeCell ref="AS80:AS81"/>
    <mergeCell ref="AS82:AS83"/>
    <mergeCell ref="AS84:AS85"/>
    <mergeCell ref="F86:F87"/>
    <mergeCell ref="AS86:AS87"/>
    <mergeCell ref="AR86:AR87"/>
    <mergeCell ref="AR84:AR85"/>
    <mergeCell ref="AO84:AO85"/>
    <mergeCell ref="AO74:AO75"/>
    <mergeCell ref="AR80:AR81"/>
    <mergeCell ref="AO80:AO81"/>
    <mergeCell ref="AQ80:AQ81"/>
    <mergeCell ref="AP80:AP81"/>
    <mergeCell ref="AR76:AR77"/>
    <mergeCell ref="AR78:AR79"/>
    <mergeCell ref="AR74:AR75"/>
    <mergeCell ref="AO78:AO79"/>
    <mergeCell ref="AP78:AP79"/>
    <mergeCell ref="AQ76:AQ77"/>
    <mergeCell ref="AQ78:AQ79"/>
    <mergeCell ref="AS60:AS61"/>
    <mergeCell ref="G62:K63"/>
    <mergeCell ref="AS62:AS63"/>
    <mergeCell ref="G64:K65"/>
    <mergeCell ref="AS64:AS65"/>
    <mergeCell ref="AS66:AS67"/>
    <mergeCell ref="AS68:AS69"/>
    <mergeCell ref="AS70:AS71"/>
    <mergeCell ref="AS72:AS73"/>
    <mergeCell ref="G60:AH60"/>
    <mergeCell ref="AL70:AL71"/>
    <mergeCell ref="AL72:AL73"/>
    <mergeCell ref="AL64:AL65"/>
    <mergeCell ref="AL66:AL67"/>
    <mergeCell ref="AL68:AL69"/>
    <mergeCell ref="AP64:AP65"/>
    <mergeCell ref="AQ64:AQ65"/>
    <mergeCell ref="AQ66:AQ67"/>
    <mergeCell ref="AN62:AN63"/>
    <mergeCell ref="AM64:AM65"/>
    <mergeCell ref="AN64:AN65"/>
    <mergeCell ref="AM66:AM67"/>
    <mergeCell ref="AN66:AN67"/>
    <mergeCell ref="AP72:AP73"/>
    <mergeCell ref="AS44:AS45"/>
    <mergeCell ref="G46:Z47"/>
    <mergeCell ref="AS46:AS47"/>
    <mergeCell ref="AS48:AS49"/>
    <mergeCell ref="AS50:AS51"/>
    <mergeCell ref="AS52:AS53"/>
    <mergeCell ref="AS54:AS55"/>
    <mergeCell ref="AS56:AS57"/>
    <mergeCell ref="AS58:AS59"/>
    <mergeCell ref="AQ48:AQ49"/>
    <mergeCell ref="AO48:AO49"/>
    <mergeCell ref="AP48:AP49"/>
    <mergeCell ref="AM50:AM51"/>
    <mergeCell ref="AP56:AP57"/>
    <mergeCell ref="AQ58:AQ59"/>
    <mergeCell ref="AQ56:AQ57"/>
    <mergeCell ref="AO58:AO59"/>
    <mergeCell ref="AN54:AN55"/>
    <mergeCell ref="AO54:AO55"/>
    <mergeCell ref="AO56:AO57"/>
    <mergeCell ref="AQ54:AQ55"/>
    <mergeCell ref="AP54:AP55"/>
    <mergeCell ref="AP58:AP59"/>
    <mergeCell ref="AN58:AN59"/>
    <mergeCell ref="AS34:AS35"/>
    <mergeCell ref="G36:I37"/>
    <mergeCell ref="AS36:AS37"/>
    <mergeCell ref="G38:I39"/>
    <mergeCell ref="AS38:AS39"/>
    <mergeCell ref="G40:L41"/>
    <mergeCell ref="AS40:AS41"/>
    <mergeCell ref="G42:L43"/>
    <mergeCell ref="AS42:AS43"/>
    <mergeCell ref="AQ36:AQ37"/>
    <mergeCell ref="AL38:AL39"/>
    <mergeCell ref="AS32:AS33"/>
    <mergeCell ref="AQ32:AQ33"/>
    <mergeCell ref="AP32:AP33"/>
    <mergeCell ref="AP20:AP21"/>
    <mergeCell ref="AL18:AL19"/>
    <mergeCell ref="AL28:AL29"/>
    <mergeCell ref="AL30:AL31"/>
    <mergeCell ref="AL32:AL33"/>
    <mergeCell ref="AO18:AO19"/>
    <mergeCell ref="AN22:AN23"/>
    <mergeCell ref="AM18:AM19"/>
    <mergeCell ref="AM30:AM31"/>
    <mergeCell ref="AN30:AN31"/>
    <mergeCell ref="AP28:AP29"/>
    <mergeCell ref="AQ28:AQ29"/>
    <mergeCell ref="AN32:AN33"/>
    <mergeCell ref="AP24:AP25"/>
    <mergeCell ref="AO22:AO23"/>
    <mergeCell ref="AQ30:AQ31"/>
    <mergeCell ref="AP30:AP31"/>
    <mergeCell ref="AO24:AO25"/>
    <mergeCell ref="AO26:AO27"/>
    <mergeCell ref="AO28:AO29"/>
    <mergeCell ref="AS18:AS19"/>
    <mergeCell ref="AS20:AS21"/>
    <mergeCell ref="AS22:AS23"/>
    <mergeCell ref="AS24:AS25"/>
    <mergeCell ref="AS26:AS27"/>
    <mergeCell ref="AS28:AS29"/>
    <mergeCell ref="G30:G31"/>
    <mergeCell ref="AS30:AS31"/>
    <mergeCell ref="AL2:AL3"/>
    <mergeCell ref="AL4:AL5"/>
    <mergeCell ref="AL6:AL7"/>
    <mergeCell ref="AL8:AL9"/>
    <mergeCell ref="AQ2:AQ3"/>
    <mergeCell ref="AP6:AP7"/>
    <mergeCell ref="AQ6:AQ7"/>
    <mergeCell ref="AO8:AO9"/>
    <mergeCell ref="AQ4:AQ5"/>
    <mergeCell ref="AR4:AR5"/>
    <mergeCell ref="AR6:AR7"/>
    <mergeCell ref="AR2:AR3"/>
    <mergeCell ref="AL20:AL21"/>
    <mergeCell ref="AO20:AO21"/>
    <mergeCell ref="AP22:AP23"/>
    <mergeCell ref="C34:C35"/>
    <mergeCell ref="A1:AS1"/>
    <mergeCell ref="AS2:AS3"/>
    <mergeCell ref="AS4:AS5"/>
    <mergeCell ref="AS6:AS7"/>
    <mergeCell ref="AS8:AS9"/>
    <mergeCell ref="AS10:AS11"/>
    <mergeCell ref="AS12:AS13"/>
    <mergeCell ref="AS14:AS15"/>
    <mergeCell ref="AS16:AS17"/>
    <mergeCell ref="C2:C3"/>
    <mergeCell ref="C4:C5"/>
    <mergeCell ref="C6:C7"/>
    <mergeCell ref="C8:C9"/>
    <mergeCell ref="C10:C11"/>
    <mergeCell ref="C12:C13"/>
    <mergeCell ref="C14:C15"/>
    <mergeCell ref="C16:C17"/>
    <mergeCell ref="AO10:AO11"/>
    <mergeCell ref="AL14:AL15"/>
    <mergeCell ref="AN10:AN11"/>
    <mergeCell ref="AM12:AM13"/>
    <mergeCell ref="AO12:AO13"/>
    <mergeCell ref="AO14:AO15"/>
    <mergeCell ref="C36:C37"/>
    <mergeCell ref="C38:C39"/>
    <mergeCell ref="C40:C41"/>
    <mergeCell ref="C42:C43"/>
    <mergeCell ref="C44:C45"/>
    <mergeCell ref="AN98:AN99"/>
    <mergeCell ref="AO98:AO99"/>
    <mergeCell ref="AP98:AP99"/>
    <mergeCell ref="AQ98:AQ99"/>
    <mergeCell ref="AO90:AO91"/>
    <mergeCell ref="AP90:AP91"/>
    <mergeCell ref="AQ90:AQ91"/>
    <mergeCell ref="AO86:AO87"/>
    <mergeCell ref="AP86:AP87"/>
    <mergeCell ref="AQ86:AQ87"/>
    <mergeCell ref="AP88:AP89"/>
    <mergeCell ref="AQ88:AQ89"/>
    <mergeCell ref="AP84:AP85"/>
    <mergeCell ref="AQ84:AQ85"/>
    <mergeCell ref="AO82:AO83"/>
    <mergeCell ref="AP82:AP83"/>
    <mergeCell ref="AQ82:AQ83"/>
    <mergeCell ref="AN78:AN79"/>
    <mergeCell ref="AL78:AL79"/>
    <mergeCell ref="A98:A99"/>
    <mergeCell ref="D98:D99"/>
    <mergeCell ref="E98:E99"/>
    <mergeCell ref="AL98:AL99"/>
    <mergeCell ref="AM98:AM99"/>
    <mergeCell ref="C98:C99"/>
    <mergeCell ref="AO94:AO95"/>
    <mergeCell ref="AP94:AP95"/>
    <mergeCell ref="AQ94:AQ95"/>
    <mergeCell ref="AR94:AR95"/>
    <mergeCell ref="A96:A97"/>
    <mergeCell ref="D96:D97"/>
    <mergeCell ref="E96:E97"/>
    <mergeCell ref="AL96:AL97"/>
    <mergeCell ref="AM96:AM97"/>
    <mergeCell ref="AN96:AN97"/>
    <mergeCell ref="AO96:AO97"/>
    <mergeCell ref="AP96:AP97"/>
    <mergeCell ref="AQ96:AQ97"/>
    <mergeCell ref="AR96:AR97"/>
    <mergeCell ref="C94:C95"/>
    <mergeCell ref="C96:C97"/>
    <mergeCell ref="A94:A95"/>
    <mergeCell ref="D94:D95"/>
    <mergeCell ref="E94:E95"/>
    <mergeCell ref="AL94:AL95"/>
    <mergeCell ref="AM94:AM95"/>
    <mergeCell ref="AN94:AN95"/>
    <mergeCell ref="AR90:AR91"/>
    <mergeCell ref="A92:A93"/>
    <mergeCell ref="D92:D93"/>
    <mergeCell ref="E92:E93"/>
    <mergeCell ref="AL92:AL93"/>
    <mergeCell ref="AM92:AM93"/>
    <mergeCell ref="AN92:AN93"/>
    <mergeCell ref="AO92:AO93"/>
    <mergeCell ref="AP92:AP93"/>
    <mergeCell ref="AQ92:AQ93"/>
    <mergeCell ref="AR92:AR93"/>
    <mergeCell ref="C90:C91"/>
    <mergeCell ref="C92:C93"/>
    <mergeCell ref="A90:A91"/>
    <mergeCell ref="D90:D91"/>
    <mergeCell ref="E90:E91"/>
    <mergeCell ref="AL90:AL91"/>
    <mergeCell ref="AM90:AM91"/>
    <mergeCell ref="AN90:AN91"/>
    <mergeCell ref="AR88:AR89"/>
    <mergeCell ref="A88:A89"/>
    <mergeCell ref="D88:D89"/>
    <mergeCell ref="E88:E89"/>
    <mergeCell ref="AL88:AL89"/>
    <mergeCell ref="AM88:AM89"/>
    <mergeCell ref="AN88:AN89"/>
    <mergeCell ref="AO88:AO89"/>
    <mergeCell ref="C88:C89"/>
    <mergeCell ref="A86:A87"/>
    <mergeCell ref="D86:D87"/>
    <mergeCell ref="E86:E87"/>
    <mergeCell ref="AL86:AL87"/>
    <mergeCell ref="AM86:AM87"/>
    <mergeCell ref="AN86:AN87"/>
    <mergeCell ref="AM82:AM83"/>
    <mergeCell ref="AN82:AN83"/>
    <mergeCell ref="C82:C83"/>
    <mergeCell ref="C84:C85"/>
    <mergeCell ref="C86:C87"/>
    <mergeCell ref="A84:A85"/>
    <mergeCell ref="D84:D85"/>
    <mergeCell ref="E84:E85"/>
    <mergeCell ref="AL84:AL85"/>
    <mergeCell ref="AM84:AM85"/>
    <mergeCell ref="AN84:AN85"/>
    <mergeCell ref="A82:A83"/>
    <mergeCell ref="D82:D83"/>
    <mergeCell ref="E82:E83"/>
    <mergeCell ref="AL82:AL83"/>
    <mergeCell ref="A78:A79"/>
    <mergeCell ref="AR82:AR83"/>
    <mergeCell ref="AL42:AL43"/>
    <mergeCell ref="AN80:AN81"/>
    <mergeCell ref="AL74:AL75"/>
    <mergeCell ref="AL76:AL77"/>
    <mergeCell ref="A76:A77"/>
    <mergeCell ref="A80:A81"/>
    <mergeCell ref="C74:C75"/>
    <mergeCell ref="C76:C77"/>
    <mergeCell ref="C78:C79"/>
    <mergeCell ref="C80:C81"/>
    <mergeCell ref="AM76:AM77"/>
    <mergeCell ref="AN76:AN77"/>
    <mergeCell ref="AN74:AN75"/>
    <mergeCell ref="AM80:AM81"/>
    <mergeCell ref="AM78:AM79"/>
    <mergeCell ref="AL80:AL81"/>
    <mergeCell ref="AL58:AL59"/>
    <mergeCell ref="AL60:AL61"/>
    <mergeCell ref="AL62:AL63"/>
    <mergeCell ref="AL52:AL53"/>
    <mergeCell ref="E46:E47"/>
    <mergeCell ref="E70:E71"/>
    <mergeCell ref="A6:A7"/>
    <mergeCell ref="AM6:AM7"/>
    <mergeCell ref="AN6:AN7"/>
    <mergeCell ref="AO6:AO7"/>
    <mergeCell ref="A4:A5"/>
    <mergeCell ref="A2:A3"/>
    <mergeCell ref="AP4:AP5"/>
    <mergeCell ref="AM8:AM9"/>
    <mergeCell ref="AN8:AN9"/>
    <mergeCell ref="E8:E9"/>
    <mergeCell ref="AN2:AN3"/>
    <mergeCell ref="AM4:AM5"/>
    <mergeCell ref="AN4:AN5"/>
    <mergeCell ref="AP2:AP3"/>
    <mergeCell ref="AO2:AO3"/>
    <mergeCell ref="AO4:AO5"/>
    <mergeCell ref="F2:F3"/>
    <mergeCell ref="E2:E3"/>
    <mergeCell ref="E4:E5"/>
    <mergeCell ref="D2:D3"/>
    <mergeCell ref="D4:D5"/>
    <mergeCell ref="E6:E7"/>
    <mergeCell ref="AM2:AM3"/>
    <mergeCell ref="AL44:AL45"/>
    <mergeCell ref="AL46:AL47"/>
    <mergeCell ref="D32:D33"/>
    <mergeCell ref="AM38:AM39"/>
    <mergeCell ref="D46:D47"/>
    <mergeCell ref="AM56:AM57"/>
    <mergeCell ref="AN56:AN57"/>
    <mergeCell ref="AM44:AM45"/>
    <mergeCell ref="AN44:AN45"/>
    <mergeCell ref="AN50:AN51"/>
    <mergeCell ref="AN34:AN35"/>
    <mergeCell ref="AN38:AN39"/>
    <mergeCell ref="G34:G35"/>
    <mergeCell ref="E32:E33"/>
    <mergeCell ref="E34:E35"/>
    <mergeCell ref="AL54:AL55"/>
    <mergeCell ref="AL56:AL57"/>
    <mergeCell ref="AP50:AP51"/>
    <mergeCell ref="E14:E15"/>
    <mergeCell ref="D50:D51"/>
    <mergeCell ref="D38:D39"/>
    <mergeCell ref="E18:E19"/>
    <mergeCell ref="D12:D13"/>
    <mergeCell ref="D14:D15"/>
    <mergeCell ref="AO16:AO17"/>
    <mergeCell ref="D6:D7"/>
    <mergeCell ref="AM14:AM15"/>
    <mergeCell ref="AN14:AN15"/>
    <mergeCell ref="AM16:AM17"/>
    <mergeCell ref="AN16:AN17"/>
    <mergeCell ref="AO34:AO35"/>
    <mergeCell ref="AO36:AO37"/>
    <mergeCell ref="AO42:AO43"/>
    <mergeCell ref="AO38:AO39"/>
    <mergeCell ref="AO40:AO41"/>
    <mergeCell ref="AP36:AP37"/>
    <mergeCell ref="AM34:AM35"/>
    <mergeCell ref="E40:E41"/>
    <mergeCell ref="E42:E43"/>
    <mergeCell ref="AL40:AL41"/>
    <mergeCell ref="E28:E29"/>
    <mergeCell ref="AM24:AM25"/>
    <mergeCell ref="AN24:AN25"/>
    <mergeCell ref="AO32:AO33"/>
    <mergeCell ref="AM32:AM33"/>
    <mergeCell ref="AL26:AL27"/>
    <mergeCell ref="A26:A27"/>
    <mergeCell ref="AL22:AL23"/>
    <mergeCell ref="AL24:AL25"/>
    <mergeCell ref="A22:A23"/>
    <mergeCell ref="E26:E27"/>
    <mergeCell ref="AM22:AM23"/>
    <mergeCell ref="E30:E31"/>
    <mergeCell ref="AM28:AM29"/>
    <mergeCell ref="AO30:AO31"/>
    <mergeCell ref="AN28:AN29"/>
    <mergeCell ref="A32:A33"/>
    <mergeCell ref="C22:C23"/>
    <mergeCell ref="C24:C25"/>
    <mergeCell ref="C26:C27"/>
    <mergeCell ref="C28:C29"/>
    <mergeCell ref="C30:C31"/>
    <mergeCell ref="C32:C33"/>
    <mergeCell ref="G32:G33"/>
    <mergeCell ref="D30:D31"/>
    <mergeCell ref="AO46:AO47"/>
    <mergeCell ref="AQ44:AQ45"/>
    <mergeCell ref="AP46:AP47"/>
    <mergeCell ref="AP34:AP35"/>
    <mergeCell ref="AQ34:AQ35"/>
    <mergeCell ref="AP40:AP41"/>
    <mergeCell ref="AP38:AP39"/>
    <mergeCell ref="AP42:AP43"/>
    <mergeCell ref="AQ38:AQ39"/>
    <mergeCell ref="AP44:AP45"/>
    <mergeCell ref="AQ40:AQ41"/>
    <mergeCell ref="AQ42:AQ43"/>
    <mergeCell ref="AQ46:AQ47"/>
    <mergeCell ref="AO44:AO45"/>
    <mergeCell ref="AM46:AM47"/>
    <mergeCell ref="AN46:AN47"/>
    <mergeCell ref="AM36:AM37"/>
    <mergeCell ref="AN36:AN37"/>
    <mergeCell ref="AM48:AM49"/>
    <mergeCell ref="AN48:AN49"/>
    <mergeCell ref="AM52:AM53"/>
    <mergeCell ref="AN52:AN53"/>
    <mergeCell ref="AM54:AM55"/>
    <mergeCell ref="AM40:AM41"/>
    <mergeCell ref="AN40:AN41"/>
    <mergeCell ref="AN42:AN43"/>
    <mergeCell ref="AM42:AM43"/>
    <mergeCell ref="E38:E39"/>
    <mergeCell ref="AP66:AP67"/>
    <mergeCell ref="AP62:AP63"/>
    <mergeCell ref="AP60:AP61"/>
    <mergeCell ref="AO50:AO51"/>
    <mergeCell ref="AQ50:AQ51"/>
    <mergeCell ref="AO52:AO53"/>
    <mergeCell ref="AQ52:AQ53"/>
    <mergeCell ref="AP52:AP53"/>
    <mergeCell ref="AQ62:AQ63"/>
    <mergeCell ref="AQ60:AQ61"/>
    <mergeCell ref="AO64:AO65"/>
    <mergeCell ref="AO60:AO61"/>
    <mergeCell ref="AO66:AO67"/>
    <mergeCell ref="AO62:AO63"/>
    <mergeCell ref="AM60:AM61"/>
    <mergeCell ref="AN60:AN61"/>
    <mergeCell ref="AM62:AM63"/>
    <mergeCell ref="AM58:AM59"/>
    <mergeCell ref="E44:E45"/>
    <mergeCell ref="E48:E49"/>
    <mergeCell ref="E50:E51"/>
    <mergeCell ref="AL48:AL49"/>
    <mergeCell ref="AL50:AL51"/>
    <mergeCell ref="AM68:AM69"/>
    <mergeCell ref="AN68:AN69"/>
    <mergeCell ref="AM70:AM71"/>
    <mergeCell ref="AN70:AN71"/>
    <mergeCell ref="AM74:AM75"/>
    <mergeCell ref="AM72:AM73"/>
    <mergeCell ref="AN72:AN73"/>
    <mergeCell ref="E68:E69"/>
    <mergeCell ref="A62:A63"/>
    <mergeCell ref="A68:A69"/>
    <mergeCell ref="A66:A67"/>
    <mergeCell ref="A64:A65"/>
    <mergeCell ref="E64:E65"/>
    <mergeCell ref="E66:E67"/>
    <mergeCell ref="A70:A71"/>
    <mergeCell ref="A74:A75"/>
    <mergeCell ref="D68:D69"/>
    <mergeCell ref="D70:D71"/>
    <mergeCell ref="D72:D73"/>
    <mergeCell ref="D64:D65"/>
    <mergeCell ref="D66:D67"/>
    <mergeCell ref="A72:A73"/>
    <mergeCell ref="C70:C71"/>
    <mergeCell ref="C72:C73"/>
    <mergeCell ref="C54:C55"/>
    <mergeCell ref="C56:C57"/>
    <mergeCell ref="E54:E55"/>
    <mergeCell ref="E56:E57"/>
    <mergeCell ref="E60:E61"/>
    <mergeCell ref="E62:E63"/>
    <mergeCell ref="D52:D53"/>
    <mergeCell ref="A58:A59"/>
    <mergeCell ref="A54:A55"/>
    <mergeCell ref="E52:E53"/>
    <mergeCell ref="C58:C59"/>
    <mergeCell ref="A56:A57"/>
    <mergeCell ref="D54:D55"/>
    <mergeCell ref="D56:D57"/>
    <mergeCell ref="D60:D61"/>
    <mergeCell ref="D62:D63"/>
    <mergeCell ref="A60:A61"/>
    <mergeCell ref="E58:E59"/>
    <mergeCell ref="D58:D59"/>
    <mergeCell ref="B54:B55"/>
    <mergeCell ref="B56:B57"/>
    <mergeCell ref="B58:B59"/>
    <mergeCell ref="B60:B61"/>
    <mergeCell ref="B62:B63"/>
    <mergeCell ref="A42:A43"/>
    <mergeCell ref="A40:A41"/>
    <mergeCell ref="D44:D45"/>
    <mergeCell ref="A50:A51"/>
    <mergeCell ref="A52:A53"/>
    <mergeCell ref="A48:A49"/>
    <mergeCell ref="A44:A45"/>
    <mergeCell ref="B46:B47"/>
    <mergeCell ref="B48:B49"/>
    <mergeCell ref="B50:B51"/>
    <mergeCell ref="B52:B53"/>
    <mergeCell ref="C50:C51"/>
    <mergeCell ref="C52:C53"/>
    <mergeCell ref="D40:D41"/>
    <mergeCell ref="D48:D49"/>
    <mergeCell ref="D42:D43"/>
    <mergeCell ref="A18:A19"/>
    <mergeCell ref="A16:A17"/>
    <mergeCell ref="E16:E17"/>
    <mergeCell ref="AL16:AL17"/>
    <mergeCell ref="AL34:AL35"/>
    <mergeCell ref="AL36:AL37"/>
    <mergeCell ref="E10:E11"/>
    <mergeCell ref="E12:E13"/>
    <mergeCell ref="A34:A35"/>
    <mergeCell ref="D34:D35"/>
    <mergeCell ref="D36:D37"/>
    <mergeCell ref="A30:A31"/>
    <mergeCell ref="A36:A37"/>
    <mergeCell ref="A28:A29"/>
    <mergeCell ref="E36:E37"/>
    <mergeCell ref="D18:D19"/>
    <mergeCell ref="D20:D21"/>
    <mergeCell ref="D22:D23"/>
    <mergeCell ref="D24:D25"/>
    <mergeCell ref="E20:E21"/>
    <mergeCell ref="E22:E23"/>
    <mergeCell ref="E24:E25"/>
    <mergeCell ref="D26:D27"/>
    <mergeCell ref="D28:D29"/>
    <mergeCell ref="A38:A39"/>
    <mergeCell ref="A46:A47"/>
    <mergeCell ref="C46:C47"/>
    <mergeCell ref="C48:C49"/>
    <mergeCell ref="AN12:AN13"/>
    <mergeCell ref="A12:A13"/>
    <mergeCell ref="A8:A9"/>
    <mergeCell ref="D8:D9"/>
    <mergeCell ref="D10:D11"/>
    <mergeCell ref="AM10:AM11"/>
    <mergeCell ref="AL10:AL11"/>
    <mergeCell ref="AL12:AL13"/>
    <mergeCell ref="AM26:AM27"/>
    <mergeCell ref="AN20:AN21"/>
    <mergeCell ref="AM20:AM21"/>
    <mergeCell ref="A14:A15"/>
    <mergeCell ref="AN18:AN19"/>
    <mergeCell ref="D16:D17"/>
    <mergeCell ref="C18:C19"/>
    <mergeCell ref="C20:C21"/>
    <mergeCell ref="AN26:AN27"/>
    <mergeCell ref="A10:A11"/>
    <mergeCell ref="A24:A25"/>
    <mergeCell ref="A20:A21"/>
    <mergeCell ref="C68:C69"/>
    <mergeCell ref="C60:C61"/>
    <mergeCell ref="C62:C63"/>
    <mergeCell ref="C64:C65"/>
    <mergeCell ref="C66:C67"/>
    <mergeCell ref="B72:B73"/>
    <mergeCell ref="B74:B75"/>
    <mergeCell ref="E72:E73"/>
    <mergeCell ref="E74:E75"/>
    <mergeCell ref="B64:B65"/>
    <mergeCell ref="B66:B67"/>
    <mergeCell ref="B68:B69"/>
    <mergeCell ref="B70:B71"/>
    <mergeCell ref="E76:E77"/>
    <mergeCell ref="E78:E79"/>
    <mergeCell ref="E80:E81"/>
    <mergeCell ref="D74:D75"/>
    <mergeCell ref="D76:D77"/>
    <mergeCell ref="D78:D79"/>
    <mergeCell ref="D80:D81"/>
    <mergeCell ref="AR14:AR15"/>
    <mergeCell ref="AR16:AR17"/>
    <mergeCell ref="AR18:AR19"/>
    <mergeCell ref="AR28:AR29"/>
    <mergeCell ref="AR30:AR31"/>
    <mergeCell ref="AR64:AR65"/>
    <mergeCell ref="AR66:AR67"/>
    <mergeCell ref="AR56:AR57"/>
    <mergeCell ref="AR58:AR59"/>
    <mergeCell ref="AR60:AR61"/>
    <mergeCell ref="AR62:AR63"/>
    <mergeCell ref="AR38:AR39"/>
    <mergeCell ref="AR40:AR41"/>
    <mergeCell ref="AR42:AR43"/>
    <mergeCell ref="AR32:AR33"/>
    <mergeCell ref="AR34:AR35"/>
    <mergeCell ref="AR36:AR37"/>
    <mergeCell ref="AR8:AR9"/>
    <mergeCell ref="AR10:AR11"/>
    <mergeCell ref="AR12:AR13"/>
    <mergeCell ref="AR26:AR27"/>
    <mergeCell ref="AQ24:AQ25"/>
    <mergeCell ref="AP10:AP11"/>
    <mergeCell ref="AQ26:AQ27"/>
    <mergeCell ref="AP26:AP27"/>
    <mergeCell ref="AQ8:AQ9"/>
    <mergeCell ref="AQ14:AQ15"/>
    <mergeCell ref="AP12:AP13"/>
    <mergeCell ref="AQ18:AQ19"/>
    <mergeCell ref="AQ10:AQ11"/>
    <mergeCell ref="AQ12:AQ13"/>
    <mergeCell ref="AP8:AP9"/>
    <mergeCell ref="AP16:AP17"/>
    <mergeCell ref="AQ16:AQ17"/>
    <mergeCell ref="AP14:AP15"/>
    <mergeCell ref="AQ20:AQ21"/>
    <mergeCell ref="AP18:AP19"/>
    <mergeCell ref="AQ22:AQ23"/>
    <mergeCell ref="AR20:AR21"/>
    <mergeCell ref="AR22:AR23"/>
    <mergeCell ref="AR24:AR25"/>
    <mergeCell ref="AR50:AR51"/>
    <mergeCell ref="AR52:AR53"/>
    <mergeCell ref="AR54:AR55"/>
    <mergeCell ref="AR44:AR45"/>
    <mergeCell ref="AR46:AR47"/>
    <mergeCell ref="AR48:AR49"/>
    <mergeCell ref="AR68:AR69"/>
    <mergeCell ref="AR70:AR71"/>
    <mergeCell ref="AR72:AR73"/>
    <mergeCell ref="AQ68:AQ69"/>
    <mergeCell ref="AQ70:AQ71"/>
    <mergeCell ref="AQ72:AQ73"/>
    <mergeCell ref="AQ74:AQ75"/>
    <mergeCell ref="AP76:AP77"/>
    <mergeCell ref="AO76:AO77"/>
    <mergeCell ref="AO68:AO69"/>
    <mergeCell ref="AP74:AP75"/>
    <mergeCell ref="AP70:AP71"/>
    <mergeCell ref="AP68:AP69"/>
    <mergeCell ref="AO70:AO71"/>
    <mergeCell ref="AO72:AO73"/>
  </mergeCells>
  <conditionalFormatting sqref="C4:C118">
    <cfRule type="duplicateValues" dxfId="57" priority="270"/>
  </conditionalFormatting>
  <conditionalFormatting sqref="C88 C90 C92 C94 C96 C98 C100 C102 C104 C106 C108 C110 C112 C114 C116 C118 C5 C7 C9 C11 C13 C15 C17 C19 C21 C23 C25 C27 C29 C31 C33 C35 C37 C39 C41 C43 C45 C47 C49 C51 C53 C55 C57 C59 C61 C63 C65 C67 C69 C71 C73 C75 C77 C79 C81 C83 C85:C86">
    <cfRule type="duplicateValues" dxfId="56" priority="273"/>
  </conditionalFormatting>
  <conditionalFormatting sqref="F4:F104">
    <cfRule type="duplicateValues" dxfId="55" priority="194"/>
  </conditionalFormatting>
  <conditionalFormatting sqref="F5 F7 F9 F11 F13 F15 F17 F19 F21 F23 F25 F27 F29 F31 F33 F35 F37 F39 F41 F43 F45 F47 F49 F51 F53 F55 F57 F59 F61 F63 F65 F67 F69 F71 F73 F75 F77 F79 F81 F83 F85:F86 F88 F90 F92 F94 F96 F98 F100 F102 F104">
    <cfRule type="duplicateValues" dxfId="54" priority="91"/>
  </conditionalFormatting>
  <conditionalFormatting sqref="J4:T4 K87:AO106">
    <cfRule type="cellIs" dxfId="53" priority="41" stopIfTrue="1" operator="equal">
      <formula>"L"</formula>
    </cfRule>
    <cfRule type="cellIs" dxfId="52" priority="42" stopIfTrue="1" operator="equal">
      <formula>"W/O"</formula>
    </cfRule>
    <cfRule type="cellIs" dxfId="51" priority="43" stopIfTrue="1" operator="equal">
      <formula>"PH"</formula>
    </cfRule>
    <cfRule type="cellIs" dxfId="50" priority="44" stopIfTrue="1" operator="equal">
      <formula>"W/O"</formula>
    </cfRule>
    <cfRule type="cellIs" dxfId="49" priority="45" stopIfTrue="1" operator="between">
      <formula>"L"</formula>
      <formula>"L"</formula>
    </cfRule>
  </conditionalFormatting>
  <conditionalFormatting sqref="K101:W101">
    <cfRule type="containsText" dxfId="48" priority="18" operator="containsText" text="W">
      <formula>NOT(ISERROR(SEARCH("W",K101)))</formula>
    </cfRule>
    <cfRule type="cellIs" dxfId="47" priority="19" stopIfTrue="1" operator="equal">
      <formula>"L"</formula>
    </cfRule>
    <cfRule type="cellIs" dxfId="46" priority="20" stopIfTrue="1" operator="equal">
      <formula>"W/O"</formula>
    </cfRule>
    <cfRule type="cellIs" dxfId="45" priority="21" stopIfTrue="1" operator="equal">
      <formula>"PH"</formula>
    </cfRule>
    <cfRule type="cellIs" dxfId="44" priority="22" stopIfTrue="1" operator="equal">
      <formula>"W/O"</formula>
    </cfRule>
    <cfRule type="cellIs" dxfId="43" priority="23" stopIfTrue="1" operator="between">
      <formula>"L"</formula>
      <formula>"L"</formula>
    </cfRule>
  </conditionalFormatting>
  <conditionalFormatting sqref="K5:AN59 AI60:AN60 K61:AN82 W83:AN83 K83:K84 AE84:AN85">
    <cfRule type="containsText" dxfId="42" priority="60" operator="containsText" text="W">
      <formula>NOT(ISERROR(SEARCH("W",K5)))</formula>
    </cfRule>
    <cfRule type="cellIs" dxfId="41" priority="61" stopIfTrue="1" operator="equal">
      <formula>"L"</formula>
    </cfRule>
    <cfRule type="cellIs" dxfId="40" priority="62" stopIfTrue="1" operator="equal">
      <formula>"W/O"</formula>
    </cfRule>
    <cfRule type="cellIs" dxfId="39" priority="63" stopIfTrue="1" operator="equal">
      <formula>"PH"</formula>
    </cfRule>
    <cfRule type="cellIs" dxfId="38" priority="64" stopIfTrue="1" operator="equal">
      <formula>"W/O"</formula>
    </cfRule>
    <cfRule type="cellIs" dxfId="37" priority="65" stopIfTrue="1" operator="between">
      <formula>"L"</formula>
      <formula>"L"</formula>
    </cfRule>
  </conditionalFormatting>
  <conditionalFormatting sqref="K87:AO106 J4:T4">
    <cfRule type="containsText" dxfId="36" priority="40" operator="containsText" text="W">
      <formula>NOT(ISERROR(SEARCH("W",J4)))</formula>
    </cfRule>
  </conditionalFormatting>
  <conditionalFormatting sqref="R84">
    <cfRule type="containsText" dxfId="35" priority="34" operator="containsText" text="W">
      <formula>NOT(ISERROR(SEARCH("W",R84)))</formula>
    </cfRule>
    <cfRule type="cellIs" dxfId="34" priority="35" stopIfTrue="1" operator="equal">
      <formula>"L"</formula>
    </cfRule>
    <cfRule type="cellIs" dxfId="33" priority="36" stopIfTrue="1" operator="equal">
      <formula>"W/O"</formula>
    </cfRule>
    <cfRule type="cellIs" dxfId="32" priority="37" stopIfTrue="1" operator="equal">
      <formula>"PH"</formula>
    </cfRule>
    <cfRule type="cellIs" dxfId="31" priority="39" stopIfTrue="1" operator="between">
      <formula>"L"</formula>
      <formula>"L"</formula>
    </cfRule>
    <cfRule type="cellIs" dxfId="30" priority="38" stopIfTrue="1" operator="equal">
      <formula>"W/O"</formula>
    </cfRule>
  </conditionalFormatting>
  <conditionalFormatting sqref="X101:AF104">
    <cfRule type="cellIs" dxfId="29" priority="13" stopIfTrue="1" operator="equal">
      <formula>"L"</formula>
    </cfRule>
    <cfRule type="cellIs" dxfId="28" priority="14" stopIfTrue="1" operator="equal">
      <formula>"W/O"</formula>
    </cfRule>
    <cfRule type="cellIs" dxfId="27" priority="15" stopIfTrue="1" operator="equal">
      <formula>"PH"</formula>
    </cfRule>
    <cfRule type="cellIs" dxfId="26" priority="16" stopIfTrue="1" operator="equal">
      <formula>"W/O"</formula>
    </cfRule>
    <cfRule type="cellIs" dxfId="25" priority="17" stopIfTrue="1" operator="between">
      <formula>"L"</formula>
      <formula>"L"</formula>
    </cfRule>
    <cfRule type="containsText" dxfId="24" priority="12" operator="containsText" text="W">
      <formula>NOT(ISERROR(SEARCH("W",X101)))</formula>
    </cfRule>
  </conditionalFormatting>
  <conditionalFormatting sqref="AL4:AO4">
    <cfRule type="containsText" dxfId="23" priority="46" operator="containsText" text="W">
      <formula>NOT(ISERROR(SEARCH("W",AL4)))</formula>
    </cfRule>
    <cfRule type="cellIs" dxfId="22" priority="47" stopIfTrue="1" operator="equal">
      <formula>"L"</formula>
    </cfRule>
    <cfRule type="cellIs" dxfId="21" priority="48" stopIfTrue="1" operator="equal">
      <formula>"W/O"</formula>
    </cfRule>
    <cfRule type="cellIs" dxfId="20" priority="49" stopIfTrue="1" operator="equal">
      <formula>"PH"</formula>
    </cfRule>
    <cfRule type="cellIs" dxfId="19" priority="50" stopIfTrue="1" operator="equal">
      <formula>"W/O"</formula>
    </cfRule>
    <cfRule type="cellIs" dxfId="18" priority="51" stopIfTrue="1" operator="between">
      <formula>"L"</formula>
      <formula>"L"</formula>
    </cfRule>
  </conditionalFormatting>
  <pageMargins left="0.23622047244094491" right="0.2" top="0.13" bottom="0.41" header="0.31496062992125984" footer="0.13"/>
  <pageSetup paperSize="9" scale="25"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4CC8-DEB6-4B14-9E27-158598F78AA3}">
  <dimension ref="A1:AL84"/>
  <sheetViews>
    <sheetView showGridLines="0" topLeftCell="A8" zoomScale="77" zoomScaleNormal="77" workbookViewId="0">
      <selection activeCell="F28" sqref="F28"/>
    </sheetView>
  </sheetViews>
  <sheetFormatPr defaultColWidth="10.140625" defaultRowHeight="15" x14ac:dyDescent="0.25"/>
  <cols>
    <col min="1" max="1" width="5.42578125" style="183" bestFit="1" customWidth="1"/>
    <col min="2" max="2" width="18.140625" style="184" customWidth="1"/>
    <col min="3" max="3" width="38.5703125" style="184" bestFit="1" customWidth="1"/>
    <col min="4" max="4" width="25.85546875" style="184" bestFit="1" customWidth="1"/>
    <col min="5" max="5" width="10.140625" style="183" bestFit="1" customWidth="1"/>
    <col min="6" max="6" width="12.42578125" style="183" bestFit="1" customWidth="1"/>
    <col min="7" max="7" width="12" style="183" customWidth="1"/>
    <col min="8" max="8" width="10.7109375" style="149" customWidth="1"/>
    <col min="9" max="12" width="9.85546875" style="149" customWidth="1"/>
    <col min="13" max="15" width="12.7109375" style="149" customWidth="1"/>
    <col min="16" max="16" width="12.85546875" style="149" customWidth="1"/>
    <col min="17" max="19" width="9.85546875" style="149" customWidth="1"/>
    <col min="20" max="20" width="14.28515625" style="149" customWidth="1"/>
    <col min="21" max="21" width="13.85546875" style="149" customWidth="1"/>
    <col min="22" max="23" width="12.7109375" style="149" customWidth="1"/>
    <col min="24" max="24" width="12.85546875" style="149" customWidth="1"/>
    <col min="25" max="25" width="10.85546875" style="149" customWidth="1"/>
    <col min="26" max="26" width="12.28515625" style="149" customWidth="1"/>
    <col min="27" max="27" width="10.42578125" style="149" customWidth="1"/>
    <col min="28" max="28" width="10.7109375" style="149" customWidth="1"/>
    <col min="29" max="29" width="12.140625" style="149" customWidth="1"/>
    <col min="30" max="30" width="9.42578125" style="149" customWidth="1"/>
    <col min="31" max="31" width="12.5703125" style="149" customWidth="1"/>
    <col min="32" max="32" width="22.85546875" style="172" customWidth="1"/>
    <col min="33" max="33" width="10.5703125" style="149" customWidth="1"/>
    <col min="34" max="34" width="13.7109375" style="149" customWidth="1"/>
    <col min="35" max="36" width="13" style="149" customWidth="1"/>
    <col min="37" max="37" width="17.42578125" style="185" customWidth="1"/>
    <col min="38" max="38" width="15" style="149" bestFit="1" customWidth="1"/>
    <col min="39" max="16384" width="10.140625" style="183"/>
  </cols>
  <sheetData>
    <row r="1" spans="1:38" ht="15.75" x14ac:dyDescent="0.25">
      <c r="F1" s="171"/>
      <c r="G1" s="171"/>
    </row>
    <row r="2" spans="1:38" ht="15.75" x14ac:dyDescent="0.25">
      <c r="F2" s="171"/>
      <c r="G2" s="171"/>
      <c r="AD2" s="149" t="s">
        <v>304</v>
      </c>
    </row>
    <row r="3" spans="1:38" ht="18.75" x14ac:dyDescent="0.3">
      <c r="A3" s="335" t="s">
        <v>437</v>
      </c>
      <c r="B3" s="336"/>
      <c r="C3" s="336"/>
      <c r="D3" s="336"/>
      <c r="E3" s="336"/>
      <c r="F3" s="336"/>
      <c r="G3" s="337"/>
      <c r="H3" s="331" t="s">
        <v>0</v>
      </c>
      <c r="I3" s="332"/>
      <c r="J3" s="332"/>
      <c r="K3" s="332"/>
      <c r="L3" s="332"/>
      <c r="M3" s="332"/>
      <c r="N3" s="332"/>
      <c r="O3" s="332"/>
      <c r="P3" s="333"/>
      <c r="Q3" s="338" t="s">
        <v>78</v>
      </c>
      <c r="R3" s="339"/>
      <c r="S3" s="339"/>
      <c r="T3" s="339"/>
      <c r="U3" s="339"/>
      <c r="V3" s="339"/>
      <c r="W3" s="339"/>
      <c r="X3" s="339"/>
      <c r="Y3" s="339"/>
      <c r="Z3" s="340"/>
      <c r="AA3" s="334" t="s">
        <v>1</v>
      </c>
      <c r="AB3" s="334"/>
      <c r="AC3" s="334"/>
      <c r="AD3" s="334"/>
      <c r="AE3" s="334"/>
      <c r="AF3" s="174"/>
      <c r="AG3" s="146"/>
      <c r="AH3" s="146"/>
      <c r="AI3" s="146"/>
      <c r="AJ3" s="146"/>
      <c r="AL3" s="175"/>
    </row>
    <row r="4" spans="1:38" ht="90" customHeight="1" x14ac:dyDescent="0.25">
      <c r="A4" s="5" t="s">
        <v>2</v>
      </c>
      <c r="B4" s="6" t="s">
        <v>3</v>
      </c>
      <c r="C4" s="6" t="s">
        <v>4</v>
      </c>
      <c r="D4" s="6" t="s">
        <v>5</v>
      </c>
      <c r="E4" s="167" t="s">
        <v>6</v>
      </c>
      <c r="F4" s="18" t="s">
        <v>7</v>
      </c>
      <c r="G4" s="18" t="s">
        <v>86</v>
      </c>
      <c r="H4" s="176" t="s">
        <v>8</v>
      </c>
      <c r="I4" s="176" t="s">
        <v>9</v>
      </c>
      <c r="J4" s="176" t="s">
        <v>10</v>
      </c>
      <c r="K4" s="176" t="s">
        <v>384</v>
      </c>
      <c r="L4" s="176" t="s">
        <v>11</v>
      </c>
      <c r="M4" s="173" t="s">
        <v>12</v>
      </c>
      <c r="N4" s="173" t="s">
        <v>13</v>
      </c>
      <c r="O4" s="173" t="s">
        <v>14</v>
      </c>
      <c r="P4" s="173" t="s">
        <v>15</v>
      </c>
      <c r="Q4" s="177" t="s">
        <v>9</v>
      </c>
      <c r="R4" s="177" t="s">
        <v>10</v>
      </c>
      <c r="S4" s="177" t="s">
        <v>384</v>
      </c>
      <c r="T4" s="177" t="s">
        <v>11</v>
      </c>
      <c r="U4" s="178" t="s">
        <v>12</v>
      </c>
      <c r="V4" s="178" t="s">
        <v>13</v>
      </c>
      <c r="W4" s="178" t="s">
        <v>14</v>
      </c>
      <c r="X4" s="178" t="s">
        <v>15</v>
      </c>
      <c r="Y4" s="178" t="s">
        <v>79</v>
      </c>
      <c r="Z4" s="178" t="s">
        <v>16</v>
      </c>
      <c r="AA4" s="179" t="s">
        <v>17</v>
      </c>
      <c r="AB4" s="179" t="s">
        <v>18</v>
      </c>
      <c r="AC4" s="179" t="s">
        <v>19</v>
      </c>
      <c r="AD4" s="179" t="s">
        <v>225</v>
      </c>
      <c r="AE4" s="179" t="s">
        <v>20</v>
      </c>
      <c r="AF4" s="180" t="s">
        <v>21</v>
      </c>
      <c r="AG4" s="181" t="s">
        <v>22</v>
      </c>
      <c r="AH4" s="181" t="s">
        <v>212</v>
      </c>
      <c r="AI4" s="181" t="s">
        <v>24</v>
      </c>
      <c r="AJ4" s="181" t="s">
        <v>394</v>
      </c>
      <c r="AK4" s="181" t="s">
        <v>396</v>
      </c>
      <c r="AL4" s="182" t="s">
        <v>395</v>
      </c>
    </row>
    <row r="5" spans="1:38" ht="17.25" x14ac:dyDescent="0.25">
      <c r="A5" s="7">
        <v>1</v>
      </c>
      <c r="B5" s="122">
        <v>11029</v>
      </c>
      <c r="C5" s="122" t="s">
        <v>25</v>
      </c>
      <c r="D5" s="122" t="s">
        <v>163</v>
      </c>
      <c r="E5" s="109">
        <v>31</v>
      </c>
      <c r="F5" s="109">
        <f>VLOOKUP(B5,ATTENDANCE!$B$4:$AS$113,44,0)</f>
        <v>31</v>
      </c>
      <c r="G5" s="109">
        <v>0</v>
      </c>
      <c r="H5" s="110">
        <f>I5+J5+K5+L5</f>
        <v>32704</v>
      </c>
      <c r="I5" s="110">
        <v>5557</v>
      </c>
      <c r="J5" s="110">
        <v>14443</v>
      </c>
      <c r="K5" s="110">
        <f>(I5+J5)*40%</f>
        <v>8000</v>
      </c>
      <c r="L5" s="110">
        <v>4704</v>
      </c>
      <c r="M5" s="110">
        <f>(I5+J5)*8.33%</f>
        <v>1666</v>
      </c>
      <c r="N5" s="110">
        <f>H5*4.93%</f>
        <v>1612.3072</v>
      </c>
      <c r="O5" s="110">
        <f>H5*3.29%</f>
        <v>1075.9615999999999</v>
      </c>
      <c r="P5" s="110">
        <f>H5*2.88%</f>
        <v>941.87519999999995</v>
      </c>
      <c r="Q5" s="110">
        <f>I5/E5*F5</f>
        <v>5557</v>
      </c>
      <c r="R5" s="110">
        <f>J5/E5*F5</f>
        <v>14443</v>
      </c>
      <c r="S5" s="110">
        <f>+K5/E5*F5</f>
        <v>8000</v>
      </c>
      <c r="T5" s="110">
        <f>L5/E5*F5</f>
        <v>4704</v>
      </c>
      <c r="U5" s="110">
        <f>M5/E5*F5</f>
        <v>1666</v>
      </c>
      <c r="V5" s="110">
        <f>N5/E5*F5</f>
        <v>1612.3072</v>
      </c>
      <c r="W5" s="110">
        <f>O5/E5*F5</f>
        <v>1075.9615999999999</v>
      </c>
      <c r="X5" s="110">
        <f>P5/E5*F5</f>
        <v>941.87519999999995</v>
      </c>
      <c r="Y5" s="110">
        <f>(H5+M5+N5+O5+P5)/E5*G5</f>
        <v>0</v>
      </c>
      <c r="Z5" s="110">
        <f>Q5+R5+S5+T5+U5+V5+W5+X5+Y5</f>
        <v>38000.144000000008</v>
      </c>
      <c r="AA5" s="110">
        <f>1800*F5/E5</f>
        <v>1800</v>
      </c>
      <c r="AB5" s="110">
        <v>0</v>
      </c>
      <c r="AC5" s="110">
        <f>IF(Z5&gt;20000,200,IF(Z5&gt;15000,150,0))</f>
        <v>200</v>
      </c>
      <c r="AD5" s="110">
        <v>0</v>
      </c>
      <c r="AE5" s="110">
        <f>AA5+AB5+AC5+AD5</f>
        <v>2000</v>
      </c>
      <c r="AF5" s="143">
        <f>ROUND(Z5-AE5,0)</f>
        <v>36000</v>
      </c>
      <c r="AG5" s="110">
        <f>AA5*13/12</f>
        <v>1950</v>
      </c>
      <c r="AH5" s="110">
        <v>1000</v>
      </c>
      <c r="AI5" s="110">
        <f>Z5+AG5+AH5</f>
        <v>40950.144000000008</v>
      </c>
      <c r="AJ5" s="110">
        <f>39780*(F5+G5)/E5</f>
        <v>39780</v>
      </c>
      <c r="AK5" s="29">
        <f>AJ5-AI5</f>
        <v>-1170.1440000000075</v>
      </c>
      <c r="AL5" s="110">
        <v>36000</v>
      </c>
    </row>
    <row r="6" spans="1:38" ht="17.25" x14ac:dyDescent="0.25">
      <c r="A6" s="7"/>
      <c r="B6" s="122"/>
      <c r="C6" s="139" t="s">
        <v>163</v>
      </c>
      <c r="D6" s="122"/>
      <c r="E6" s="112">
        <f>SUM(E5)</f>
        <v>31</v>
      </c>
      <c r="F6" s="112">
        <f>SUM(F5)</f>
        <v>31</v>
      </c>
      <c r="G6" s="112">
        <f t="shared" ref="G6:AL6" si="0">SUM(G5)</f>
        <v>0</v>
      </c>
      <c r="H6" s="112">
        <f t="shared" si="0"/>
        <v>32704</v>
      </c>
      <c r="I6" s="112">
        <f t="shared" si="0"/>
        <v>5557</v>
      </c>
      <c r="J6" s="112">
        <f t="shared" si="0"/>
        <v>14443</v>
      </c>
      <c r="K6" s="112">
        <f t="shared" si="0"/>
        <v>8000</v>
      </c>
      <c r="L6" s="112">
        <f t="shared" si="0"/>
        <v>4704</v>
      </c>
      <c r="M6" s="112">
        <f t="shared" si="0"/>
        <v>1666</v>
      </c>
      <c r="N6" s="112">
        <f t="shared" si="0"/>
        <v>1612.3072</v>
      </c>
      <c r="O6" s="112">
        <f t="shared" si="0"/>
        <v>1075.9615999999999</v>
      </c>
      <c r="P6" s="112">
        <f t="shared" si="0"/>
        <v>941.87519999999995</v>
      </c>
      <c r="Q6" s="112">
        <f t="shared" si="0"/>
        <v>5557</v>
      </c>
      <c r="R6" s="112">
        <f t="shared" si="0"/>
        <v>14443</v>
      </c>
      <c r="S6" s="112">
        <f t="shared" si="0"/>
        <v>8000</v>
      </c>
      <c r="T6" s="112">
        <f t="shared" si="0"/>
        <v>4704</v>
      </c>
      <c r="U6" s="112">
        <f t="shared" si="0"/>
        <v>1666</v>
      </c>
      <c r="V6" s="112">
        <f t="shared" si="0"/>
        <v>1612.3072</v>
      </c>
      <c r="W6" s="112">
        <f t="shared" si="0"/>
        <v>1075.9615999999999</v>
      </c>
      <c r="X6" s="112">
        <f t="shared" si="0"/>
        <v>941.87519999999995</v>
      </c>
      <c r="Y6" s="112">
        <f t="shared" si="0"/>
        <v>0</v>
      </c>
      <c r="Z6" s="112">
        <f t="shared" si="0"/>
        <v>38000.144000000008</v>
      </c>
      <c r="AA6" s="112">
        <f t="shared" si="0"/>
        <v>1800</v>
      </c>
      <c r="AB6" s="112">
        <f t="shared" si="0"/>
        <v>0</v>
      </c>
      <c r="AC6" s="112">
        <f t="shared" si="0"/>
        <v>200</v>
      </c>
      <c r="AD6" s="112">
        <f t="shared" si="0"/>
        <v>0</v>
      </c>
      <c r="AE6" s="112">
        <f t="shared" si="0"/>
        <v>2000</v>
      </c>
      <c r="AF6" s="112">
        <f t="shared" si="0"/>
        <v>36000</v>
      </c>
      <c r="AG6" s="112">
        <f t="shared" si="0"/>
        <v>1950</v>
      </c>
      <c r="AH6" s="112">
        <f t="shared" si="0"/>
        <v>1000</v>
      </c>
      <c r="AI6" s="112">
        <f t="shared" si="0"/>
        <v>40950.144000000008</v>
      </c>
      <c r="AJ6" s="112">
        <f t="shared" si="0"/>
        <v>39780</v>
      </c>
      <c r="AK6" s="112">
        <f t="shared" si="0"/>
        <v>-1170.1440000000075</v>
      </c>
      <c r="AL6" s="112">
        <f t="shared" si="0"/>
        <v>36000</v>
      </c>
    </row>
    <row r="7" spans="1:38" ht="17.25" x14ac:dyDescent="0.25">
      <c r="A7" s="133">
        <v>2</v>
      </c>
      <c r="B7" s="122">
        <v>10984</v>
      </c>
      <c r="C7" s="122" t="s">
        <v>26</v>
      </c>
      <c r="D7" s="122" t="s">
        <v>164</v>
      </c>
      <c r="E7" s="109">
        <v>31</v>
      </c>
      <c r="F7" s="109">
        <f>VLOOKUP(B7,ATTENDANCE!$B$4:$AS$113,44,0)</f>
        <v>30</v>
      </c>
      <c r="G7" s="109">
        <v>0</v>
      </c>
      <c r="H7" s="110">
        <f t="shared" ref="H7:H61" si="1">I7+J7+K7+L7</f>
        <v>24715.5</v>
      </c>
      <c r="I7" s="110">
        <v>4722</v>
      </c>
      <c r="J7" s="110">
        <v>13778</v>
      </c>
      <c r="K7" s="110">
        <v>6215.5</v>
      </c>
      <c r="L7" s="110">
        <v>0</v>
      </c>
      <c r="M7" s="110">
        <f>(I7+J7)*8.33%</f>
        <v>1541.05</v>
      </c>
      <c r="N7" s="110">
        <f>H7*4.93%</f>
        <v>1218.47415</v>
      </c>
      <c r="O7" s="110">
        <f>H7*3.29%</f>
        <v>813.13995</v>
      </c>
      <c r="P7" s="110">
        <f>H7*2.88%</f>
        <v>711.80639999999994</v>
      </c>
      <c r="Q7" s="110">
        <f>I7/E7*F7</f>
        <v>4569.6774193548381</v>
      </c>
      <c r="R7" s="110">
        <f>J7/E7*F7</f>
        <v>13333.548387096775</v>
      </c>
      <c r="S7" s="110">
        <f t="shared" ref="S7:S65" si="2">+K7/E7*F7</f>
        <v>6015</v>
      </c>
      <c r="T7" s="110">
        <f t="shared" ref="T7:T65" si="3">L7/E7*F7</f>
        <v>0</v>
      </c>
      <c r="U7" s="110">
        <f>M7/E7*F7</f>
        <v>1491.3387096774193</v>
      </c>
      <c r="V7" s="110">
        <f>N7/E7*F7</f>
        <v>1179.1685322580645</v>
      </c>
      <c r="W7" s="110">
        <f>O7/E7*F7</f>
        <v>786.90962903225807</v>
      </c>
      <c r="X7" s="110">
        <f>P7/E7*F7</f>
        <v>688.84490322580632</v>
      </c>
      <c r="Y7" s="110">
        <f>(H7+M7+N7+O7+P7)/E7*G7</f>
        <v>0</v>
      </c>
      <c r="Z7" s="110">
        <f t="shared" ref="Z7:Z65" si="4">Q7+R7+S7+T7+U7+V7+W7+X7+Y7</f>
        <v>28064.487580645164</v>
      </c>
      <c r="AA7" s="110">
        <f t="shared" ref="AA7:AA14" si="5">1800*F7/E7</f>
        <v>1741.9354838709678</v>
      </c>
      <c r="AB7" s="110">
        <v>0</v>
      </c>
      <c r="AC7" s="110">
        <f>IF(Z7&gt;20000,200,IF(Z7&gt;15000,150,0))</f>
        <v>200</v>
      </c>
      <c r="AD7" s="110">
        <v>0</v>
      </c>
      <c r="AE7" s="110">
        <f>AA7+AB7+AC7+AD7</f>
        <v>1941.9354838709678</v>
      </c>
      <c r="AF7" s="143">
        <f t="shared" ref="AF7:AF54" si="6">ROUND(Z7-AE7,0)</f>
        <v>26123</v>
      </c>
      <c r="AG7" s="110">
        <f t="shared" ref="AG7:AG14" si="7">AA7*13/12</f>
        <v>1887.0967741935485</v>
      </c>
      <c r="AH7" s="110">
        <v>1000</v>
      </c>
      <c r="AI7" s="110">
        <f>Z7+AG7+AH7</f>
        <v>30951.584354838713</v>
      </c>
      <c r="AJ7" s="110">
        <f>31244*(F7+G7)/E7</f>
        <v>30236.129032258064</v>
      </c>
      <c r="AK7" s="29">
        <f t="shared" ref="AK7:AK69" si="8">AJ7-AI7</f>
        <v>-715.4553225806485</v>
      </c>
      <c r="AL7" s="110">
        <v>27000</v>
      </c>
    </row>
    <row r="8" spans="1:38" ht="17.25" x14ac:dyDescent="0.25">
      <c r="A8" s="133">
        <f>+A7+1</f>
        <v>3</v>
      </c>
      <c r="B8" s="122">
        <v>10986</v>
      </c>
      <c r="C8" s="122" t="s">
        <v>29</v>
      </c>
      <c r="D8" s="122" t="s">
        <v>164</v>
      </c>
      <c r="E8" s="109">
        <v>31</v>
      </c>
      <c r="F8" s="109">
        <f>VLOOKUP(B8,ATTENDANCE!$B$4:$AS$113,44,0)</f>
        <v>15</v>
      </c>
      <c r="G8" s="109">
        <v>0</v>
      </c>
      <c r="H8" s="110">
        <f t="shared" si="1"/>
        <v>26516</v>
      </c>
      <c r="I8" s="110">
        <v>4722</v>
      </c>
      <c r="J8" s="110">
        <v>13778</v>
      </c>
      <c r="K8" s="110">
        <f>(I8+J8)*40%</f>
        <v>7400</v>
      </c>
      <c r="L8" s="110">
        <v>616</v>
      </c>
      <c r="M8" s="110">
        <f>(I8+J8)*8.33%</f>
        <v>1541.05</v>
      </c>
      <c r="N8" s="110">
        <f>H8*4.93%</f>
        <v>1307.2387999999999</v>
      </c>
      <c r="O8" s="110">
        <f>H8*3.29%</f>
        <v>872.37639999999999</v>
      </c>
      <c r="P8" s="110">
        <f>H8*2.88%</f>
        <v>763.66079999999999</v>
      </c>
      <c r="Q8" s="110">
        <f>I8/E8*F8</f>
        <v>2284.838709677419</v>
      </c>
      <c r="R8" s="110">
        <f>J8/E8*F8</f>
        <v>6666.7741935483873</v>
      </c>
      <c r="S8" s="110">
        <f t="shared" si="2"/>
        <v>3580.6451612903229</v>
      </c>
      <c r="T8" s="110">
        <f t="shared" si="3"/>
        <v>298.06451612903226</v>
      </c>
      <c r="U8" s="110">
        <f>M8/E8*F8</f>
        <v>745.66935483870964</v>
      </c>
      <c r="V8" s="110">
        <f>N8/E8*F8</f>
        <v>632.53490322580637</v>
      </c>
      <c r="W8" s="110">
        <f>O8/E8*F8</f>
        <v>422.11761290322579</v>
      </c>
      <c r="X8" s="110">
        <f>P8/E8*F8</f>
        <v>369.51329032258064</v>
      </c>
      <c r="Y8" s="110">
        <f>(H8+M8+N8+O8+P8)/E8*G8</f>
        <v>0</v>
      </c>
      <c r="Z8" s="110">
        <f t="shared" si="4"/>
        <v>15000.157741935484</v>
      </c>
      <c r="AA8" s="110">
        <f t="shared" si="5"/>
        <v>870.9677419354839</v>
      </c>
      <c r="AB8" s="110">
        <v>0</v>
      </c>
      <c r="AC8" s="110">
        <f t="shared" ref="AC8:AC14" si="9">IF(Z8&gt;20000,200,IF(Z8&gt;15000,150,0))</f>
        <v>150</v>
      </c>
      <c r="AD8" s="110">
        <v>0</v>
      </c>
      <c r="AE8" s="110">
        <f t="shared" ref="AE8" si="10">AA8+AB8+AC8+AD8</f>
        <v>1020.9677419354839</v>
      </c>
      <c r="AF8" s="143">
        <f t="shared" si="6"/>
        <v>13979</v>
      </c>
      <c r="AG8" s="110">
        <f t="shared" si="7"/>
        <v>943.54838709677426</v>
      </c>
      <c r="AH8" s="110">
        <v>1000</v>
      </c>
      <c r="AI8" s="110">
        <f t="shared" ref="AI8:AI13" si="11">Z8+AG8+AH8</f>
        <v>16943.70612903226</v>
      </c>
      <c r="AJ8" s="110">
        <f t="shared" ref="AJ8:AJ14" si="12">31244*(F8+G8)/E8</f>
        <v>15118.064516129032</v>
      </c>
      <c r="AK8" s="29">
        <f t="shared" si="8"/>
        <v>-1825.6416129032277</v>
      </c>
      <c r="AL8" s="110">
        <v>29000</v>
      </c>
    </row>
    <row r="9" spans="1:38" ht="17.25" x14ac:dyDescent="0.25">
      <c r="A9" s="133">
        <f t="shared" ref="A9:A14" si="13">+A8+1</f>
        <v>4</v>
      </c>
      <c r="B9" s="122">
        <v>10976</v>
      </c>
      <c r="C9" s="122" t="s">
        <v>27</v>
      </c>
      <c r="D9" s="122" t="s">
        <v>164</v>
      </c>
      <c r="E9" s="109">
        <v>31</v>
      </c>
      <c r="F9" s="109">
        <f>VLOOKUP(B9,ATTENDANCE!$B$4:$AS$113,44,0)</f>
        <v>31</v>
      </c>
      <c r="G9" s="109">
        <v>0</v>
      </c>
      <c r="H9" s="110">
        <f t="shared" si="1"/>
        <v>24715.5</v>
      </c>
      <c r="I9" s="110">
        <v>4722</v>
      </c>
      <c r="J9" s="110">
        <v>13778</v>
      </c>
      <c r="K9" s="110">
        <v>6215.5</v>
      </c>
      <c r="L9" s="110">
        <v>0</v>
      </c>
      <c r="M9" s="110">
        <f>(I9+J9)*8.33%</f>
        <v>1541.05</v>
      </c>
      <c r="N9" s="110">
        <f>H9*4.93%</f>
        <v>1218.47415</v>
      </c>
      <c r="O9" s="110">
        <f>H9*3.29%</f>
        <v>813.13995</v>
      </c>
      <c r="P9" s="110">
        <f>H9*2.88%</f>
        <v>711.80639999999994</v>
      </c>
      <c r="Q9" s="110">
        <f>I9/E9*F9</f>
        <v>4722</v>
      </c>
      <c r="R9" s="110">
        <f>J9/E9*F9</f>
        <v>13778</v>
      </c>
      <c r="S9" s="110">
        <f t="shared" si="2"/>
        <v>6215.5</v>
      </c>
      <c r="T9" s="110">
        <f t="shared" si="3"/>
        <v>0</v>
      </c>
      <c r="U9" s="110">
        <f>M9/E9*F9</f>
        <v>1541.05</v>
      </c>
      <c r="V9" s="110">
        <f>N9/E9*F9</f>
        <v>1218.47415</v>
      </c>
      <c r="W9" s="110">
        <f>O9/E9*F9</f>
        <v>813.13995</v>
      </c>
      <c r="X9" s="110">
        <f>P9/E9*F9</f>
        <v>711.80639999999994</v>
      </c>
      <c r="Y9" s="110">
        <f>(H9+M9+N9+O9+P9)/E9*G9</f>
        <v>0</v>
      </c>
      <c r="Z9" s="110">
        <f t="shared" si="4"/>
        <v>28999.970499999999</v>
      </c>
      <c r="AA9" s="110">
        <f t="shared" si="5"/>
        <v>1800</v>
      </c>
      <c r="AB9" s="110">
        <v>0</v>
      </c>
      <c r="AC9" s="110">
        <f t="shared" si="9"/>
        <v>200</v>
      </c>
      <c r="AD9" s="110">
        <v>0</v>
      </c>
      <c r="AE9" s="110">
        <f>AA9+AB9+AC9+AD9</f>
        <v>2000</v>
      </c>
      <c r="AF9" s="143">
        <f t="shared" si="6"/>
        <v>27000</v>
      </c>
      <c r="AG9" s="110">
        <f t="shared" si="7"/>
        <v>1950</v>
      </c>
      <c r="AH9" s="110">
        <v>1000</v>
      </c>
      <c r="AI9" s="110">
        <f t="shared" si="11"/>
        <v>31949.970499999999</v>
      </c>
      <c r="AJ9" s="110">
        <f t="shared" si="12"/>
        <v>31244</v>
      </c>
      <c r="AK9" s="29">
        <f t="shared" si="8"/>
        <v>-705.97049999999945</v>
      </c>
      <c r="AL9" s="110">
        <v>27000</v>
      </c>
    </row>
    <row r="10" spans="1:38" ht="17.25" x14ac:dyDescent="0.25">
      <c r="A10" s="133">
        <f t="shared" si="13"/>
        <v>5</v>
      </c>
      <c r="B10" s="122">
        <v>11365</v>
      </c>
      <c r="C10" s="122" t="s">
        <v>368</v>
      </c>
      <c r="D10" s="122" t="s">
        <v>164</v>
      </c>
      <c r="E10" s="109">
        <v>31</v>
      </c>
      <c r="F10" s="109">
        <f>VLOOKUP(B10,ATTENDANCE!$B$4:$AS$113,44,0)</f>
        <v>30</v>
      </c>
      <c r="G10" s="109">
        <v>0</v>
      </c>
      <c r="H10" s="110">
        <f t="shared" si="1"/>
        <v>23815.4</v>
      </c>
      <c r="I10" s="110">
        <v>4722</v>
      </c>
      <c r="J10" s="110">
        <v>13778</v>
      </c>
      <c r="K10" s="110">
        <v>5315.4</v>
      </c>
      <c r="L10" s="110">
        <v>0</v>
      </c>
      <c r="M10" s="110">
        <f>(I10+J10)*8.33%</f>
        <v>1541.05</v>
      </c>
      <c r="N10" s="110">
        <f>H10*4.93%</f>
        <v>1174.0992200000001</v>
      </c>
      <c r="O10" s="110">
        <f>H10*3.29%</f>
        <v>783.52665999999999</v>
      </c>
      <c r="P10" s="110">
        <f>H10*2.88%</f>
        <v>685.88351999999998</v>
      </c>
      <c r="Q10" s="110">
        <f>I10/E10*F10</f>
        <v>4569.6774193548381</v>
      </c>
      <c r="R10" s="110">
        <f>J10/E10*F10</f>
        <v>13333.548387096775</v>
      </c>
      <c r="S10" s="110">
        <f t="shared" si="2"/>
        <v>5143.9354838709669</v>
      </c>
      <c r="T10" s="110">
        <f t="shared" si="3"/>
        <v>0</v>
      </c>
      <c r="U10" s="110">
        <f>M10/E10*F10</f>
        <v>1491.3387096774193</v>
      </c>
      <c r="V10" s="110">
        <f>N10/E10*F10</f>
        <v>1136.2250516129031</v>
      </c>
      <c r="W10" s="110">
        <f>O10/E10*F10</f>
        <v>758.25160645161282</v>
      </c>
      <c r="X10" s="110">
        <f>P10/E10*F10</f>
        <v>663.75824516129023</v>
      </c>
      <c r="Y10" s="110">
        <f>(H10+M10+N10+O10+P10)/E10*G10</f>
        <v>0</v>
      </c>
      <c r="Z10" s="110">
        <f t="shared" si="4"/>
        <v>27096.734903225806</v>
      </c>
      <c r="AA10" s="110">
        <f t="shared" si="5"/>
        <v>1741.9354838709678</v>
      </c>
      <c r="AB10" s="110">
        <v>0</v>
      </c>
      <c r="AC10" s="110">
        <f t="shared" si="9"/>
        <v>200</v>
      </c>
      <c r="AD10" s="110">
        <v>0</v>
      </c>
      <c r="AE10" s="110">
        <f t="shared" ref="AE10" si="14">AA10+AB10+AC10+AD10</f>
        <v>1941.9354838709678</v>
      </c>
      <c r="AF10" s="143">
        <f t="shared" si="6"/>
        <v>25155</v>
      </c>
      <c r="AG10" s="110">
        <f t="shared" si="7"/>
        <v>1887.0967741935485</v>
      </c>
      <c r="AH10" s="110">
        <v>1000</v>
      </c>
      <c r="AI10" s="110">
        <f t="shared" si="11"/>
        <v>29983.831677419355</v>
      </c>
      <c r="AJ10" s="110">
        <f t="shared" si="12"/>
        <v>30236.129032258064</v>
      </c>
      <c r="AK10" s="29">
        <f t="shared" si="8"/>
        <v>252.297354838709</v>
      </c>
      <c r="AL10" s="110">
        <v>26000</v>
      </c>
    </row>
    <row r="11" spans="1:38" ht="17.25" x14ac:dyDescent="0.25">
      <c r="A11" s="133">
        <f t="shared" si="13"/>
        <v>6</v>
      </c>
      <c r="B11" s="122">
        <v>10989</v>
      </c>
      <c r="C11" s="122" t="s">
        <v>385</v>
      </c>
      <c r="D11" s="122" t="s">
        <v>164</v>
      </c>
      <c r="E11" s="109">
        <v>31</v>
      </c>
      <c r="F11" s="109">
        <f>VLOOKUP(B11,ATTENDANCE!$B$4:$AS$113,44,0)</f>
        <v>31</v>
      </c>
      <c r="G11" s="109">
        <v>0</v>
      </c>
      <c r="H11" s="110">
        <f t="shared" si="1"/>
        <v>24715.4</v>
      </c>
      <c r="I11" s="110">
        <v>4722</v>
      </c>
      <c r="J11" s="110">
        <v>13778</v>
      </c>
      <c r="K11" s="110">
        <v>6215.4</v>
      </c>
      <c r="L11" s="110">
        <v>0</v>
      </c>
      <c r="M11" s="114">
        <f t="shared" ref="M11:M14" si="15">(I11+J11)*8.33%</f>
        <v>1541.05</v>
      </c>
      <c r="N11" s="114">
        <f t="shared" ref="N11:N14" si="16">H11*4.93%</f>
        <v>1218.46922</v>
      </c>
      <c r="O11" s="114">
        <f t="shared" ref="O11:O14" si="17">H11*3.29%</f>
        <v>813.13666000000001</v>
      </c>
      <c r="P11" s="114">
        <f t="shared" ref="P11:P14" si="18">H11*2.88%</f>
        <v>711.80352000000005</v>
      </c>
      <c r="Q11" s="110">
        <f t="shared" ref="Q11" si="19">I11/E11*F11</f>
        <v>4722</v>
      </c>
      <c r="R11" s="110">
        <f t="shared" ref="R11" si="20">J11/E11*F11</f>
        <v>13778</v>
      </c>
      <c r="S11" s="110">
        <f t="shared" ref="S11" si="21">+K11/E11*F11</f>
        <v>6215.4</v>
      </c>
      <c r="T11" s="110">
        <f t="shared" ref="T11" si="22">L11/E11*F11</f>
        <v>0</v>
      </c>
      <c r="U11" s="110">
        <f t="shared" ref="U11" si="23">M11/E11*F11</f>
        <v>1541.05</v>
      </c>
      <c r="V11" s="110">
        <f t="shared" ref="V11" si="24">N11/E11*F11</f>
        <v>1218.46922</v>
      </c>
      <c r="W11" s="110">
        <f t="shared" ref="W11" si="25">O11/E11*F11</f>
        <v>813.13666000000001</v>
      </c>
      <c r="X11" s="110">
        <f t="shared" ref="X11" si="26">P11/E11*F11</f>
        <v>711.80352000000005</v>
      </c>
      <c r="Y11" s="110">
        <f t="shared" ref="Y11" si="27">(H11+M11+N11+O11+P11)/E11*G11</f>
        <v>0</v>
      </c>
      <c r="Z11" s="110">
        <f t="shared" ref="Z11" si="28">Q11+R11+S11+T11+U11+V11+W11+X11+Y11</f>
        <v>28999.859400000001</v>
      </c>
      <c r="AA11" s="110">
        <f t="shared" si="5"/>
        <v>1800</v>
      </c>
      <c r="AB11" s="146">
        <v>0</v>
      </c>
      <c r="AC11" s="110">
        <f t="shared" si="9"/>
        <v>200</v>
      </c>
      <c r="AD11" s="110">
        <v>0</v>
      </c>
      <c r="AE11" s="110">
        <f t="shared" ref="AE11:AE14" si="29">AA11+AB11+AC11+AD11</f>
        <v>2000</v>
      </c>
      <c r="AF11" s="143">
        <f t="shared" si="6"/>
        <v>27000</v>
      </c>
      <c r="AG11" s="110">
        <f t="shared" si="7"/>
        <v>1950</v>
      </c>
      <c r="AH11" s="110">
        <v>1000</v>
      </c>
      <c r="AI11" s="110">
        <f t="shared" si="11"/>
        <v>31949.859400000001</v>
      </c>
      <c r="AJ11" s="110">
        <f t="shared" si="12"/>
        <v>31244</v>
      </c>
      <c r="AK11" s="29">
        <f t="shared" si="8"/>
        <v>-705.85940000000119</v>
      </c>
      <c r="AL11" s="111">
        <v>27000</v>
      </c>
    </row>
    <row r="12" spans="1:38" ht="17.25" x14ac:dyDescent="0.25">
      <c r="A12" s="133">
        <f t="shared" si="13"/>
        <v>7</v>
      </c>
      <c r="B12" s="122">
        <v>10982</v>
      </c>
      <c r="C12" s="122" t="s">
        <v>36</v>
      </c>
      <c r="D12" s="122" t="s">
        <v>164</v>
      </c>
      <c r="E12" s="109">
        <v>31</v>
      </c>
      <c r="F12" s="109">
        <f>VLOOKUP(B12,ATTENDANCE!$B$4:$AS$113,44,0)</f>
        <v>31</v>
      </c>
      <c r="G12" s="109">
        <v>0</v>
      </c>
      <c r="H12" s="110">
        <f t="shared" si="1"/>
        <v>23365</v>
      </c>
      <c r="I12" s="110">
        <v>4722</v>
      </c>
      <c r="J12" s="110">
        <v>13778</v>
      </c>
      <c r="K12" s="110">
        <v>4865</v>
      </c>
      <c r="L12" s="110">
        <v>0</v>
      </c>
      <c r="M12" s="114">
        <f t="shared" si="15"/>
        <v>1541.05</v>
      </c>
      <c r="N12" s="114">
        <f t="shared" si="16"/>
        <v>1151.8944999999999</v>
      </c>
      <c r="O12" s="114">
        <f t="shared" si="17"/>
        <v>768.70849999999996</v>
      </c>
      <c r="P12" s="114">
        <f t="shared" si="18"/>
        <v>672.91200000000003</v>
      </c>
      <c r="Q12" s="110">
        <f t="shared" ref="Q12:Q14" si="30">I12/E12*F12</f>
        <v>4722</v>
      </c>
      <c r="R12" s="110">
        <f t="shared" ref="R12:R14" si="31">J12/E12*F12</f>
        <v>13778</v>
      </c>
      <c r="S12" s="110">
        <f t="shared" ref="S12:S14" si="32">+K12/E12*F12</f>
        <v>4865</v>
      </c>
      <c r="T12" s="110">
        <f t="shared" ref="T12:T14" si="33">L12/E12*F12</f>
        <v>0</v>
      </c>
      <c r="U12" s="110">
        <f t="shared" ref="U12:U14" si="34">M12/E12*F12</f>
        <v>1541.05</v>
      </c>
      <c r="V12" s="110">
        <f t="shared" ref="V12:V14" si="35">N12/E12*F12</f>
        <v>1151.8944999999999</v>
      </c>
      <c r="W12" s="110">
        <f t="shared" ref="W12:W14" si="36">O12/E12*F12</f>
        <v>768.70849999999996</v>
      </c>
      <c r="X12" s="110">
        <f t="shared" ref="X12:X14" si="37">P12/E12*F12</f>
        <v>672.91200000000003</v>
      </c>
      <c r="Y12" s="110">
        <f t="shared" ref="Y12:Y14" si="38">(H12+M12+N12+O12+P12)/E12*G12</f>
        <v>0</v>
      </c>
      <c r="Z12" s="110">
        <f t="shared" ref="Z12:Z14" si="39">Q12+R12+S12+T12+U12+V12+W12+X12+Y12</f>
        <v>27499.564999999999</v>
      </c>
      <c r="AA12" s="110">
        <f t="shared" si="5"/>
        <v>1800</v>
      </c>
      <c r="AB12" s="146">
        <v>0</v>
      </c>
      <c r="AC12" s="110">
        <f t="shared" si="9"/>
        <v>200</v>
      </c>
      <c r="AD12" s="110">
        <v>0</v>
      </c>
      <c r="AE12" s="110">
        <f t="shared" si="29"/>
        <v>2000</v>
      </c>
      <c r="AF12" s="143">
        <f t="shared" si="6"/>
        <v>25500</v>
      </c>
      <c r="AG12" s="110">
        <f t="shared" si="7"/>
        <v>1950</v>
      </c>
      <c r="AH12" s="110">
        <v>1000</v>
      </c>
      <c r="AI12" s="110">
        <f t="shared" si="11"/>
        <v>30449.564999999999</v>
      </c>
      <c r="AJ12" s="110">
        <f t="shared" si="12"/>
        <v>31244</v>
      </c>
      <c r="AK12" s="29">
        <f t="shared" si="8"/>
        <v>794.43500000000131</v>
      </c>
      <c r="AL12" s="111">
        <v>25500</v>
      </c>
    </row>
    <row r="13" spans="1:38" ht="17.25" x14ac:dyDescent="0.25">
      <c r="A13" s="133">
        <f t="shared" si="13"/>
        <v>8</v>
      </c>
      <c r="B13" s="122">
        <v>12076</v>
      </c>
      <c r="C13" s="122" t="s">
        <v>386</v>
      </c>
      <c r="D13" s="122" t="s">
        <v>164</v>
      </c>
      <c r="E13" s="109">
        <v>31</v>
      </c>
      <c r="F13" s="109">
        <f>VLOOKUP(B13,ATTENDANCE!$B$4:$AS$113,44,0)</f>
        <v>31</v>
      </c>
      <c r="G13" s="109">
        <v>0</v>
      </c>
      <c r="H13" s="110">
        <f t="shared" si="1"/>
        <v>22915</v>
      </c>
      <c r="I13" s="110">
        <v>4722</v>
      </c>
      <c r="J13" s="110">
        <v>13778</v>
      </c>
      <c r="K13" s="110">
        <v>4415</v>
      </c>
      <c r="L13" s="110">
        <v>0</v>
      </c>
      <c r="M13" s="114">
        <f t="shared" si="15"/>
        <v>1541.05</v>
      </c>
      <c r="N13" s="114">
        <f t="shared" si="16"/>
        <v>1129.7094999999999</v>
      </c>
      <c r="O13" s="114">
        <f t="shared" si="17"/>
        <v>753.90350000000001</v>
      </c>
      <c r="P13" s="114">
        <f t="shared" si="18"/>
        <v>659.952</v>
      </c>
      <c r="Q13" s="110">
        <f t="shared" si="30"/>
        <v>4722</v>
      </c>
      <c r="R13" s="110">
        <f t="shared" si="31"/>
        <v>13778</v>
      </c>
      <c r="S13" s="110">
        <f t="shared" si="32"/>
        <v>4415</v>
      </c>
      <c r="T13" s="110">
        <f t="shared" si="33"/>
        <v>0</v>
      </c>
      <c r="U13" s="110">
        <f t="shared" si="34"/>
        <v>1541.05</v>
      </c>
      <c r="V13" s="110">
        <f t="shared" si="35"/>
        <v>1129.7094999999999</v>
      </c>
      <c r="W13" s="110">
        <f t="shared" si="36"/>
        <v>753.90350000000001</v>
      </c>
      <c r="X13" s="110">
        <f t="shared" si="37"/>
        <v>659.952</v>
      </c>
      <c r="Y13" s="110">
        <f t="shared" si="38"/>
        <v>0</v>
      </c>
      <c r="Z13" s="110">
        <f t="shared" si="39"/>
        <v>26999.615000000002</v>
      </c>
      <c r="AA13" s="110">
        <f t="shared" si="5"/>
        <v>1800</v>
      </c>
      <c r="AB13" s="146">
        <v>0</v>
      </c>
      <c r="AC13" s="110">
        <f t="shared" si="9"/>
        <v>200</v>
      </c>
      <c r="AD13" s="110">
        <v>0</v>
      </c>
      <c r="AE13" s="110">
        <f t="shared" si="29"/>
        <v>2000</v>
      </c>
      <c r="AF13" s="143">
        <f t="shared" si="6"/>
        <v>25000</v>
      </c>
      <c r="AG13" s="110">
        <f t="shared" si="7"/>
        <v>1950</v>
      </c>
      <c r="AH13" s="110">
        <v>1000</v>
      </c>
      <c r="AI13" s="110">
        <f t="shared" si="11"/>
        <v>29949.615000000002</v>
      </c>
      <c r="AJ13" s="110">
        <f t="shared" si="12"/>
        <v>31244</v>
      </c>
      <c r="AK13" s="29">
        <f t="shared" si="8"/>
        <v>1294.3849999999984</v>
      </c>
      <c r="AL13" s="110">
        <v>25000</v>
      </c>
    </row>
    <row r="14" spans="1:38" ht="17.25" x14ac:dyDescent="0.25">
      <c r="A14" s="133">
        <f t="shared" si="13"/>
        <v>9</v>
      </c>
      <c r="B14" s="122">
        <v>10013</v>
      </c>
      <c r="C14" s="122" t="s">
        <v>342</v>
      </c>
      <c r="D14" s="122" t="s">
        <v>164</v>
      </c>
      <c r="E14" s="109">
        <v>31</v>
      </c>
      <c r="F14" s="109">
        <f>VLOOKUP(B14,ATTENDANCE!$B$4:$AS$113,44,0)</f>
        <v>31</v>
      </c>
      <c r="G14" s="109">
        <v>0</v>
      </c>
      <c r="H14" s="110">
        <f t="shared" si="1"/>
        <v>23815.4</v>
      </c>
      <c r="I14" s="110">
        <v>4722</v>
      </c>
      <c r="J14" s="110">
        <v>13778</v>
      </c>
      <c r="K14" s="110">
        <v>5315.4</v>
      </c>
      <c r="L14" s="110">
        <v>0</v>
      </c>
      <c r="M14" s="114">
        <f t="shared" si="15"/>
        <v>1541.05</v>
      </c>
      <c r="N14" s="114">
        <f t="shared" si="16"/>
        <v>1174.0992200000001</v>
      </c>
      <c r="O14" s="114">
        <f t="shared" si="17"/>
        <v>783.52665999999999</v>
      </c>
      <c r="P14" s="114">
        <f t="shared" si="18"/>
        <v>685.88351999999998</v>
      </c>
      <c r="Q14" s="110">
        <f t="shared" si="30"/>
        <v>4722</v>
      </c>
      <c r="R14" s="110">
        <f t="shared" si="31"/>
        <v>13778</v>
      </c>
      <c r="S14" s="110">
        <f t="shared" si="32"/>
        <v>5315.4</v>
      </c>
      <c r="T14" s="110">
        <f t="shared" si="33"/>
        <v>0</v>
      </c>
      <c r="U14" s="110">
        <f t="shared" si="34"/>
        <v>1541.05</v>
      </c>
      <c r="V14" s="110">
        <f t="shared" si="35"/>
        <v>1174.0992200000001</v>
      </c>
      <c r="W14" s="110">
        <f t="shared" si="36"/>
        <v>783.52665999999999</v>
      </c>
      <c r="X14" s="110">
        <f t="shared" si="37"/>
        <v>685.88351999999998</v>
      </c>
      <c r="Y14" s="110">
        <f t="shared" si="38"/>
        <v>0</v>
      </c>
      <c r="Z14" s="110">
        <f t="shared" si="39"/>
        <v>27999.9594</v>
      </c>
      <c r="AA14" s="110">
        <f t="shared" si="5"/>
        <v>1800</v>
      </c>
      <c r="AB14" s="146">
        <v>0</v>
      </c>
      <c r="AC14" s="110">
        <f t="shared" si="9"/>
        <v>200</v>
      </c>
      <c r="AD14" s="110">
        <v>0</v>
      </c>
      <c r="AE14" s="110">
        <f t="shared" si="29"/>
        <v>2000</v>
      </c>
      <c r="AF14" s="143">
        <f t="shared" ref="AF14" si="40">ROUND(Z14-AE14,0)</f>
        <v>26000</v>
      </c>
      <c r="AG14" s="110">
        <f t="shared" si="7"/>
        <v>1950</v>
      </c>
      <c r="AH14" s="110">
        <v>1000</v>
      </c>
      <c r="AI14" s="110">
        <f t="shared" ref="AI14" si="41">Z14+AG14+AH14</f>
        <v>30949.9594</v>
      </c>
      <c r="AJ14" s="110">
        <f t="shared" si="12"/>
        <v>31244</v>
      </c>
      <c r="AK14" s="29">
        <f t="shared" ref="AK14" si="42">AJ14-AI14</f>
        <v>294.04060000000027</v>
      </c>
      <c r="AL14" s="110">
        <v>26000</v>
      </c>
    </row>
    <row r="15" spans="1:38" ht="17.25" x14ac:dyDescent="0.25">
      <c r="A15" s="133"/>
      <c r="B15" s="122"/>
      <c r="C15" s="139" t="s">
        <v>164</v>
      </c>
      <c r="D15" s="122"/>
      <c r="E15" s="115">
        <f t="shared" ref="E15:AL15" si="43">SUM(E7:E14)</f>
        <v>248</v>
      </c>
      <c r="F15" s="115">
        <f t="shared" si="43"/>
        <v>230</v>
      </c>
      <c r="G15" s="115">
        <f t="shared" si="43"/>
        <v>0</v>
      </c>
      <c r="H15" s="112">
        <f t="shared" si="43"/>
        <v>194573.19999999998</v>
      </c>
      <c r="I15" s="112">
        <f t="shared" si="43"/>
        <v>37776</v>
      </c>
      <c r="J15" s="112">
        <f t="shared" si="43"/>
        <v>110224</v>
      </c>
      <c r="K15" s="112">
        <f t="shared" si="43"/>
        <v>45957.200000000004</v>
      </c>
      <c r="L15" s="112">
        <f t="shared" si="43"/>
        <v>616</v>
      </c>
      <c r="M15" s="112">
        <f t="shared" si="43"/>
        <v>12328.399999999998</v>
      </c>
      <c r="N15" s="112">
        <f t="shared" si="43"/>
        <v>9592.4587600000013</v>
      </c>
      <c r="O15" s="112">
        <f t="shared" si="43"/>
        <v>6401.4582800000007</v>
      </c>
      <c r="P15" s="112">
        <f t="shared" si="43"/>
        <v>5603.7081600000001</v>
      </c>
      <c r="Q15" s="112">
        <f t="shared" si="43"/>
        <v>35034.193548387091</v>
      </c>
      <c r="R15" s="112">
        <f t="shared" si="43"/>
        <v>102223.87096774194</v>
      </c>
      <c r="S15" s="112">
        <f t="shared" si="43"/>
        <v>41765.880645161291</v>
      </c>
      <c r="T15" s="112">
        <f t="shared" si="43"/>
        <v>298.06451612903226</v>
      </c>
      <c r="U15" s="112">
        <f t="shared" si="43"/>
        <v>11433.596774193547</v>
      </c>
      <c r="V15" s="112">
        <f t="shared" si="43"/>
        <v>8840.5750770967752</v>
      </c>
      <c r="W15" s="112">
        <f t="shared" si="43"/>
        <v>5899.6941183870968</v>
      </c>
      <c r="X15" s="112">
        <f t="shared" si="43"/>
        <v>5164.4738787096776</v>
      </c>
      <c r="Y15" s="112">
        <f t="shared" si="43"/>
        <v>0</v>
      </c>
      <c r="Z15" s="112">
        <f t="shared" si="43"/>
        <v>210660.34952580644</v>
      </c>
      <c r="AA15" s="112">
        <f t="shared" si="43"/>
        <v>13354.83870967742</v>
      </c>
      <c r="AB15" s="112">
        <f t="shared" si="43"/>
        <v>0</v>
      </c>
      <c r="AC15" s="112">
        <f t="shared" si="43"/>
        <v>1550</v>
      </c>
      <c r="AD15" s="112">
        <f t="shared" si="43"/>
        <v>0</v>
      </c>
      <c r="AE15" s="112">
        <f t="shared" si="43"/>
        <v>14904.83870967742</v>
      </c>
      <c r="AF15" s="112">
        <f t="shared" si="43"/>
        <v>195757</v>
      </c>
      <c r="AG15" s="112">
        <f t="shared" si="43"/>
        <v>14467.741935483871</v>
      </c>
      <c r="AH15" s="112">
        <f t="shared" si="43"/>
        <v>8000</v>
      </c>
      <c r="AI15" s="112">
        <f t="shared" si="43"/>
        <v>233128.09146129031</v>
      </c>
      <c r="AJ15" s="112">
        <f t="shared" si="43"/>
        <v>231810.32258064515</v>
      </c>
      <c r="AK15" s="112">
        <f t="shared" si="43"/>
        <v>-1317.7688806451679</v>
      </c>
      <c r="AL15" s="112">
        <f t="shared" si="43"/>
        <v>212500</v>
      </c>
    </row>
    <row r="16" spans="1:38" s="184" customFormat="1" ht="17.25" x14ac:dyDescent="0.25">
      <c r="A16" s="133">
        <f>A14+1</f>
        <v>10</v>
      </c>
      <c r="B16" s="122">
        <v>11032</v>
      </c>
      <c r="C16" s="122" t="s">
        <v>77</v>
      </c>
      <c r="D16" s="122" t="s">
        <v>33</v>
      </c>
      <c r="E16" s="109">
        <v>31</v>
      </c>
      <c r="F16" s="109">
        <f>VLOOKUP(B16,ATTENDANCE!$B$4:$AS$113,44,0)</f>
        <v>31</v>
      </c>
      <c r="G16" s="109">
        <v>0</v>
      </c>
      <c r="H16" s="110">
        <f t="shared" ref="H16:H28" si="44">I16+J16+K16+L16</f>
        <v>20935</v>
      </c>
      <c r="I16" s="110">
        <v>4722</v>
      </c>
      <c r="J16" s="110">
        <v>13778</v>
      </c>
      <c r="K16" s="110">
        <v>2435</v>
      </c>
      <c r="L16" s="110">
        <v>0</v>
      </c>
      <c r="M16" s="114">
        <f t="shared" ref="M16:M28" si="45">(I16+J16)*8.33%</f>
        <v>1541.05</v>
      </c>
      <c r="N16" s="114">
        <f t="shared" ref="N16:N28" si="46">H16*4.93%</f>
        <v>1032.0954999999999</v>
      </c>
      <c r="O16" s="114">
        <f t="shared" ref="O16:O28" si="47">H16*3.29%</f>
        <v>688.76149999999996</v>
      </c>
      <c r="P16" s="114">
        <f t="shared" ref="P16:P28" si="48">H16*2.88%</f>
        <v>602.928</v>
      </c>
      <c r="Q16" s="110">
        <f t="shared" ref="Q16:Q18" si="49">I16/E16*F16</f>
        <v>4722</v>
      </c>
      <c r="R16" s="110">
        <f t="shared" ref="R16:R18" si="50">J16/E16*F16</f>
        <v>13778</v>
      </c>
      <c r="S16" s="110">
        <f t="shared" si="2"/>
        <v>2435</v>
      </c>
      <c r="T16" s="110">
        <f t="shared" si="3"/>
        <v>0</v>
      </c>
      <c r="U16" s="110">
        <f t="shared" ref="U16:U18" si="51">M16/E16*F16</f>
        <v>1541.05</v>
      </c>
      <c r="V16" s="110">
        <f t="shared" ref="V16:V18" si="52">N16/E16*F16</f>
        <v>1032.0954999999999</v>
      </c>
      <c r="W16" s="110">
        <f t="shared" ref="W16:W18" si="53">O16/E16*F16</f>
        <v>688.76149999999996</v>
      </c>
      <c r="X16" s="110">
        <f t="shared" ref="X16:X18" si="54">P16/E16*F16</f>
        <v>602.928</v>
      </c>
      <c r="Y16" s="110">
        <f t="shared" ref="Y16:Y18" si="55">(H16+M16+N16+O16+P16)/E16*G16</f>
        <v>0</v>
      </c>
      <c r="Z16" s="110">
        <f t="shared" si="4"/>
        <v>24799.834999999999</v>
      </c>
      <c r="AA16" s="110">
        <f t="shared" ref="AA16:AA28" si="56">1800*F16/E16</f>
        <v>1800</v>
      </c>
      <c r="AB16" s="110">
        <v>0</v>
      </c>
      <c r="AC16" s="114">
        <f t="shared" ref="AC16:AC28" si="57">IF(Z16&gt;20000,200,IF(Z16&gt;15000,150,0))</f>
        <v>200</v>
      </c>
      <c r="AD16" s="110">
        <v>0</v>
      </c>
      <c r="AE16" s="110">
        <f t="shared" ref="AE16" si="58">AA16+AB16+AC16+AD16</f>
        <v>2000</v>
      </c>
      <c r="AF16" s="143">
        <f t="shared" ref="AF16" si="59">ROUND(Z16-AE16,0)</f>
        <v>22800</v>
      </c>
      <c r="AG16" s="110">
        <f t="shared" ref="AG16:AG28" si="60">AA16*13/12</f>
        <v>1950</v>
      </c>
      <c r="AH16" s="110">
        <v>1000</v>
      </c>
      <c r="AI16" s="110">
        <f>Z16+AG16+AH16</f>
        <v>27749.834999999999</v>
      </c>
      <c r="AJ16" s="110">
        <f>26607*(F16+G16)/E16</f>
        <v>26607</v>
      </c>
      <c r="AK16" s="29">
        <f t="shared" si="8"/>
        <v>-1142.8349999999991</v>
      </c>
      <c r="AL16" s="114">
        <v>22800</v>
      </c>
    </row>
    <row r="17" spans="1:38" ht="17.25" customHeight="1" x14ac:dyDescent="0.25">
      <c r="A17" s="133">
        <f>A16+1</f>
        <v>11</v>
      </c>
      <c r="B17" s="122">
        <v>10981</v>
      </c>
      <c r="C17" s="122" t="s">
        <v>40</v>
      </c>
      <c r="D17" s="122" t="s">
        <v>33</v>
      </c>
      <c r="E17" s="109">
        <v>31</v>
      </c>
      <c r="F17" s="109">
        <f>VLOOKUP(B17,ATTENDANCE!$B$4:$AS$113,44,0)</f>
        <v>29</v>
      </c>
      <c r="G17" s="109">
        <v>0</v>
      </c>
      <c r="H17" s="110">
        <f t="shared" si="44"/>
        <v>20215</v>
      </c>
      <c r="I17" s="110">
        <v>4722</v>
      </c>
      <c r="J17" s="110">
        <v>13778</v>
      </c>
      <c r="K17" s="110">
        <v>1715</v>
      </c>
      <c r="L17" s="110">
        <v>0</v>
      </c>
      <c r="M17" s="114">
        <f t="shared" si="45"/>
        <v>1541.05</v>
      </c>
      <c r="N17" s="114">
        <f t="shared" si="46"/>
        <v>996.59949999999992</v>
      </c>
      <c r="O17" s="114">
        <f t="shared" si="47"/>
        <v>665.07349999999997</v>
      </c>
      <c r="P17" s="114">
        <f t="shared" si="48"/>
        <v>582.19200000000001</v>
      </c>
      <c r="Q17" s="110">
        <f t="shared" si="49"/>
        <v>4417.3548387096771</v>
      </c>
      <c r="R17" s="110">
        <f t="shared" si="50"/>
        <v>12889.096774193547</v>
      </c>
      <c r="S17" s="110">
        <f t="shared" si="2"/>
        <v>1604.3548387096773</v>
      </c>
      <c r="T17" s="110">
        <f t="shared" si="3"/>
        <v>0</v>
      </c>
      <c r="U17" s="110">
        <f t="shared" si="51"/>
        <v>1441.6274193548386</v>
      </c>
      <c r="V17" s="110">
        <f t="shared" si="52"/>
        <v>932.30275806451607</v>
      </c>
      <c r="W17" s="110">
        <f t="shared" si="53"/>
        <v>622.16553225806445</v>
      </c>
      <c r="X17" s="110">
        <f t="shared" si="54"/>
        <v>544.63122580645165</v>
      </c>
      <c r="Y17" s="110">
        <f t="shared" si="55"/>
        <v>0</v>
      </c>
      <c r="Z17" s="110">
        <f t="shared" si="4"/>
        <v>22451.53338709677</v>
      </c>
      <c r="AA17" s="110">
        <f t="shared" si="56"/>
        <v>1683.8709677419354</v>
      </c>
      <c r="AB17" s="110">
        <v>0</v>
      </c>
      <c r="AC17" s="114">
        <f t="shared" si="57"/>
        <v>200</v>
      </c>
      <c r="AD17" s="110">
        <v>0</v>
      </c>
      <c r="AE17" s="110">
        <f>AA17+AB17+AC17+AD17</f>
        <v>1883.8709677419354</v>
      </c>
      <c r="AF17" s="143">
        <f>ROUND(Z17-AE17,0)</f>
        <v>20568</v>
      </c>
      <c r="AG17" s="110">
        <f t="shared" si="60"/>
        <v>1824.1935483870966</v>
      </c>
      <c r="AH17" s="110">
        <v>1000</v>
      </c>
      <c r="AI17" s="110">
        <f t="shared" ref="AI17:AI28" si="61">Z17+AG17+AH17</f>
        <v>25275.726935483865</v>
      </c>
      <c r="AJ17" s="110">
        <f>26607*(F17+G17)/E17</f>
        <v>24890.419354838708</v>
      </c>
      <c r="AK17" s="29">
        <f t="shared" si="8"/>
        <v>-385.30758064515612</v>
      </c>
      <c r="AL17" s="110">
        <v>22000</v>
      </c>
    </row>
    <row r="18" spans="1:38" s="184" customFormat="1" ht="17.25" x14ac:dyDescent="0.25">
      <c r="A18" s="133">
        <f t="shared" ref="A18:A28" si="62">A17+1</f>
        <v>12</v>
      </c>
      <c r="B18" s="122">
        <v>11377</v>
      </c>
      <c r="C18" s="122" t="s">
        <v>356</v>
      </c>
      <c r="D18" s="122" t="s">
        <v>33</v>
      </c>
      <c r="E18" s="109">
        <v>31</v>
      </c>
      <c r="F18" s="109">
        <f>VLOOKUP(B18,ATTENDANCE!$B$4:$AS$113,44,0)</f>
        <v>25</v>
      </c>
      <c r="G18" s="109">
        <v>0</v>
      </c>
      <c r="H18" s="110">
        <f t="shared" si="44"/>
        <v>20215</v>
      </c>
      <c r="I18" s="110">
        <v>4722</v>
      </c>
      <c r="J18" s="110">
        <v>13778</v>
      </c>
      <c r="K18" s="110">
        <v>1715</v>
      </c>
      <c r="L18" s="110">
        <v>0</v>
      </c>
      <c r="M18" s="114">
        <f t="shared" si="45"/>
        <v>1541.05</v>
      </c>
      <c r="N18" s="114">
        <f t="shared" si="46"/>
        <v>996.59949999999992</v>
      </c>
      <c r="O18" s="114">
        <f t="shared" si="47"/>
        <v>665.07349999999997</v>
      </c>
      <c r="P18" s="114">
        <f t="shared" si="48"/>
        <v>582.19200000000001</v>
      </c>
      <c r="Q18" s="110">
        <f t="shared" si="49"/>
        <v>3808.0645161290322</v>
      </c>
      <c r="R18" s="110">
        <f t="shared" si="50"/>
        <v>11111.290322580644</v>
      </c>
      <c r="S18" s="110">
        <f t="shared" si="2"/>
        <v>1383.0645161290322</v>
      </c>
      <c r="T18" s="110">
        <f t="shared" si="3"/>
        <v>0</v>
      </c>
      <c r="U18" s="110">
        <f t="shared" si="51"/>
        <v>1242.7822580645161</v>
      </c>
      <c r="V18" s="110">
        <f t="shared" si="52"/>
        <v>803.70927419354837</v>
      </c>
      <c r="W18" s="110">
        <f t="shared" si="53"/>
        <v>536.34959677419351</v>
      </c>
      <c r="X18" s="110">
        <f t="shared" si="54"/>
        <v>469.50967741935489</v>
      </c>
      <c r="Y18" s="110">
        <f t="shared" si="55"/>
        <v>0</v>
      </c>
      <c r="Z18" s="110">
        <f t="shared" si="4"/>
        <v>19354.770161290322</v>
      </c>
      <c r="AA18" s="110">
        <f t="shared" si="56"/>
        <v>1451.6129032258063</v>
      </c>
      <c r="AB18" s="110">
        <v>0</v>
      </c>
      <c r="AC18" s="114">
        <f>IF(Z18&gt;20000,200,IF(Z18&gt;15000,150,0))</f>
        <v>150</v>
      </c>
      <c r="AD18" s="110">
        <v>0</v>
      </c>
      <c r="AE18" s="110">
        <f>AA18+AB18+AC18+AD18</f>
        <v>1601.6129032258063</v>
      </c>
      <c r="AF18" s="143">
        <f>ROUND(Z18-AE18,0)</f>
        <v>17753</v>
      </c>
      <c r="AG18" s="110">
        <f t="shared" si="60"/>
        <v>1572.58064516129</v>
      </c>
      <c r="AH18" s="110">
        <v>1000</v>
      </c>
      <c r="AI18" s="110">
        <f t="shared" si="61"/>
        <v>21927.350806451614</v>
      </c>
      <c r="AJ18" s="110">
        <f t="shared" ref="AJ18:AJ28" si="63">26607*(F18+G18)/E18</f>
        <v>21457.258064516129</v>
      </c>
      <c r="AK18" s="29">
        <f t="shared" si="8"/>
        <v>-470.09274193548481</v>
      </c>
      <c r="AL18" s="111">
        <v>22000</v>
      </c>
    </row>
    <row r="19" spans="1:38" s="184" customFormat="1" ht="17.25" x14ac:dyDescent="0.25">
      <c r="A19" s="133">
        <f t="shared" si="62"/>
        <v>13</v>
      </c>
      <c r="B19" s="104">
        <v>1</v>
      </c>
      <c r="C19" s="213" t="s">
        <v>416</v>
      </c>
      <c r="D19" s="122" t="s">
        <v>33</v>
      </c>
      <c r="E19" s="109">
        <v>31</v>
      </c>
      <c r="F19" s="109">
        <f>VLOOKUP(B19,ATTENDANCE!$B$4:$AS$113,44,0)</f>
        <v>28</v>
      </c>
      <c r="G19" s="109">
        <v>0</v>
      </c>
      <c r="H19" s="110">
        <f t="shared" ref="H19:H27" si="64">I19+J19+K19+L19</f>
        <v>17716</v>
      </c>
      <c r="I19" s="110">
        <v>4722</v>
      </c>
      <c r="J19" s="110">
        <v>12994</v>
      </c>
      <c r="K19" s="110">
        <v>0</v>
      </c>
      <c r="L19" s="110">
        <v>0</v>
      </c>
      <c r="M19" s="114">
        <f t="shared" ref="M19:M27" si="65">(I19+J19)*8.33%</f>
        <v>1475.7428</v>
      </c>
      <c r="N19" s="114">
        <f t="shared" ref="N19:N27" si="66">H19*4.93%</f>
        <v>873.39879999999994</v>
      </c>
      <c r="O19" s="114">
        <f t="shared" ref="O19:O27" si="67">H19*3.29%</f>
        <v>582.85640000000001</v>
      </c>
      <c r="P19" s="114">
        <f t="shared" ref="P19:P27" si="68">H19*2.88%</f>
        <v>510.2208</v>
      </c>
      <c r="Q19" s="110">
        <f t="shared" ref="Q19:Q27" si="69">I19/E19*F19</f>
        <v>4265.0322580645161</v>
      </c>
      <c r="R19" s="110">
        <f t="shared" ref="R19:R27" si="70">J19/E19*F19</f>
        <v>11736.516129032259</v>
      </c>
      <c r="S19" s="110">
        <f t="shared" ref="S19:S27" si="71">+K19/E19*F19</f>
        <v>0</v>
      </c>
      <c r="T19" s="110">
        <f t="shared" ref="T19:T27" si="72">L19/E19*F19</f>
        <v>0</v>
      </c>
      <c r="U19" s="110">
        <f t="shared" ref="U19:U27" si="73">M19/E19*F19</f>
        <v>1332.9289806451613</v>
      </c>
      <c r="V19" s="110">
        <f t="shared" ref="V19:V27" si="74">N19/E19*F19</f>
        <v>788.87633548387089</v>
      </c>
      <c r="W19" s="110">
        <f t="shared" ref="W19:W27" si="75">O19/E19*F19</f>
        <v>526.45094193548391</v>
      </c>
      <c r="X19" s="110">
        <f t="shared" ref="X19:X27" si="76">P19/E19*F19</f>
        <v>460.84459354838708</v>
      </c>
      <c r="Y19" s="110">
        <f t="shared" ref="Y19:Y27" si="77">(H19+M19+N19+O19+P19)/E19*G19</f>
        <v>0</v>
      </c>
      <c r="Z19" s="110">
        <f t="shared" ref="Z19:Z27" si="78">Q19+R19+S19+T19+U19+V19+W19+X19+Y19</f>
        <v>19110.649238709677</v>
      </c>
      <c r="AA19" s="110">
        <f t="shared" ref="AA19:AA27" si="79">1800*F19/E19</f>
        <v>1625.8064516129032</v>
      </c>
      <c r="AB19" s="143">
        <f>Z19*0.75%</f>
        <v>143.32986929032256</v>
      </c>
      <c r="AC19" s="114">
        <f t="shared" ref="AC19:AC27" si="80">IF(Z19&gt;20000,200,IF(Z19&gt;15000,150,0))</f>
        <v>150</v>
      </c>
      <c r="AD19" s="110">
        <v>0</v>
      </c>
      <c r="AE19" s="110">
        <f t="shared" ref="AE19:AE27" si="81">AA19+AB19+AC19+AD19</f>
        <v>1919.1363209032256</v>
      </c>
      <c r="AF19" s="143">
        <f t="shared" ref="AF19:AF27" si="82">ROUND(Z19-AE19,0)</f>
        <v>17192</v>
      </c>
      <c r="AG19" s="110">
        <f t="shared" ref="AG19:AG27" si="83">AA19*13/12</f>
        <v>1761.2903225806451</v>
      </c>
      <c r="AH19" s="110">
        <f>AB19*3.25/0.75</f>
        <v>621.09610025806444</v>
      </c>
      <c r="AI19" s="110">
        <f t="shared" ref="AI19:AI27" si="84">Z19+AG19+AH19</f>
        <v>21493.035661548387</v>
      </c>
      <c r="AJ19" s="110">
        <f t="shared" ref="AJ19:AJ27" si="85">26607*(F19+G19)/E19</f>
        <v>24032.129032258064</v>
      </c>
      <c r="AK19" s="29">
        <f t="shared" ref="AK19:AK27" si="86">AJ19-AI19</f>
        <v>2539.0933707096774</v>
      </c>
      <c r="AL19" s="111">
        <v>22000</v>
      </c>
    </row>
    <row r="20" spans="1:38" s="184" customFormat="1" ht="17.25" x14ac:dyDescent="0.25">
      <c r="A20" s="133">
        <f t="shared" si="62"/>
        <v>14</v>
      </c>
      <c r="B20" s="104">
        <v>2</v>
      </c>
      <c r="C20" s="213" t="s">
        <v>417</v>
      </c>
      <c r="D20" s="122" t="s">
        <v>33</v>
      </c>
      <c r="E20" s="109">
        <v>31</v>
      </c>
      <c r="F20" s="109">
        <f>VLOOKUP(B20,ATTENDANCE!$B$4:$AS$113,44,0)</f>
        <v>27</v>
      </c>
      <c r="G20" s="109">
        <v>0</v>
      </c>
      <c r="H20" s="110">
        <f t="shared" si="64"/>
        <v>17716</v>
      </c>
      <c r="I20" s="110">
        <v>4722</v>
      </c>
      <c r="J20" s="110">
        <v>12994</v>
      </c>
      <c r="K20" s="110">
        <v>0</v>
      </c>
      <c r="L20" s="110">
        <v>0</v>
      </c>
      <c r="M20" s="114">
        <f t="shared" si="65"/>
        <v>1475.7428</v>
      </c>
      <c r="N20" s="114">
        <f t="shared" si="66"/>
        <v>873.39879999999994</v>
      </c>
      <c r="O20" s="114">
        <f t="shared" si="67"/>
        <v>582.85640000000001</v>
      </c>
      <c r="P20" s="114">
        <f t="shared" si="68"/>
        <v>510.2208</v>
      </c>
      <c r="Q20" s="110">
        <f t="shared" si="69"/>
        <v>4112.7096774193542</v>
      </c>
      <c r="R20" s="110">
        <f t="shared" si="70"/>
        <v>11317.354838709678</v>
      </c>
      <c r="S20" s="110">
        <f t="shared" si="71"/>
        <v>0</v>
      </c>
      <c r="T20" s="110">
        <f t="shared" si="72"/>
        <v>0</v>
      </c>
      <c r="U20" s="110">
        <f t="shared" si="73"/>
        <v>1285.3243741935485</v>
      </c>
      <c r="V20" s="110">
        <f t="shared" si="74"/>
        <v>760.70218064516121</v>
      </c>
      <c r="W20" s="110">
        <f t="shared" si="75"/>
        <v>507.64912258064516</v>
      </c>
      <c r="X20" s="110">
        <f t="shared" si="76"/>
        <v>444.38585806451613</v>
      </c>
      <c r="Y20" s="110">
        <f t="shared" si="77"/>
        <v>0</v>
      </c>
      <c r="Z20" s="110">
        <f t="shared" si="78"/>
        <v>18428.126051612904</v>
      </c>
      <c r="AA20" s="110">
        <f t="shared" si="79"/>
        <v>1567.741935483871</v>
      </c>
      <c r="AB20" s="143">
        <f t="shared" ref="AB20:AB26" si="87">Z20*0.75%</f>
        <v>138.21094538709679</v>
      </c>
      <c r="AC20" s="114">
        <f t="shared" si="80"/>
        <v>150</v>
      </c>
      <c r="AD20" s="110">
        <v>0</v>
      </c>
      <c r="AE20" s="110">
        <f t="shared" si="81"/>
        <v>1855.9528808709679</v>
      </c>
      <c r="AF20" s="143">
        <f t="shared" si="82"/>
        <v>16572</v>
      </c>
      <c r="AG20" s="110">
        <f t="shared" si="83"/>
        <v>1698.3870967741934</v>
      </c>
      <c r="AH20" s="110">
        <f t="shared" ref="AH20:AH26" si="88">AB20*3.25/0.75</f>
        <v>598.91409667741937</v>
      </c>
      <c r="AI20" s="110">
        <f t="shared" si="84"/>
        <v>20725.427245064515</v>
      </c>
      <c r="AJ20" s="110">
        <f t="shared" si="85"/>
        <v>23173.83870967742</v>
      </c>
      <c r="AK20" s="29">
        <f t="shared" si="86"/>
        <v>2448.4114646129055</v>
      </c>
      <c r="AL20" s="111">
        <v>22000</v>
      </c>
    </row>
    <row r="21" spans="1:38" s="184" customFormat="1" ht="17.25" x14ac:dyDescent="0.25">
      <c r="A21" s="133">
        <f t="shared" si="62"/>
        <v>15</v>
      </c>
      <c r="B21" s="104">
        <v>3</v>
      </c>
      <c r="C21" s="213" t="s">
        <v>418</v>
      </c>
      <c r="D21" s="122" t="s">
        <v>33</v>
      </c>
      <c r="E21" s="109">
        <v>31</v>
      </c>
      <c r="F21" s="109">
        <f>VLOOKUP(B21,ATTENDANCE!$B$4:$AS$113,44,0)</f>
        <v>29</v>
      </c>
      <c r="G21" s="109">
        <v>0</v>
      </c>
      <c r="H21" s="110">
        <f t="shared" si="64"/>
        <v>17716</v>
      </c>
      <c r="I21" s="110">
        <v>4722</v>
      </c>
      <c r="J21" s="110">
        <v>12994</v>
      </c>
      <c r="K21" s="110">
        <v>0</v>
      </c>
      <c r="L21" s="110">
        <v>0</v>
      </c>
      <c r="M21" s="114">
        <f t="shared" si="65"/>
        <v>1475.7428</v>
      </c>
      <c r="N21" s="114">
        <f t="shared" si="66"/>
        <v>873.39879999999994</v>
      </c>
      <c r="O21" s="114">
        <f t="shared" si="67"/>
        <v>582.85640000000001</v>
      </c>
      <c r="P21" s="114">
        <f t="shared" si="68"/>
        <v>510.2208</v>
      </c>
      <c r="Q21" s="110">
        <f t="shared" si="69"/>
        <v>4417.3548387096771</v>
      </c>
      <c r="R21" s="110">
        <f t="shared" si="70"/>
        <v>12155.677419354839</v>
      </c>
      <c r="S21" s="110">
        <f t="shared" si="71"/>
        <v>0</v>
      </c>
      <c r="T21" s="110">
        <f t="shared" si="72"/>
        <v>0</v>
      </c>
      <c r="U21" s="110">
        <f t="shared" si="73"/>
        <v>1380.5335870967742</v>
      </c>
      <c r="V21" s="110">
        <f t="shared" si="74"/>
        <v>817.05049032258057</v>
      </c>
      <c r="W21" s="110">
        <f t="shared" si="75"/>
        <v>545.25276129032261</v>
      </c>
      <c r="X21" s="110">
        <f t="shared" si="76"/>
        <v>477.30332903225803</v>
      </c>
      <c r="Y21" s="110">
        <f t="shared" si="77"/>
        <v>0</v>
      </c>
      <c r="Z21" s="110">
        <f t="shared" si="78"/>
        <v>19793.17242580645</v>
      </c>
      <c r="AA21" s="110">
        <f t="shared" si="79"/>
        <v>1683.8709677419354</v>
      </c>
      <c r="AB21" s="143">
        <f t="shared" si="87"/>
        <v>148.44879319354837</v>
      </c>
      <c r="AC21" s="114">
        <f t="shared" si="80"/>
        <v>150</v>
      </c>
      <c r="AD21" s="110">
        <v>0</v>
      </c>
      <c r="AE21" s="110">
        <f t="shared" si="81"/>
        <v>1982.3197609354838</v>
      </c>
      <c r="AF21" s="143">
        <f t="shared" si="82"/>
        <v>17811</v>
      </c>
      <c r="AG21" s="110">
        <f t="shared" si="83"/>
        <v>1824.1935483870966</v>
      </c>
      <c r="AH21" s="110">
        <f t="shared" si="88"/>
        <v>643.27810383870963</v>
      </c>
      <c r="AI21" s="110">
        <f t="shared" si="84"/>
        <v>22260.644078032259</v>
      </c>
      <c r="AJ21" s="110">
        <f t="shared" si="85"/>
        <v>24890.419354838708</v>
      </c>
      <c r="AK21" s="29">
        <f t="shared" si="86"/>
        <v>2629.7752768064493</v>
      </c>
      <c r="AL21" s="111">
        <v>22000</v>
      </c>
    </row>
    <row r="22" spans="1:38" s="184" customFormat="1" ht="17.25" x14ac:dyDescent="0.25">
      <c r="A22" s="133">
        <f t="shared" si="62"/>
        <v>16</v>
      </c>
      <c r="B22" s="104">
        <v>4</v>
      </c>
      <c r="C22" s="213" t="s">
        <v>419</v>
      </c>
      <c r="D22" s="122" t="s">
        <v>33</v>
      </c>
      <c r="E22" s="109">
        <v>31</v>
      </c>
      <c r="F22" s="109">
        <f>VLOOKUP(B22,ATTENDANCE!$B$4:$AS$113,44,0)</f>
        <v>10</v>
      </c>
      <c r="G22" s="109">
        <v>0</v>
      </c>
      <c r="H22" s="110">
        <f t="shared" si="64"/>
        <v>17716</v>
      </c>
      <c r="I22" s="110">
        <v>4722</v>
      </c>
      <c r="J22" s="110">
        <v>12994</v>
      </c>
      <c r="K22" s="110">
        <v>0</v>
      </c>
      <c r="L22" s="110">
        <v>0</v>
      </c>
      <c r="M22" s="114">
        <f t="shared" si="65"/>
        <v>1475.7428</v>
      </c>
      <c r="N22" s="114">
        <f t="shared" si="66"/>
        <v>873.39879999999994</v>
      </c>
      <c r="O22" s="114">
        <f t="shared" si="67"/>
        <v>582.85640000000001</v>
      </c>
      <c r="P22" s="114">
        <f t="shared" si="68"/>
        <v>510.2208</v>
      </c>
      <c r="Q22" s="110">
        <f t="shared" si="69"/>
        <v>1523.2258064516127</v>
      </c>
      <c r="R22" s="110">
        <f t="shared" si="70"/>
        <v>4191.6129032258068</v>
      </c>
      <c r="S22" s="110">
        <f t="shared" si="71"/>
        <v>0</v>
      </c>
      <c r="T22" s="110">
        <f t="shared" si="72"/>
        <v>0</v>
      </c>
      <c r="U22" s="110">
        <f t="shared" si="73"/>
        <v>476.04606451612904</v>
      </c>
      <c r="V22" s="110">
        <f t="shared" si="74"/>
        <v>281.74154838709677</v>
      </c>
      <c r="W22" s="110">
        <f t="shared" si="75"/>
        <v>188.0181935483871</v>
      </c>
      <c r="X22" s="110">
        <f t="shared" si="76"/>
        <v>164.58735483870967</v>
      </c>
      <c r="Y22" s="110">
        <f t="shared" si="77"/>
        <v>0</v>
      </c>
      <c r="Z22" s="110">
        <f t="shared" si="78"/>
        <v>6825.231870967742</v>
      </c>
      <c r="AA22" s="110">
        <f t="shared" si="79"/>
        <v>580.64516129032256</v>
      </c>
      <c r="AB22" s="143">
        <f t="shared" si="87"/>
        <v>51.189239032258065</v>
      </c>
      <c r="AC22" s="114">
        <f t="shared" si="80"/>
        <v>0</v>
      </c>
      <c r="AD22" s="110">
        <v>0</v>
      </c>
      <c r="AE22" s="110">
        <f t="shared" si="81"/>
        <v>631.83440032258068</v>
      </c>
      <c r="AF22" s="143">
        <f t="shared" si="82"/>
        <v>6193</v>
      </c>
      <c r="AG22" s="110">
        <f t="shared" si="83"/>
        <v>629.0322580645161</v>
      </c>
      <c r="AH22" s="110">
        <f t="shared" si="88"/>
        <v>221.82003580645161</v>
      </c>
      <c r="AI22" s="110">
        <f t="shared" si="84"/>
        <v>7676.0841648387095</v>
      </c>
      <c r="AJ22" s="110">
        <f t="shared" si="85"/>
        <v>8582.9032258064508</v>
      </c>
      <c r="AK22" s="29">
        <f t="shared" si="86"/>
        <v>906.81906096774128</v>
      </c>
      <c r="AL22" s="111">
        <v>22000</v>
      </c>
    </row>
    <row r="23" spans="1:38" s="184" customFormat="1" ht="17.25" x14ac:dyDescent="0.25">
      <c r="A23" s="133">
        <f t="shared" si="62"/>
        <v>17</v>
      </c>
      <c r="B23" s="104">
        <v>5</v>
      </c>
      <c r="C23" s="213" t="s">
        <v>420</v>
      </c>
      <c r="D23" s="122" t="s">
        <v>33</v>
      </c>
      <c r="E23" s="109">
        <v>31</v>
      </c>
      <c r="F23" s="109">
        <f>VLOOKUP(B23,ATTENDANCE!$B$4:$AS$113,44,0)</f>
        <v>28</v>
      </c>
      <c r="G23" s="109">
        <v>0</v>
      </c>
      <c r="H23" s="110">
        <f t="shared" si="64"/>
        <v>18421</v>
      </c>
      <c r="I23" s="110">
        <v>4722</v>
      </c>
      <c r="J23" s="110">
        <v>13699</v>
      </c>
      <c r="K23" s="110">
        <v>0</v>
      </c>
      <c r="L23" s="110">
        <v>0</v>
      </c>
      <c r="M23" s="114">
        <f t="shared" si="65"/>
        <v>1534.4693</v>
      </c>
      <c r="N23" s="114">
        <f t="shared" si="66"/>
        <v>908.1552999999999</v>
      </c>
      <c r="O23" s="114">
        <f t="shared" si="67"/>
        <v>606.05089999999996</v>
      </c>
      <c r="P23" s="114">
        <f t="shared" si="68"/>
        <v>530.52480000000003</v>
      </c>
      <c r="Q23" s="110">
        <f t="shared" si="69"/>
        <v>4265.0322580645161</v>
      </c>
      <c r="R23" s="110">
        <f t="shared" si="70"/>
        <v>12373.290322580644</v>
      </c>
      <c r="S23" s="110">
        <f t="shared" si="71"/>
        <v>0</v>
      </c>
      <c r="T23" s="110">
        <f t="shared" si="72"/>
        <v>0</v>
      </c>
      <c r="U23" s="110">
        <f t="shared" si="73"/>
        <v>1385.9722709677419</v>
      </c>
      <c r="V23" s="110">
        <f t="shared" si="74"/>
        <v>820.26930322580631</v>
      </c>
      <c r="W23" s="110">
        <f t="shared" si="75"/>
        <v>547.40081290322576</v>
      </c>
      <c r="X23" s="110">
        <f t="shared" si="76"/>
        <v>479.18369032258067</v>
      </c>
      <c r="Y23" s="110">
        <f t="shared" si="77"/>
        <v>0</v>
      </c>
      <c r="Z23" s="110">
        <f t="shared" si="78"/>
        <v>19871.148658064514</v>
      </c>
      <c r="AA23" s="110">
        <f t="shared" si="79"/>
        <v>1625.8064516129032</v>
      </c>
      <c r="AB23" s="110">
        <v>0</v>
      </c>
      <c r="AC23" s="114">
        <f t="shared" si="80"/>
        <v>150</v>
      </c>
      <c r="AD23" s="110">
        <v>0</v>
      </c>
      <c r="AE23" s="110">
        <f t="shared" si="81"/>
        <v>1775.8064516129032</v>
      </c>
      <c r="AF23" s="143">
        <f t="shared" si="82"/>
        <v>18095</v>
      </c>
      <c r="AG23" s="110">
        <f t="shared" si="83"/>
        <v>1761.2903225806451</v>
      </c>
      <c r="AH23" s="110">
        <v>1000</v>
      </c>
      <c r="AI23" s="110">
        <f t="shared" si="84"/>
        <v>22632.438980645158</v>
      </c>
      <c r="AJ23" s="110">
        <f t="shared" si="85"/>
        <v>24032.129032258064</v>
      </c>
      <c r="AK23" s="29">
        <f t="shared" si="86"/>
        <v>1399.6900516129062</v>
      </c>
      <c r="AL23" s="111">
        <v>22000</v>
      </c>
    </row>
    <row r="24" spans="1:38" s="184" customFormat="1" ht="17.25" x14ac:dyDescent="0.25">
      <c r="A24" s="133">
        <f t="shared" si="62"/>
        <v>18</v>
      </c>
      <c r="B24" s="104">
        <v>6</v>
      </c>
      <c r="C24" s="213" t="s">
        <v>421</v>
      </c>
      <c r="D24" s="122" t="s">
        <v>33</v>
      </c>
      <c r="E24" s="109">
        <v>31</v>
      </c>
      <c r="F24" s="109">
        <f>VLOOKUP(B24,ATTENDANCE!$B$4:$AS$113,44,0)</f>
        <v>23</v>
      </c>
      <c r="G24" s="109">
        <v>0</v>
      </c>
      <c r="H24" s="110">
        <f t="shared" si="64"/>
        <v>17716</v>
      </c>
      <c r="I24" s="110">
        <v>4722</v>
      </c>
      <c r="J24" s="110">
        <v>12994</v>
      </c>
      <c r="K24" s="110">
        <v>0</v>
      </c>
      <c r="L24" s="110">
        <v>0</v>
      </c>
      <c r="M24" s="114">
        <f t="shared" si="65"/>
        <v>1475.7428</v>
      </c>
      <c r="N24" s="114">
        <f t="shared" si="66"/>
        <v>873.39879999999994</v>
      </c>
      <c r="O24" s="114">
        <f t="shared" si="67"/>
        <v>582.85640000000001</v>
      </c>
      <c r="P24" s="114">
        <f t="shared" si="68"/>
        <v>510.2208</v>
      </c>
      <c r="Q24" s="110">
        <f t="shared" si="69"/>
        <v>3503.4193548387093</v>
      </c>
      <c r="R24" s="110">
        <f t="shared" si="70"/>
        <v>9640.709677419356</v>
      </c>
      <c r="S24" s="110">
        <f t="shared" si="71"/>
        <v>0</v>
      </c>
      <c r="T24" s="110">
        <f t="shared" si="72"/>
        <v>0</v>
      </c>
      <c r="U24" s="110">
        <f t="shared" si="73"/>
        <v>1094.9059483870967</v>
      </c>
      <c r="V24" s="110">
        <f t="shared" si="74"/>
        <v>648.00556129032259</v>
      </c>
      <c r="W24" s="110">
        <f t="shared" si="75"/>
        <v>432.4418451612903</v>
      </c>
      <c r="X24" s="110">
        <f t="shared" si="76"/>
        <v>378.55091612903226</v>
      </c>
      <c r="Y24" s="110">
        <f t="shared" si="77"/>
        <v>0</v>
      </c>
      <c r="Z24" s="110">
        <f t="shared" si="78"/>
        <v>15698.033303225808</v>
      </c>
      <c r="AA24" s="110">
        <f t="shared" si="79"/>
        <v>1335.483870967742</v>
      </c>
      <c r="AB24" s="143">
        <f t="shared" si="87"/>
        <v>117.73524977419355</v>
      </c>
      <c r="AC24" s="114">
        <f t="shared" si="80"/>
        <v>150</v>
      </c>
      <c r="AD24" s="110">
        <v>0</v>
      </c>
      <c r="AE24" s="110">
        <f t="shared" si="81"/>
        <v>1603.2191207419355</v>
      </c>
      <c r="AF24" s="143">
        <f t="shared" si="82"/>
        <v>14095</v>
      </c>
      <c r="AG24" s="110">
        <f t="shared" si="83"/>
        <v>1446.7741935483871</v>
      </c>
      <c r="AH24" s="110">
        <f t="shared" si="88"/>
        <v>510.18608235483867</v>
      </c>
      <c r="AI24" s="110">
        <f t="shared" si="84"/>
        <v>17654.993579129034</v>
      </c>
      <c r="AJ24" s="110">
        <f t="shared" si="85"/>
        <v>19740.677419354837</v>
      </c>
      <c r="AK24" s="29">
        <f t="shared" si="86"/>
        <v>2085.6838402258036</v>
      </c>
      <c r="AL24" s="111">
        <v>22000</v>
      </c>
    </row>
    <row r="25" spans="1:38" s="184" customFormat="1" ht="17.25" x14ac:dyDescent="0.25">
      <c r="A25" s="133">
        <f t="shared" si="62"/>
        <v>19</v>
      </c>
      <c r="B25" s="104">
        <v>7</v>
      </c>
      <c r="C25" s="213" t="s">
        <v>422</v>
      </c>
      <c r="D25" s="122" t="s">
        <v>33</v>
      </c>
      <c r="E25" s="109">
        <v>31</v>
      </c>
      <c r="F25" s="109">
        <f>VLOOKUP(B25,ATTENDANCE!$B$4:$AS$113,44,0)</f>
        <v>24</v>
      </c>
      <c r="G25" s="109">
        <v>0</v>
      </c>
      <c r="H25" s="110">
        <f t="shared" si="64"/>
        <v>17716</v>
      </c>
      <c r="I25" s="110">
        <v>4722</v>
      </c>
      <c r="J25" s="110">
        <v>12994</v>
      </c>
      <c r="K25" s="110">
        <v>0</v>
      </c>
      <c r="L25" s="110">
        <v>0</v>
      </c>
      <c r="M25" s="114">
        <f t="shared" si="65"/>
        <v>1475.7428</v>
      </c>
      <c r="N25" s="114">
        <f t="shared" si="66"/>
        <v>873.39879999999994</v>
      </c>
      <c r="O25" s="114">
        <f t="shared" si="67"/>
        <v>582.85640000000001</v>
      </c>
      <c r="P25" s="114">
        <f t="shared" si="68"/>
        <v>510.2208</v>
      </c>
      <c r="Q25" s="110">
        <f t="shared" si="69"/>
        <v>3655.7419354838707</v>
      </c>
      <c r="R25" s="110">
        <f t="shared" si="70"/>
        <v>10059.870967741936</v>
      </c>
      <c r="S25" s="110">
        <f t="shared" si="71"/>
        <v>0</v>
      </c>
      <c r="T25" s="110">
        <f t="shared" si="72"/>
        <v>0</v>
      </c>
      <c r="U25" s="110">
        <f t="shared" si="73"/>
        <v>1142.5105548387096</v>
      </c>
      <c r="V25" s="110">
        <f t="shared" si="74"/>
        <v>676.17971612903216</v>
      </c>
      <c r="W25" s="110">
        <f t="shared" si="75"/>
        <v>451.243664516129</v>
      </c>
      <c r="X25" s="110">
        <f t="shared" si="76"/>
        <v>395.00965161290321</v>
      </c>
      <c r="Y25" s="110">
        <f t="shared" si="77"/>
        <v>0</v>
      </c>
      <c r="Z25" s="110">
        <f t="shared" si="78"/>
        <v>16380.55649032258</v>
      </c>
      <c r="AA25" s="110">
        <f t="shared" si="79"/>
        <v>1393.5483870967741</v>
      </c>
      <c r="AB25" s="143">
        <f t="shared" si="87"/>
        <v>122.85417367741935</v>
      </c>
      <c r="AC25" s="114">
        <f t="shared" si="80"/>
        <v>150</v>
      </c>
      <c r="AD25" s="110">
        <v>0</v>
      </c>
      <c r="AE25" s="110">
        <f t="shared" si="81"/>
        <v>1666.4025607741935</v>
      </c>
      <c r="AF25" s="143">
        <f t="shared" si="82"/>
        <v>14714</v>
      </c>
      <c r="AG25" s="110">
        <f t="shared" si="83"/>
        <v>1509.6774193548388</v>
      </c>
      <c r="AH25" s="110">
        <f t="shared" si="88"/>
        <v>532.36808593548392</v>
      </c>
      <c r="AI25" s="110">
        <f t="shared" si="84"/>
        <v>18422.601995612902</v>
      </c>
      <c r="AJ25" s="110">
        <f t="shared" si="85"/>
        <v>20598.967741935485</v>
      </c>
      <c r="AK25" s="29">
        <f t="shared" si="86"/>
        <v>2176.3657463225827</v>
      </c>
      <c r="AL25" s="111">
        <v>22000</v>
      </c>
    </row>
    <row r="26" spans="1:38" s="184" customFormat="1" ht="17.25" x14ac:dyDescent="0.25">
      <c r="A26" s="133">
        <f t="shared" si="62"/>
        <v>20</v>
      </c>
      <c r="B26" s="104">
        <v>8</v>
      </c>
      <c r="C26" s="213" t="s">
        <v>424</v>
      </c>
      <c r="D26" s="122" t="s">
        <v>33</v>
      </c>
      <c r="E26" s="109">
        <v>31</v>
      </c>
      <c r="F26" s="109">
        <f>VLOOKUP(B26,ATTENDANCE!$B$4:$AS$113,44,0)</f>
        <v>10</v>
      </c>
      <c r="G26" s="109">
        <v>0</v>
      </c>
      <c r="H26" s="110">
        <f t="shared" si="64"/>
        <v>17716</v>
      </c>
      <c r="I26" s="110">
        <v>4722</v>
      </c>
      <c r="J26" s="110">
        <v>12994</v>
      </c>
      <c r="K26" s="110">
        <v>0</v>
      </c>
      <c r="L26" s="110">
        <v>0</v>
      </c>
      <c r="M26" s="114">
        <f t="shared" si="65"/>
        <v>1475.7428</v>
      </c>
      <c r="N26" s="114">
        <f t="shared" si="66"/>
        <v>873.39879999999994</v>
      </c>
      <c r="O26" s="114">
        <f t="shared" si="67"/>
        <v>582.85640000000001</v>
      </c>
      <c r="P26" s="114">
        <f t="shared" si="68"/>
        <v>510.2208</v>
      </c>
      <c r="Q26" s="110">
        <f t="shared" si="69"/>
        <v>1523.2258064516127</v>
      </c>
      <c r="R26" s="110">
        <f t="shared" si="70"/>
        <v>4191.6129032258068</v>
      </c>
      <c r="S26" s="110">
        <f t="shared" si="71"/>
        <v>0</v>
      </c>
      <c r="T26" s="110">
        <f t="shared" si="72"/>
        <v>0</v>
      </c>
      <c r="U26" s="110">
        <f t="shared" si="73"/>
        <v>476.04606451612904</v>
      </c>
      <c r="V26" s="110">
        <f t="shared" si="74"/>
        <v>281.74154838709677</v>
      </c>
      <c r="W26" s="110">
        <f t="shared" si="75"/>
        <v>188.0181935483871</v>
      </c>
      <c r="X26" s="110">
        <f t="shared" si="76"/>
        <v>164.58735483870967</v>
      </c>
      <c r="Y26" s="110">
        <f t="shared" si="77"/>
        <v>0</v>
      </c>
      <c r="Z26" s="110">
        <f t="shared" si="78"/>
        <v>6825.231870967742</v>
      </c>
      <c r="AA26" s="110">
        <f t="shared" si="79"/>
        <v>580.64516129032256</v>
      </c>
      <c r="AB26" s="143">
        <f t="shared" si="87"/>
        <v>51.189239032258065</v>
      </c>
      <c r="AC26" s="114">
        <f t="shared" si="80"/>
        <v>0</v>
      </c>
      <c r="AD26" s="110">
        <v>0</v>
      </c>
      <c r="AE26" s="110">
        <f t="shared" si="81"/>
        <v>631.83440032258068</v>
      </c>
      <c r="AF26" s="143">
        <f t="shared" si="82"/>
        <v>6193</v>
      </c>
      <c r="AG26" s="110">
        <f t="shared" si="83"/>
        <v>629.0322580645161</v>
      </c>
      <c r="AH26" s="110">
        <f t="shared" si="88"/>
        <v>221.82003580645161</v>
      </c>
      <c r="AI26" s="110">
        <f t="shared" si="84"/>
        <v>7676.0841648387095</v>
      </c>
      <c r="AJ26" s="110">
        <f t="shared" si="85"/>
        <v>8582.9032258064508</v>
      </c>
      <c r="AK26" s="29">
        <f t="shared" si="86"/>
        <v>906.81906096774128</v>
      </c>
      <c r="AL26" s="111">
        <v>22000</v>
      </c>
    </row>
    <row r="27" spans="1:38" s="184" customFormat="1" ht="17.25" x14ac:dyDescent="0.25">
      <c r="A27" s="133">
        <f t="shared" si="62"/>
        <v>21</v>
      </c>
      <c r="B27" s="168">
        <v>11958</v>
      </c>
      <c r="C27" s="214" t="s">
        <v>388</v>
      </c>
      <c r="D27" s="122" t="s">
        <v>33</v>
      </c>
      <c r="E27" s="109">
        <v>31</v>
      </c>
      <c r="F27" s="109">
        <f>VLOOKUP(B27,ATTENDANCE!$B$4:$AS$113,44,0)</f>
        <v>6</v>
      </c>
      <c r="G27" s="109">
        <v>0</v>
      </c>
      <c r="H27" s="110">
        <f t="shared" si="64"/>
        <v>20215</v>
      </c>
      <c r="I27" s="110">
        <v>4722</v>
      </c>
      <c r="J27" s="110">
        <v>13778</v>
      </c>
      <c r="K27" s="110">
        <v>1715</v>
      </c>
      <c r="L27" s="110">
        <v>0</v>
      </c>
      <c r="M27" s="114">
        <f t="shared" si="65"/>
        <v>1541.05</v>
      </c>
      <c r="N27" s="114">
        <f t="shared" si="66"/>
        <v>996.59949999999992</v>
      </c>
      <c r="O27" s="114">
        <f t="shared" si="67"/>
        <v>665.07349999999997</v>
      </c>
      <c r="P27" s="114">
        <f t="shared" si="68"/>
        <v>582.19200000000001</v>
      </c>
      <c r="Q27" s="110">
        <f t="shared" si="69"/>
        <v>913.93548387096769</v>
      </c>
      <c r="R27" s="110">
        <f t="shared" si="70"/>
        <v>2666.7096774193546</v>
      </c>
      <c r="S27" s="110">
        <f t="shared" si="71"/>
        <v>331.93548387096774</v>
      </c>
      <c r="T27" s="110">
        <f t="shared" si="72"/>
        <v>0</v>
      </c>
      <c r="U27" s="110">
        <f t="shared" si="73"/>
        <v>298.26774193548385</v>
      </c>
      <c r="V27" s="110">
        <f t="shared" si="74"/>
        <v>192.89022580645161</v>
      </c>
      <c r="W27" s="110">
        <f t="shared" si="75"/>
        <v>128.72390322580645</v>
      </c>
      <c r="X27" s="110">
        <f t="shared" si="76"/>
        <v>112.68232258064518</v>
      </c>
      <c r="Y27" s="110">
        <f t="shared" si="77"/>
        <v>0</v>
      </c>
      <c r="Z27" s="110">
        <f t="shared" si="78"/>
        <v>4645.1448387096771</v>
      </c>
      <c r="AA27" s="110">
        <f t="shared" si="79"/>
        <v>348.38709677419354</v>
      </c>
      <c r="AB27" s="110">
        <v>0</v>
      </c>
      <c r="AC27" s="114">
        <f t="shared" si="80"/>
        <v>0</v>
      </c>
      <c r="AD27" s="110">
        <v>0</v>
      </c>
      <c r="AE27" s="110">
        <f t="shared" si="81"/>
        <v>348.38709677419354</v>
      </c>
      <c r="AF27" s="143">
        <f t="shared" si="82"/>
        <v>4297</v>
      </c>
      <c r="AG27" s="110">
        <f t="shared" si="83"/>
        <v>377.41935483870969</v>
      </c>
      <c r="AH27" s="110">
        <v>1000</v>
      </c>
      <c r="AI27" s="110">
        <f t="shared" si="84"/>
        <v>6022.5641935483864</v>
      </c>
      <c r="AJ27" s="110">
        <f t="shared" si="85"/>
        <v>5149.7419354838712</v>
      </c>
      <c r="AK27" s="29">
        <f t="shared" si="86"/>
        <v>-872.82225806451515</v>
      </c>
      <c r="AL27" s="111">
        <v>22000</v>
      </c>
    </row>
    <row r="28" spans="1:38" s="184" customFormat="1" ht="17.25" x14ac:dyDescent="0.25">
      <c r="A28" s="133">
        <f t="shared" si="62"/>
        <v>22</v>
      </c>
      <c r="B28" s="122">
        <v>11651</v>
      </c>
      <c r="C28" s="122" t="s">
        <v>353</v>
      </c>
      <c r="D28" s="122" t="s">
        <v>33</v>
      </c>
      <c r="E28" s="109">
        <v>31</v>
      </c>
      <c r="F28" s="109">
        <f>VLOOKUP(B28,ATTENDANCE!$B$4:$AS$113,44,0)</f>
        <v>0</v>
      </c>
      <c r="G28" s="109">
        <v>0</v>
      </c>
      <c r="H28" s="110">
        <f t="shared" si="44"/>
        <v>18421</v>
      </c>
      <c r="I28" s="110">
        <v>4722</v>
      </c>
      <c r="J28" s="110">
        <v>13699</v>
      </c>
      <c r="K28" s="110">
        <v>0</v>
      </c>
      <c r="L28" s="110">
        <v>0</v>
      </c>
      <c r="M28" s="114">
        <f t="shared" si="45"/>
        <v>1534.4693</v>
      </c>
      <c r="N28" s="114">
        <f t="shared" si="46"/>
        <v>908.1552999999999</v>
      </c>
      <c r="O28" s="114">
        <f t="shared" si="47"/>
        <v>606.05089999999996</v>
      </c>
      <c r="P28" s="114">
        <f t="shared" si="48"/>
        <v>530.52480000000003</v>
      </c>
      <c r="Q28" s="110">
        <f t="shared" ref="Q28" si="89">I28/E28*F28</f>
        <v>0</v>
      </c>
      <c r="R28" s="110">
        <f t="shared" ref="R28" si="90">J28/E28*F28</f>
        <v>0</v>
      </c>
      <c r="S28" s="110">
        <f t="shared" ref="S28" si="91">+K28/E28*F28</f>
        <v>0</v>
      </c>
      <c r="T28" s="110">
        <f t="shared" ref="T28" si="92">L28/E28*F28</f>
        <v>0</v>
      </c>
      <c r="U28" s="110">
        <f t="shared" ref="U28" si="93">M28/E28*F28</f>
        <v>0</v>
      </c>
      <c r="V28" s="110">
        <f t="shared" ref="V28" si="94">N28/E28*F28</f>
        <v>0</v>
      </c>
      <c r="W28" s="110">
        <f t="shared" ref="W28" si="95">O28/E28*F28</f>
        <v>0</v>
      </c>
      <c r="X28" s="110">
        <f t="shared" ref="X28" si="96">P28/E28*F28</f>
        <v>0</v>
      </c>
      <c r="Y28" s="110">
        <f t="shared" ref="Y28" si="97">(H28+M28+N28+O28+P28)/E28*G28</f>
        <v>0</v>
      </c>
      <c r="Z28" s="110">
        <f t="shared" ref="Z28" si="98">Q28+R28+S28+T28+U28+V28+W28+X28+Y28</f>
        <v>0</v>
      </c>
      <c r="AA28" s="110">
        <f t="shared" si="56"/>
        <v>0</v>
      </c>
      <c r="AB28" s="110">
        <v>0</v>
      </c>
      <c r="AC28" s="114">
        <f t="shared" si="57"/>
        <v>0</v>
      </c>
      <c r="AD28" s="110">
        <v>0</v>
      </c>
      <c r="AE28" s="110">
        <f t="shared" ref="AE28" si="99">AA28+AB28+AC28+AD28</f>
        <v>0</v>
      </c>
      <c r="AF28" s="143">
        <f t="shared" ref="AF28" si="100">ROUND(Z28-AE28,0)</f>
        <v>0</v>
      </c>
      <c r="AG28" s="110">
        <f t="shared" si="60"/>
        <v>0</v>
      </c>
      <c r="AH28" s="110">
        <v>1000</v>
      </c>
      <c r="AI28" s="110">
        <f t="shared" si="61"/>
        <v>1000</v>
      </c>
      <c r="AJ28" s="110">
        <f t="shared" si="63"/>
        <v>0</v>
      </c>
      <c r="AK28" s="29">
        <f t="shared" si="8"/>
        <v>-1000</v>
      </c>
      <c r="AL28" s="111">
        <v>20000</v>
      </c>
    </row>
    <row r="29" spans="1:38" ht="17.25" customHeight="1" x14ac:dyDescent="0.25">
      <c r="A29" s="133"/>
      <c r="B29" s="122"/>
      <c r="C29" s="139" t="s">
        <v>33</v>
      </c>
      <c r="D29" s="139"/>
      <c r="E29" s="115">
        <f t="shared" ref="E29:AL29" si="101">SUM(E16:E28)</f>
        <v>403</v>
      </c>
      <c r="F29" s="115">
        <f t="shared" si="101"/>
        <v>270</v>
      </c>
      <c r="G29" s="115">
        <f t="shared" si="101"/>
        <v>0</v>
      </c>
      <c r="H29" s="112">
        <f t="shared" si="101"/>
        <v>242434</v>
      </c>
      <c r="I29" s="112">
        <f t="shared" si="101"/>
        <v>61386</v>
      </c>
      <c r="J29" s="112">
        <f t="shared" si="101"/>
        <v>173468</v>
      </c>
      <c r="K29" s="112">
        <f t="shared" si="101"/>
        <v>7580</v>
      </c>
      <c r="L29" s="112">
        <f t="shared" si="101"/>
        <v>0</v>
      </c>
      <c r="M29" s="112">
        <f t="shared" si="101"/>
        <v>19563.338199999998</v>
      </c>
      <c r="N29" s="112">
        <f t="shared" si="101"/>
        <v>11951.9962</v>
      </c>
      <c r="O29" s="112">
        <f t="shared" si="101"/>
        <v>7976.0785999999989</v>
      </c>
      <c r="P29" s="112">
        <f t="shared" si="101"/>
        <v>6982.0992000000006</v>
      </c>
      <c r="Q29" s="112">
        <f t="shared" si="101"/>
        <v>41127.096774193553</v>
      </c>
      <c r="R29" s="112">
        <f t="shared" si="101"/>
        <v>116111.74193548385</v>
      </c>
      <c r="S29" s="112">
        <f t="shared" si="101"/>
        <v>5754.3548387096771</v>
      </c>
      <c r="T29" s="112">
        <f t="shared" si="101"/>
        <v>0</v>
      </c>
      <c r="U29" s="112">
        <f t="shared" si="101"/>
        <v>13097.99526451613</v>
      </c>
      <c r="V29" s="112">
        <f t="shared" si="101"/>
        <v>8035.564441935484</v>
      </c>
      <c r="W29" s="112">
        <f t="shared" si="101"/>
        <v>5362.4760677419354</v>
      </c>
      <c r="X29" s="112">
        <f t="shared" si="101"/>
        <v>4694.2039741935496</v>
      </c>
      <c r="Y29" s="112">
        <f t="shared" si="101"/>
        <v>0</v>
      </c>
      <c r="Z29" s="112">
        <f t="shared" si="101"/>
        <v>194183.43329677419</v>
      </c>
      <c r="AA29" s="112">
        <f t="shared" si="101"/>
        <v>15677.41935483871</v>
      </c>
      <c r="AB29" s="112">
        <f t="shared" si="101"/>
        <v>772.95750938709671</v>
      </c>
      <c r="AC29" s="112">
        <f t="shared" si="101"/>
        <v>1450</v>
      </c>
      <c r="AD29" s="112">
        <f t="shared" si="101"/>
        <v>0</v>
      </c>
      <c r="AE29" s="112">
        <f t="shared" si="101"/>
        <v>17900.376864225804</v>
      </c>
      <c r="AF29" s="112">
        <f t="shared" si="101"/>
        <v>176283</v>
      </c>
      <c r="AG29" s="112">
        <f t="shared" si="101"/>
        <v>16983.870967741932</v>
      </c>
      <c r="AH29" s="112">
        <f t="shared" si="101"/>
        <v>9349.482540677418</v>
      </c>
      <c r="AI29" s="112">
        <f t="shared" si="101"/>
        <v>220516.78680519355</v>
      </c>
      <c r="AJ29" s="112">
        <f t="shared" si="101"/>
        <v>231738.38709677421</v>
      </c>
      <c r="AK29" s="112">
        <f t="shared" si="101"/>
        <v>11221.600291580649</v>
      </c>
      <c r="AL29" s="112">
        <f t="shared" si="101"/>
        <v>284800</v>
      </c>
    </row>
    <row r="30" spans="1:38" ht="17.25" customHeight="1" x14ac:dyDescent="0.25">
      <c r="A30" s="133">
        <f>A28+1</f>
        <v>23</v>
      </c>
      <c r="B30" s="122">
        <v>11311</v>
      </c>
      <c r="C30" s="122" t="s">
        <v>275</v>
      </c>
      <c r="D30" s="122" t="s">
        <v>38</v>
      </c>
      <c r="E30" s="109">
        <v>31</v>
      </c>
      <c r="F30" s="109">
        <f>VLOOKUP(B30,ATTENDANCE!$B$4:$AS$113,44,0)</f>
        <v>31</v>
      </c>
      <c r="G30" s="109">
        <v>0</v>
      </c>
      <c r="H30" s="110">
        <f t="shared" ref="H30" si="102">I30+J30+K30+L30</f>
        <v>18955</v>
      </c>
      <c r="I30" s="110">
        <v>4722</v>
      </c>
      <c r="J30" s="110">
        <v>13778</v>
      </c>
      <c r="K30" s="110">
        <v>455</v>
      </c>
      <c r="L30" s="110">
        <v>0</v>
      </c>
      <c r="M30" s="110">
        <f>(I30+J30)*8.33%</f>
        <v>1541.05</v>
      </c>
      <c r="N30" s="110">
        <f>H30*4.93%</f>
        <v>934.48149999999998</v>
      </c>
      <c r="O30" s="110">
        <f>H30*3.29%</f>
        <v>623.61950000000002</v>
      </c>
      <c r="P30" s="110">
        <f>H30*2.88%</f>
        <v>545.904</v>
      </c>
      <c r="Q30" s="110">
        <f>I30/E30*F30</f>
        <v>4722</v>
      </c>
      <c r="R30" s="110">
        <f>J30/E30*F30</f>
        <v>13778</v>
      </c>
      <c r="S30" s="110">
        <f>+K30/E30*F30</f>
        <v>455</v>
      </c>
      <c r="T30" s="110">
        <f>L30/E30*F30</f>
        <v>0</v>
      </c>
      <c r="U30" s="110">
        <f>M30/E30*F30</f>
        <v>1541.05</v>
      </c>
      <c r="V30" s="110">
        <f>N30/E30*F30</f>
        <v>934.48149999999998</v>
      </c>
      <c r="W30" s="110">
        <f>O30/E30*F30</f>
        <v>623.61950000000002</v>
      </c>
      <c r="X30" s="110">
        <f>P30/E30*F30</f>
        <v>545.904</v>
      </c>
      <c r="Y30" s="110">
        <f>(H30+M30+N30+O30+P30)/E30*G30</f>
        <v>0</v>
      </c>
      <c r="Z30" s="110">
        <f>Q30+R30+S30+T30+U30+V30+W30+X30+Y30</f>
        <v>22600.055</v>
      </c>
      <c r="AA30" s="110">
        <f t="shared" ref="AA30:AA33" si="103">1800*F30/E30</f>
        <v>1800</v>
      </c>
      <c r="AB30" s="110">
        <v>0</v>
      </c>
      <c r="AC30" s="110">
        <f t="shared" ref="AC30" si="104">IF(Z30&gt;20000,200,IF(Z30&gt;15000,150,0))</f>
        <v>200</v>
      </c>
      <c r="AD30" s="110">
        <v>0</v>
      </c>
      <c r="AE30" s="110">
        <f t="shared" ref="AE30" si="105">AA30+AB30+AC30+AD30</f>
        <v>2000</v>
      </c>
      <c r="AF30" s="143">
        <f t="shared" ref="AF30" si="106">ROUND(Z30-AE30,0)</f>
        <v>20600</v>
      </c>
      <c r="AG30" s="110">
        <f t="shared" ref="AG30:AG33" si="107">AA30*13/12</f>
        <v>1950</v>
      </c>
      <c r="AH30" s="110">
        <v>1000</v>
      </c>
      <c r="AI30" s="110">
        <f t="shared" ref="AI30" si="108">Z30+AG30+AH30</f>
        <v>25550.055</v>
      </c>
      <c r="AJ30" s="110">
        <f t="shared" ref="AJ30:AJ33" si="109">26472*(F30+G30)/E30</f>
        <v>26472</v>
      </c>
      <c r="AK30" s="29">
        <f t="shared" si="8"/>
        <v>921.94499999999971</v>
      </c>
      <c r="AL30" s="111">
        <v>20600</v>
      </c>
    </row>
    <row r="31" spans="1:38" ht="17.25" customHeight="1" x14ac:dyDescent="0.25">
      <c r="A31" s="133">
        <f>A30+1</f>
        <v>24</v>
      </c>
      <c r="B31" s="168">
        <v>11376</v>
      </c>
      <c r="C31" s="209" t="s">
        <v>390</v>
      </c>
      <c r="D31" s="122" t="s">
        <v>38</v>
      </c>
      <c r="E31" s="109">
        <v>31</v>
      </c>
      <c r="F31" s="109">
        <f>VLOOKUP(B31,ATTENDANCE!$B$4:$AS$113,44,0)</f>
        <v>31</v>
      </c>
      <c r="G31" s="109">
        <v>0</v>
      </c>
      <c r="H31" s="110">
        <f t="shared" ref="H31:H33" si="110">I31+J31+K31+L31</f>
        <v>20665</v>
      </c>
      <c r="I31" s="110">
        <v>4722</v>
      </c>
      <c r="J31" s="110">
        <v>13778</v>
      </c>
      <c r="K31" s="110">
        <v>2165</v>
      </c>
      <c r="L31" s="110">
        <v>0</v>
      </c>
      <c r="M31" s="110">
        <f>(I31+J31)*8.33%</f>
        <v>1541.05</v>
      </c>
      <c r="N31" s="110">
        <f>H31*4.93%</f>
        <v>1018.7845</v>
      </c>
      <c r="O31" s="110">
        <f>H31*3.29%</f>
        <v>679.87849999999992</v>
      </c>
      <c r="P31" s="110">
        <f>H31*2.88%</f>
        <v>595.15199999999993</v>
      </c>
      <c r="Q31" s="110">
        <f>I31/E31*F31</f>
        <v>4722</v>
      </c>
      <c r="R31" s="110">
        <f>J31/E31*F31</f>
        <v>13778</v>
      </c>
      <c r="S31" s="110">
        <f>+K31/E31*F31</f>
        <v>2165</v>
      </c>
      <c r="T31" s="110">
        <f>L31/E31*F31</f>
        <v>0</v>
      </c>
      <c r="U31" s="110">
        <f>M31/E31*F31</f>
        <v>1541.05</v>
      </c>
      <c r="V31" s="110">
        <f>N31/E31*F31</f>
        <v>1018.7845</v>
      </c>
      <c r="W31" s="110">
        <f>O31/E31*F31</f>
        <v>679.87849999999992</v>
      </c>
      <c r="X31" s="110">
        <f>P31/E31*F31</f>
        <v>595.15199999999993</v>
      </c>
      <c r="Y31" s="110">
        <f>(H31+M31+N31+O31+P31)/E31*G31</f>
        <v>0</v>
      </c>
      <c r="Z31" s="110">
        <f>Q31+R31+S31+T31+U31+V31+W31+X31+Y31</f>
        <v>24499.864999999998</v>
      </c>
      <c r="AA31" s="110">
        <f t="shared" si="103"/>
        <v>1800</v>
      </c>
      <c r="AB31" s="110">
        <v>0</v>
      </c>
      <c r="AC31" s="110">
        <f t="shared" ref="AC31:AC32" si="111">IF(Z31&gt;20000,200,IF(Z31&gt;15000,150,0))</f>
        <v>200</v>
      </c>
      <c r="AD31" s="110">
        <v>0</v>
      </c>
      <c r="AE31" s="110">
        <f t="shared" ref="AE31:AE32" si="112">AA31+AB31+AC31+AD31</f>
        <v>2000</v>
      </c>
      <c r="AF31" s="143">
        <f t="shared" ref="AF31" si="113">ROUND(Z31-AE31,0)</f>
        <v>22500</v>
      </c>
      <c r="AG31" s="110">
        <f t="shared" si="107"/>
        <v>1950</v>
      </c>
      <c r="AH31" s="110">
        <v>1000</v>
      </c>
      <c r="AI31" s="110">
        <f t="shared" ref="AI31" si="114">Z31+AG31+AH31</f>
        <v>27449.864999999998</v>
      </c>
      <c r="AJ31" s="110">
        <f t="shared" si="109"/>
        <v>26472</v>
      </c>
      <c r="AK31" s="29">
        <f t="shared" ref="AK31" si="115">AJ31-AI31</f>
        <v>-977.86499999999796</v>
      </c>
      <c r="AL31" s="111">
        <v>23000</v>
      </c>
    </row>
    <row r="32" spans="1:38" ht="17.25" customHeight="1" x14ac:dyDescent="0.25">
      <c r="A32" s="133">
        <f>A31+1</f>
        <v>25</v>
      </c>
      <c r="B32" s="170">
        <v>11</v>
      </c>
      <c r="C32" s="169" t="s">
        <v>432</v>
      </c>
      <c r="D32" s="122" t="s">
        <v>38</v>
      </c>
      <c r="E32" s="109">
        <v>31</v>
      </c>
      <c r="F32" s="109">
        <f>VLOOKUP(B32,ATTENDANCE!$B$4:$AS$113,44,0)</f>
        <v>28</v>
      </c>
      <c r="G32" s="109">
        <v>0</v>
      </c>
      <c r="H32" s="110">
        <f t="shared" ref="H32" si="116">I32+J32+K32+L32</f>
        <v>18002</v>
      </c>
      <c r="I32" s="110">
        <v>4722</v>
      </c>
      <c r="J32" s="110">
        <v>13280</v>
      </c>
      <c r="K32" s="110">
        <v>0</v>
      </c>
      <c r="L32" s="110">
        <v>0</v>
      </c>
      <c r="M32" s="110">
        <f>(I32+J32)*8.33%</f>
        <v>1499.5665999999999</v>
      </c>
      <c r="N32" s="110">
        <f>H32*4.93%</f>
        <v>887.4985999999999</v>
      </c>
      <c r="O32" s="110">
        <f>H32*3.29%</f>
        <v>592.26580000000001</v>
      </c>
      <c r="P32" s="110">
        <f>H32*2.88%</f>
        <v>518.45759999999996</v>
      </c>
      <c r="Q32" s="110">
        <f>I32/E32*F32</f>
        <v>4265.0322580645161</v>
      </c>
      <c r="R32" s="110">
        <f>J32/E32*F32</f>
        <v>11994.838709677419</v>
      </c>
      <c r="S32" s="110">
        <f>+K32/E32*F32</f>
        <v>0</v>
      </c>
      <c r="T32" s="110">
        <f>L32/E32*F32</f>
        <v>0</v>
      </c>
      <c r="U32" s="110">
        <f>M32/E32*F32</f>
        <v>1354.4472516129031</v>
      </c>
      <c r="V32" s="110">
        <f>N32/E32*F32</f>
        <v>801.61163870967732</v>
      </c>
      <c r="W32" s="110">
        <f>O32/E32*F32</f>
        <v>534.94975483870974</v>
      </c>
      <c r="X32" s="110">
        <f>P32/E32*F32</f>
        <v>468.28428387096773</v>
      </c>
      <c r="Y32" s="110">
        <f t="shared" ref="Y32" si="117">(H32+M32+N32+O32+P32)/E32*G32</f>
        <v>0</v>
      </c>
      <c r="Z32" s="110">
        <f t="shared" ref="Z32" si="118">Q32+R32+S32+T32+U32+V32+W32+X32+Y32</f>
        <v>19419.163896774193</v>
      </c>
      <c r="AA32" s="110">
        <f t="shared" si="103"/>
        <v>1625.8064516129032</v>
      </c>
      <c r="AB32" s="110">
        <v>0</v>
      </c>
      <c r="AC32" s="114">
        <f t="shared" si="111"/>
        <v>150</v>
      </c>
      <c r="AD32" s="110">
        <v>0</v>
      </c>
      <c r="AE32" s="110">
        <f t="shared" si="112"/>
        <v>1775.8064516129032</v>
      </c>
      <c r="AF32" s="143">
        <f t="shared" ref="AF32" si="119">ROUND(Z32-AE32,0)</f>
        <v>17643</v>
      </c>
      <c r="AG32" s="110">
        <f t="shared" ref="AG32" si="120">AA32*13/12</f>
        <v>1761.2903225806451</v>
      </c>
      <c r="AH32" s="110">
        <v>1000</v>
      </c>
      <c r="AI32" s="110">
        <f t="shared" ref="AI32" si="121">Z32+AG32+AH32</f>
        <v>22180.454219354837</v>
      </c>
      <c r="AJ32" s="110">
        <f t="shared" ref="AJ32" si="122">26472*(F32+G32)/E32</f>
        <v>23910.193548387098</v>
      </c>
      <c r="AK32" s="29">
        <f t="shared" ref="AK32" si="123">AJ32-AI32</f>
        <v>1729.7393290322616</v>
      </c>
      <c r="AL32" s="111">
        <v>23000</v>
      </c>
    </row>
    <row r="33" spans="1:38" ht="17.25" customHeight="1" x14ac:dyDescent="0.25">
      <c r="A33" s="133">
        <f>A32+1</f>
        <v>26</v>
      </c>
      <c r="B33" s="122">
        <v>10990</v>
      </c>
      <c r="C33" s="122" t="s">
        <v>39</v>
      </c>
      <c r="D33" s="122" t="s">
        <v>38</v>
      </c>
      <c r="E33" s="109">
        <v>31</v>
      </c>
      <c r="F33" s="109">
        <f>VLOOKUP(B33,ATTENDANCE!$B$4:$AS$113,44,0)</f>
        <v>2</v>
      </c>
      <c r="G33" s="109">
        <v>0</v>
      </c>
      <c r="H33" s="110">
        <f t="shared" si="110"/>
        <v>19765</v>
      </c>
      <c r="I33" s="110">
        <v>4722</v>
      </c>
      <c r="J33" s="110">
        <v>13778</v>
      </c>
      <c r="K33" s="110">
        <v>1265</v>
      </c>
      <c r="L33" s="110">
        <v>0</v>
      </c>
      <c r="M33" s="110">
        <f>(I33+J33)*8.33%</f>
        <v>1541.05</v>
      </c>
      <c r="N33" s="110">
        <f>H33*4.93%</f>
        <v>974.41449999999998</v>
      </c>
      <c r="O33" s="110">
        <f>H33*3.29%</f>
        <v>650.26850000000002</v>
      </c>
      <c r="P33" s="110">
        <f>H33*2.88%</f>
        <v>569.23199999999997</v>
      </c>
      <c r="Q33" s="110">
        <f t="shared" ref="Q33" si="124">I33/E33*F33</f>
        <v>304.64516129032256</v>
      </c>
      <c r="R33" s="110">
        <f t="shared" ref="R33" si="125">J33/E33*F33</f>
        <v>888.90322580645159</v>
      </c>
      <c r="S33" s="110">
        <f t="shared" ref="S33" si="126">+K33/E33*F33</f>
        <v>81.612903225806448</v>
      </c>
      <c r="T33" s="110">
        <f t="shared" ref="T33" si="127">L33/E33*F33</f>
        <v>0</v>
      </c>
      <c r="U33" s="110">
        <f t="shared" ref="U33" si="128">M33/E33*F33</f>
        <v>99.42258064516129</v>
      </c>
      <c r="V33" s="110">
        <f t="shared" ref="V33" si="129">N33/E33*F33</f>
        <v>62.865451612903222</v>
      </c>
      <c r="W33" s="110">
        <f t="shared" ref="W33" si="130">O33/E33*F33</f>
        <v>41.952806451612908</v>
      </c>
      <c r="X33" s="110">
        <f t="shared" ref="X33" si="131">P33/E33*F33</f>
        <v>36.724645161290319</v>
      </c>
      <c r="Y33" s="110">
        <f t="shared" ref="Y33" si="132">(H33+M33+N33+O33+P33)/E33*G33</f>
        <v>0</v>
      </c>
      <c r="Z33" s="110">
        <f t="shared" si="4"/>
        <v>1516.1267741935483</v>
      </c>
      <c r="AA33" s="110">
        <f t="shared" si="103"/>
        <v>116.12903225806451</v>
      </c>
      <c r="AB33" s="110">
        <v>0</v>
      </c>
      <c r="AC33" s="110">
        <f>IF(Z33&gt;20000,200,IF(Z33&gt;15000,150,0))</f>
        <v>0</v>
      </c>
      <c r="AD33" s="110">
        <v>0</v>
      </c>
      <c r="AE33" s="110">
        <f>AA33+AB33+AC33+AD33</f>
        <v>116.12903225806451</v>
      </c>
      <c r="AF33" s="143">
        <f>ROUND(Z33-AE33,0)</f>
        <v>1400</v>
      </c>
      <c r="AG33" s="110">
        <f t="shared" si="107"/>
        <v>125.80645161290322</v>
      </c>
      <c r="AH33" s="110">
        <v>1000</v>
      </c>
      <c r="AI33" s="110">
        <f>Z33+AG33+AH33</f>
        <v>2641.9332258064514</v>
      </c>
      <c r="AJ33" s="110">
        <f t="shared" si="109"/>
        <v>1707.8709677419354</v>
      </c>
      <c r="AK33" s="29">
        <f t="shared" si="8"/>
        <v>-934.06225806451607</v>
      </c>
      <c r="AL33" s="110">
        <v>21500</v>
      </c>
    </row>
    <row r="34" spans="1:38" ht="17.25" x14ac:dyDescent="0.25">
      <c r="A34" s="133"/>
      <c r="B34" s="122"/>
      <c r="C34" s="139" t="s">
        <v>154</v>
      </c>
      <c r="D34" s="139"/>
      <c r="E34" s="115">
        <f t="shared" ref="E34:AL34" si="133">SUM(E30:E33)</f>
        <v>124</v>
      </c>
      <c r="F34" s="115">
        <f t="shared" si="133"/>
        <v>92</v>
      </c>
      <c r="G34" s="115">
        <f t="shared" si="133"/>
        <v>0</v>
      </c>
      <c r="H34" s="112">
        <f t="shared" si="133"/>
        <v>77387</v>
      </c>
      <c r="I34" s="112">
        <f t="shared" si="133"/>
        <v>18888</v>
      </c>
      <c r="J34" s="112">
        <f t="shared" si="133"/>
        <v>54614</v>
      </c>
      <c r="K34" s="112">
        <f t="shared" si="133"/>
        <v>3885</v>
      </c>
      <c r="L34" s="112">
        <f t="shared" si="133"/>
        <v>0</v>
      </c>
      <c r="M34" s="112">
        <f t="shared" si="133"/>
        <v>6122.7165999999997</v>
      </c>
      <c r="N34" s="112">
        <f t="shared" si="133"/>
        <v>3815.1790999999998</v>
      </c>
      <c r="O34" s="112">
        <f t="shared" si="133"/>
        <v>2546.0323000000003</v>
      </c>
      <c r="P34" s="112">
        <f t="shared" si="133"/>
        <v>2228.7456000000002</v>
      </c>
      <c r="Q34" s="112">
        <f t="shared" si="133"/>
        <v>14013.677419354837</v>
      </c>
      <c r="R34" s="112">
        <f t="shared" si="133"/>
        <v>40439.741935483871</v>
      </c>
      <c r="S34" s="112">
        <f t="shared" si="133"/>
        <v>2701.6129032258063</v>
      </c>
      <c r="T34" s="112">
        <f t="shared" si="133"/>
        <v>0</v>
      </c>
      <c r="U34" s="112">
        <f t="shared" si="133"/>
        <v>4535.9698322580643</v>
      </c>
      <c r="V34" s="112">
        <f t="shared" si="133"/>
        <v>2817.7430903225804</v>
      </c>
      <c r="W34" s="112">
        <f t="shared" si="133"/>
        <v>1880.4005612903229</v>
      </c>
      <c r="X34" s="112">
        <f t="shared" si="133"/>
        <v>1646.0649290322581</v>
      </c>
      <c r="Y34" s="112">
        <f t="shared" si="133"/>
        <v>0</v>
      </c>
      <c r="Z34" s="112">
        <f t="shared" si="133"/>
        <v>68035.210670967732</v>
      </c>
      <c r="AA34" s="112">
        <f t="shared" si="133"/>
        <v>5341.9354838709678</v>
      </c>
      <c r="AB34" s="112">
        <f t="shared" si="133"/>
        <v>0</v>
      </c>
      <c r="AC34" s="112">
        <f t="shared" si="133"/>
        <v>550</v>
      </c>
      <c r="AD34" s="112">
        <f t="shared" si="133"/>
        <v>0</v>
      </c>
      <c r="AE34" s="112">
        <f t="shared" si="133"/>
        <v>5891.9354838709678</v>
      </c>
      <c r="AF34" s="112">
        <f t="shared" si="133"/>
        <v>62143</v>
      </c>
      <c r="AG34" s="112">
        <f t="shared" si="133"/>
        <v>5787.0967741935483</v>
      </c>
      <c r="AH34" s="112">
        <f t="shared" si="133"/>
        <v>4000</v>
      </c>
      <c r="AI34" s="112">
        <f t="shared" si="133"/>
        <v>77822.307445161292</v>
      </c>
      <c r="AJ34" s="112">
        <f t="shared" si="133"/>
        <v>78562.06451612903</v>
      </c>
      <c r="AK34" s="112">
        <f t="shared" si="133"/>
        <v>739.75707096774727</v>
      </c>
      <c r="AL34" s="112">
        <f t="shared" si="133"/>
        <v>88100</v>
      </c>
    </row>
    <row r="35" spans="1:38" s="184" customFormat="1" ht="17.25" x14ac:dyDescent="0.25">
      <c r="A35" s="133">
        <f>A33+1</f>
        <v>27</v>
      </c>
      <c r="B35" s="122">
        <v>11907</v>
      </c>
      <c r="C35" s="122" t="s">
        <v>377</v>
      </c>
      <c r="D35" s="122" t="s">
        <v>43</v>
      </c>
      <c r="E35" s="109">
        <v>31</v>
      </c>
      <c r="F35" s="109">
        <f>VLOOKUP(B35,ATTENDANCE!$B$4:$AS$113,44,0)</f>
        <v>31</v>
      </c>
      <c r="G35" s="109">
        <v>0</v>
      </c>
      <c r="H35" s="110">
        <f t="shared" ref="H35" si="134">I35+J35+K35+L35</f>
        <v>17835</v>
      </c>
      <c r="I35" s="110">
        <v>4722</v>
      </c>
      <c r="J35" s="110">
        <v>13113</v>
      </c>
      <c r="K35" s="110">
        <v>0</v>
      </c>
      <c r="L35" s="110">
        <v>0</v>
      </c>
      <c r="M35" s="110">
        <f>(I35+J35)*8.33%</f>
        <v>1485.6555000000001</v>
      </c>
      <c r="N35" s="110">
        <f>H35*4.93%</f>
        <v>879.26549999999997</v>
      </c>
      <c r="O35" s="110">
        <f>H35*3.29%</f>
        <v>586.77149999999995</v>
      </c>
      <c r="P35" s="110">
        <f>H35*2.88%</f>
        <v>513.64800000000002</v>
      </c>
      <c r="Q35" s="110">
        <f>I35/E35*F35</f>
        <v>4722</v>
      </c>
      <c r="R35" s="110">
        <f>J35/E35*F35</f>
        <v>13113</v>
      </c>
      <c r="S35" s="110">
        <f>+K35/E35*F35</f>
        <v>0</v>
      </c>
      <c r="T35" s="110">
        <f>L35/E35*F35</f>
        <v>0</v>
      </c>
      <c r="U35" s="110">
        <f>M35/E35*F35</f>
        <v>1485.6555000000001</v>
      </c>
      <c r="V35" s="110">
        <f>N35/E35*F35</f>
        <v>879.26549999999997</v>
      </c>
      <c r="W35" s="110">
        <f>O35/E35*F35</f>
        <v>586.77149999999995</v>
      </c>
      <c r="X35" s="110">
        <f>P35/E35*F35</f>
        <v>513.64800000000002</v>
      </c>
      <c r="Y35" s="110">
        <f>(H35+M35+N35+O35+P35)/E35*G35</f>
        <v>0</v>
      </c>
      <c r="Z35" s="110">
        <f>Q35+R35+S35+T35+U35+V35+W35+X35+Y35</f>
        <v>21300.340500000002</v>
      </c>
      <c r="AA35" s="110">
        <f t="shared" ref="AA35:AA38" si="135">1800*F35/E35</f>
        <v>1800</v>
      </c>
      <c r="AB35" s="110">
        <v>0</v>
      </c>
      <c r="AC35" s="110">
        <f>IF(Z35&gt;20000,200,IF(Z35&gt;15000,150,0))</f>
        <v>200</v>
      </c>
      <c r="AD35" s="110">
        <v>0</v>
      </c>
      <c r="AE35" s="110">
        <f>AA35+AB35+AC35+AD35</f>
        <v>2000</v>
      </c>
      <c r="AF35" s="111">
        <f>ROUND(Z35-AE35,0)</f>
        <v>19300</v>
      </c>
      <c r="AG35" s="110">
        <f t="shared" ref="AG35:AG38" si="136">AA35*13/12</f>
        <v>1950</v>
      </c>
      <c r="AH35" s="110">
        <v>1000</v>
      </c>
      <c r="AI35" s="110">
        <f>Z35+AG35+AH35</f>
        <v>24250.340500000002</v>
      </c>
      <c r="AJ35" s="110">
        <f>26472*(F35+G35)/E35</f>
        <v>26472</v>
      </c>
      <c r="AK35" s="29">
        <f t="shared" si="8"/>
        <v>2221.6594999999979</v>
      </c>
      <c r="AL35" s="110">
        <v>19300</v>
      </c>
    </row>
    <row r="36" spans="1:38" s="184" customFormat="1" ht="17.25" x14ac:dyDescent="0.25">
      <c r="A36" s="133">
        <f>A35+1</f>
        <v>28</v>
      </c>
      <c r="B36" s="122">
        <v>11273</v>
      </c>
      <c r="C36" s="122" t="s">
        <v>362</v>
      </c>
      <c r="D36" s="122" t="s">
        <v>43</v>
      </c>
      <c r="E36" s="109">
        <v>31</v>
      </c>
      <c r="F36" s="109">
        <f>VLOOKUP(B36,ATTENDANCE!$B$4:$AS$113,44,0)</f>
        <v>31</v>
      </c>
      <c r="G36" s="109">
        <v>0</v>
      </c>
      <c r="H36" s="110">
        <f t="shared" ref="H36" si="137">I36+J36+K36+L36</f>
        <v>19765</v>
      </c>
      <c r="I36" s="110">
        <v>4722</v>
      </c>
      <c r="J36" s="110">
        <v>13778</v>
      </c>
      <c r="K36" s="110">
        <v>1265</v>
      </c>
      <c r="L36" s="110">
        <v>0</v>
      </c>
      <c r="M36" s="110">
        <f t="shared" ref="M36" si="138">(I36+J36)*8.33%</f>
        <v>1541.05</v>
      </c>
      <c r="N36" s="110">
        <f t="shared" ref="N36" si="139">H36*4.93%</f>
        <v>974.41449999999998</v>
      </c>
      <c r="O36" s="110">
        <f t="shared" ref="O36" si="140">H36*3.29%</f>
        <v>650.26850000000002</v>
      </c>
      <c r="P36" s="110">
        <f t="shared" ref="P36" si="141">H36*2.88%</f>
        <v>569.23199999999997</v>
      </c>
      <c r="Q36" s="110">
        <f t="shared" ref="Q36:Q38" si="142">I36/E36*F36</f>
        <v>4722</v>
      </c>
      <c r="R36" s="110">
        <f t="shared" ref="R36:R38" si="143">J36/E36*F36</f>
        <v>13778</v>
      </c>
      <c r="S36" s="110">
        <f t="shared" ref="S36:S38" si="144">+K36/E36*F36</f>
        <v>1265</v>
      </c>
      <c r="T36" s="110">
        <f t="shared" ref="T36:T38" si="145">L36/E36*F36</f>
        <v>0</v>
      </c>
      <c r="U36" s="110">
        <f t="shared" ref="U36:U38" si="146">M36/E36*F36</f>
        <v>1541.05</v>
      </c>
      <c r="V36" s="110">
        <f t="shared" ref="V36:V38" si="147">N36/E36*F36</f>
        <v>974.41449999999998</v>
      </c>
      <c r="W36" s="110">
        <f t="shared" ref="W36:W38" si="148">O36/E36*F36</f>
        <v>650.26850000000002</v>
      </c>
      <c r="X36" s="110">
        <f t="shared" ref="X36:X38" si="149">P36/E36*F36</f>
        <v>569.23199999999997</v>
      </c>
      <c r="Y36" s="110">
        <f t="shared" ref="Y36:Y38" si="150">(H36+M36+N36+O36+P36)/E36*G36</f>
        <v>0</v>
      </c>
      <c r="Z36" s="110">
        <f t="shared" ref="Z36:Z38" si="151">Q36+R36+S36+T36+U36+V36+W36+X36+Y36</f>
        <v>23499.964999999997</v>
      </c>
      <c r="AA36" s="110">
        <f t="shared" si="135"/>
        <v>1800</v>
      </c>
      <c r="AB36" s="110">
        <v>0</v>
      </c>
      <c r="AC36" s="110">
        <f t="shared" ref="AC36:AC38" si="152">IF(Z36&gt;20000,200,IF(Z36&gt;15000,150,0))</f>
        <v>200</v>
      </c>
      <c r="AD36" s="110">
        <v>0</v>
      </c>
      <c r="AE36" s="110">
        <f t="shared" ref="AE36:AE38" si="153">AA36+AB36+AC36+AD36</f>
        <v>2000</v>
      </c>
      <c r="AF36" s="143">
        <f t="shared" ref="AF36:AF38" si="154">ROUND(Z36-AE36,0)</f>
        <v>21500</v>
      </c>
      <c r="AG36" s="110">
        <f t="shared" si="136"/>
        <v>1950</v>
      </c>
      <c r="AH36" s="110">
        <v>1000</v>
      </c>
      <c r="AI36" s="110">
        <f>Z36+AG36+AH36</f>
        <v>26449.964999999997</v>
      </c>
      <c r="AJ36" s="110">
        <f>26472*(F36+G36)/E36</f>
        <v>26472</v>
      </c>
      <c r="AK36" s="29">
        <f t="shared" si="8"/>
        <v>22.035000000003492</v>
      </c>
      <c r="AL36" s="110">
        <v>21500</v>
      </c>
    </row>
    <row r="37" spans="1:38" ht="17.25" x14ac:dyDescent="0.25">
      <c r="A37" s="133">
        <f t="shared" ref="A37:A38" si="155">A36+1</f>
        <v>29</v>
      </c>
      <c r="B37" s="122">
        <v>11000</v>
      </c>
      <c r="C37" s="122" t="s">
        <v>44</v>
      </c>
      <c r="D37" s="122" t="s">
        <v>43</v>
      </c>
      <c r="E37" s="109">
        <v>31</v>
      </c>
      <c r="F37" s="109">
        <f>VLOOKUP(B37,ATTENDANCE!$B$4:$AS$113,44,0)</f>
        <v>31</v>
      </c>
      <c r="G37" s="109">
        <v>0</v>
      </c>
      <c r="H37" s="110">
        <f t="shared" ref="H37:H38" si="156">I37+J37+K37+L37</f>
        <v>23779.5</v>
      </c>
      <c r="I37" s="110">
        <v>4722</v>
      </c>
      <c r="J37" s="110">
        <v>13778</v>
      </c>
      <c r="K37" s="110">
        <v>5279.5</v>
      </c>
      <c r="L37" s="110">
        <v>0</v>
      </c>
      <c r="M37" s="110">
        <f>(I37+J37)*8.33%</f>
        <v>1541.05</v>
      </c>
      <c r="N37" s="110">
        <f>H37*4.93%</f>
        <v>1172.32935</v>
      </c>
      <c r="O37" s="110">
        <f>H37*3.29%</f>
        <v>782.34555</v>
      </c>
      <c r="P37" s="110">
        <f>H37*2.88%</f>
        <v>684.84960000000001</v>
      </c>
      <c r="Q37" s="110">
        <f t="shared" si="142"/>
        <v>4722</v>
      </c>
      <c r="R37" s="110">
        <f t="shared" si="143"/>
        <v>13778</v>
      </c>
      <c r="S37" s="110">
        <f t="shared" si="144"/>
        <v>5279.5</v>
      </c>
      <c r="T37" s="110">
        <f t="shared" si="145"/>
        <v>0</v>
      </c>
      <c r="U37" s="110">
        <f t="shared" si="146"/>
        <v>1541.05</v>
      </c>
      <c r="V37" s="110">
        <f t="shared" si="147"/>
        <v>1172.32935</v>
      </c>
      <c r="W37" s="110">
        <f t="shared" si="148"/>
        <v>782.34555</v>
      </c>
      <c r="X37" s="110">
        <f t="shared" si="149"/>
        <v>684.84960000000001</v>
      </c>
      <c r="Y37" s="110">
        <f t="shared" si="150"/>
        <v>0</v>
      </c>
      <c r="Z37" s="110">
        <f t="shared" si="151"/>
        <v>27960.074500000002</v>
      </c>
      <c r="AA37" s="110">
        <f t="shared" si="135"/>
        <v>1800</v>
      </c>
      <c r="AB37" s="110">
        <v>0</v>
      </c>
      <c r="AC37" s="110">
        <f t="shared" si="152"/>
        <v>200</v>
      </c>
      <c r="AD37" s="110">
        <v>0</v>
      </c>
      <c r="AE37" s="110">
        <f t="shared" si="153"/>
        <v>2000</v>
      </c>
      <c r="AF37" s="143">
        <f t="shared" si="154"/>
        <v>25960</v>
      </c>
      <c r="AG37" s="110">
        <f t="shared" si="136"/>
        <v>1950</v>
      </c>
      <c r="AH37" s="110">
        <v>1000</v>
      </c>
      <c r="AI37" s="110">
        <f>Z37+AG37+AH37</f>
        <v>30910.074500000002</v>
      </c>
      <c r="AJ37" s="110">
        <f>26472*(F37+G37)/E37</f>
        <v>26472</v>
      </c>
      <c r="AK37" s="29">
        <f t="shared" si="8"/>
        <v>-4438.0745000000024</v>
      </c>
      <c r="AL37" s="110">
        <v>25960</v>
      </c>
    </row>
    <row r="38" spans="1:38" s="184" customFormat="1" ht="17.25" x14ac:dyDescent="0.25">
      <c r="A38" s="133">
        <f t="shared" si="155"/>
        <v>30</v>
      </c>
      <c r="B38" s="122">
        <v>11551</v>
      </c>
      <c r="C38" s="122" t="s">
        <v>344</v>
      </c>
      <c r="D38" s="122" t="s">
        <v>43</v>
      </c>
      <c r="E38" s="109">
        <v>31</v>
      </c>
      <c r="F38" s="109">
        <f>VLOOKUP(B38,ATTENDANCE!$B$4:$AS$113,44,0)</f>
        <v>31</v>
      </c>
      <c r="G38" s="109">
        <v>0</v>
      </c>
      <c r="H38" s="110">
        <f t="shared" si="156"/>
        <v>18775</v>
      </c>
      <c r="I38" s="110">
        <v>4722</v>
      </c>
      <c r="J38" s="110">
        <v>13778</v>
      </c>
      <c r="K38" s="110">
        <v>275</v>
      </c>
      <c r="L38" s="110">
        <v>0</v>
      </c>
      <c r="M38" s="110">
        <f>(I38+J38)*8.33%</f>
        <v>1541.05</v>
      </c>
      <c r="N38" s="110">
        <f>H38*4.93%</f>
        <v>925.60749999999996</v>
      </c>
      <c r="O38" s="110">
        <f>H38*3.29%</f>
        <v>617.69749999999999</v>
      </c>
      <c r="P38" s="110">
        <f>H38*2.88%</f>
        <v>540.72</v>
      </c>
      <c r="Q38" s="110">
        <f t="shared" si="142"/>
        <v>4722</v>
      </c>
      <c r="R38" s="110">
        <f t="shared" si="143"/>
        <v>13778</v>
      </c>
      <c r="S38" s="110">
        <f t="shared" si="144"/>
        <v>275</v>
      </c>
      <c r="T38" s="110">
        <f t="shared" si="145"/>
        <v>0</v>
      </c>
      <c r="U38" s="110">
        <f t="shared" si="146"/>
        <v>1541.05</v>
      </c>
      <c r="V38" s="110">
        <f t="shared" si="147"/>
        <v>925.60749999999996</v>
      </c>
      <c r="W38" s="110">
        <f t="shared" si="148"/>
        <v>617.69749999999999</v>
      </c>
      <c r="X38" s="110">
        <f t="shared" si="149"/>
        <v>540.72</v>
      </c>
      <c r="Y38" s="110">
        <f t="shared" si="150"/>
        <v>0</v>
      </c>
      <c r="Z38" s="110">
        <f t="shared" si="151"/>
        <v>22400.074999999997</v>
      </c>
      <c r="AA38" s="110">
        <f t="shared" si="135"/>
        <v>1800</v>
      </c>
      <c r="AB38" s="110">
        <v>0</v>
      </c>
      <c r="AC38" s="110">
        <f t="shared" si="152"/>
        <v>200</v>
      </c>
      <c r="AD38" s="110">
        <v>0</v>
      </c>
      <c r="AE38" s="110">
        <f t="shared" si="153"/>
        <v>2000</v>
      </c>
      <c r="AF38" s="143">
        <f t="shared" si="154"/>
        <v>20400</v>
      </c>
      <c r="AG38" s="110">
        <f t="shared" si="136"/>
        <v>1950</v>
      </c>
      <c r="AH38" s="110">
        <v>1000</v>
      </c>
      <c r="AI38" s="110">
        <f>Z38+AG38+AH38</f>
        <v>25350.074999999997</v>
      </c>
      <c r="AJ38" s="110">
        <f>26472*(F38+G38)/E38</f>
        <v>26472</v>
      </c>
      <c r="AK38" s="29">
        <f t="shared" si="8"/>
        <v>1121.9250000000029</v>
      </c>
      <c r="AL38" s="110">
        <v>20400</v>
      </c>
    </row>
    <row r="39" spans="1:38" ht="17.25" customHeight="1" x14ac:dyDescent="0.25">
      <c r="A39" s="133"/>
      <c r="B39" s="122"/>
      <c r="C39" s="139" t="s">
        <v>43</v>
      </c>
      <c r="D39" s="139"/>
      <c r="E39" s="115">
        <f>SUM(E35:E38)</f>
        <v>124</v>
      </c>
      <c r="F39" s="115">
        <f>SUM(F35:F38)</f>
        <v>124</v>
      </c>
      <c r="G39" s="115">
        <f t="shared" ref="G39:AL39" si="157">SUM(G35:G38)</f>
        <v>0</v>
      </c>
      <c r="H39" s="112">
        <f t="shared" si="157"/>
        <v>80154.5</v>
      </c>
      <c r="I39" s="112">
        <f t="shared" si="157"/>
        <v>18888</v>
      </c>
      <c r="J39" s="112">
        <f t="shared" si="157"/>
        <v>54447</v>
      </c>
      <c r="K39" s="112">
        <f t="shared" si="157"/>
        <v>6819.5</v>
      </c>
      <c r="L39" s="112">
        <f t="shared" si="157"/>
        <v>0</v>
      </c>
      <c r="M39" s="112">
        <f t="shared" si="157"/>
        <v>6108.8055000000004</v>
      </c>
      <c r="N39" s="112">
        <f t="shared" si="157"/>
        <v>3951.6168499999999</v>
      </c>
      <c r="O39" s="112">
        <f t="shared" si="157"/>
        <v>2637.0830500000002</v>
      </c>
      <c r="P39" s="112">
        <f t="shared" si="157"/>
        <v>2308.4495999999999</v>
      </c>
      <c r="Q39" s="112">
        <f t="shared" si="157"/>
        <v>18888</v>
      </c>
      <c r="R39" s="112">
        <f t="shared" si="157"/>
        <v>54447</v>
      </c>
      <c r="S39" s="112">
        <f t="shared" si="157"/>
        <v>6819.5</v>
      </c>
      <c r="T39" s="112">
        <f t="shared" si="157"/>
        <v>0</v>
      </c>
      <c r="U39" s="112">
        <f t="shared" si="157"/>
        <v>6108.8055000000004</v>
      </c>
      <c r="V39" s="112">
        <f t="shared" si="157"/>
        <v>3951.6168499999999</v>
      </c>
      <c r="W39" s="112">
        <f t="shared" si="157"/>
        <v>2637.0830500000002</v>
      </c>
      <c r="X39" s="112">
        <f t="shared" si="157"/>
        <v>2308.4495999999999</v>
      </c>
      <c r="Y39" s="112">
        <f t="shared" si="157"/>
        <v>0</v>
      </c>
      <c r="Z39" s="112">
        <f t="shared" si="157"/>
        <v>95160.455000000002</v>
      </c>
      <c r="AA39" s="112">
        <f t="shared" si="157"/>
        <v>7200</v>
      </c>
      <c r="AB39" s="112">
        <f t="shared" si="157"/>
        <v>0</v>
      </c>
      <c r="AC39" s="112">
        <f t="shared" si="157"/>
        <v>800</v>
      </c>
      <c r="AD39" s="112">
        <f t="shared" si="157"/>
        <v>0</v>
      </c>
      <c r="AE39" s="112">
        <f t="shared" si="157"/>
        <v>8000</v>
      </c>
      <c r="AF39" s="112">
        <f t="shared" si="157"/>
        <v>87160</v>
      </c>
      <c r="AG39" s="112">
        <f t="shared" si="157"/>
        <v>7800</v>
      </c>
      <c r="AH39" s="112">
        <f t="shared" si="157"/>
        <v>4000</v>
      </c>
      <c r="AI39" s="112">
        <f t="shared" si="157"/>
        <v>106960.455</v>
      </c>
      <c r="AJ39" s="112">
        <f t="shared" si="157"/>
        <v>105888</v>
      </c>
      <c r="AK39" s="112">
        <f t="shared" si="157"/>
        <v>-1072.4549999999981</v>
      </c>
      <c r="AL39" s="112">
        <f t="shared" si="157"/>
        <v>87160</v>
      </c>
    </row>
    <row r="40" spans="1:38" ht="17.25" x14ac:dyDescent="0.25">
      <c r="A40" s="133">
        <f t="shared" ref="A40:A65" si="158">A38+1</f>
        <v>31</v>
      </c>
      <c r="B40" s="122">
        <v>10991</v>
      </c>
      <c r="C40" s="122" t="s">
        <v>47</v>
      </c>
      <c r="D40" s="122" t="s">
        <v>48</v>
      </c>
      <c r="E40" s="109">
        <v>31</v>
      </c>
      <c r="F40" s="109">
        <f>VLOOKUP(B40,ATTENDANCE!$B$4:$AS$113,44,0)</f>
        <v>31</v>
      </c>
      <c r="G40" s="109">
        <v>0</v>
      </c>
      <c r="H40" s="110">
        <f t="shared" ref="H40:H41" si="159">I40+J40+K40+L40</f>
        <v>23815.4</v>
      </c>
      <c r="I40" s="110">
        <v>4722</v>
      </c>
      <c r="J40" s="110">
        <v>13778</v>
      </c>
      <c r="K40" s="110">
        <v>5315.4</v>
      </c>
      <c r="L40" s="110">
        <v>0</v>
      </c>
      <c r="M40" s="110">
        <f t="shared" ref="M40:M44" si="160">(I40+J40)*8.33%</f>
        <v>1541.05</v>
      </c>
      <c r="N40" s="110">
        <f t="shared" ref="N40:N44" si="161">H40*4.93%</f>
        <v>1174.0992200000001</v>
      </c>
      <c r="O40" s="110">
        <f t="shared" ref="O40:O44" si="162">H40*3.29%</f>
        <v>783.52665999999999</v>
      </c>
      <c r="P40" s="110">
        <f t="shared" ref="P40:P44" si="163">H40*2.88%</f>
        <v>685.88351999999998</v>
      </c>
      <c r="Q40" s="110">
        <f t="shared" ref="Q40:Q41" si="164">I40/E40*F40</f>
        <v>4722</v>
      </c>
      <c r="R40" s="110">
        <f t="shared" ref="R40:R41" si="165">J40/E40*F40</f>
        <v>13778</v>
      </c>
      <c r="S40" s="110">
        <f t="shared" si="2"/>
        <v>5315.4</v>
      </c>
      <c r="T40" s="110">
        <f t="shared" si="3"/>
        <v>0</v>
      </c>
      <c r="U40" s="110">
        <f t="shared" ref="U40:U41" si="166">M40/E40*F40</f>
        <v>1541.05</v>
      </c>
      <c r="V40" s="110">
        <f t="shared" ref="V40:V41" si="167">N40/E40*F40</f>
        <v>1174.0992200000001</v>
      </c>
      <c r="W40" s="110">
        <f t="shared" ref="W40:W41" si="168">O40/E40*F40</f>
        <v>783.52665999999999</v>
      </c>
      <c r="X40" s="110">
        <f t="shared" ref="X40:X41" si="169">P40/E40*F40</f>
        <v>685.88351999999998</v>
      </c>
      <c r="Y40" s="110">
        <f t="shared" ref="Y40:Y41" si="170">(H40+M40+N40+O40+P40)/E40*G40</f>
        <v>0</v>
      </c>
      <c r="Z40" s="110">
        <f t="shared" si="4"/>
        <v>27999.9594</v>
      </c>
      <c r="AA40" s="110">
        <f t="shared" ref="AA40:AA48" si="171">1800*F40/E40</f>
        <v>1800</v>
      </c>
      <c r="AB40" s="110">
        <v>0</v>
      </c>
      <c r="AC40" s="110">
        <f t="shared" ref="AC40" si="172">IF(Z40&gt;20000,200,IF(Z40&gt;15000,150,0))</f>
        <v>200</v>
      </c>
      <c r="AD40" s="110">
        <v>0</v>
      </c>
      <c r="AE40" s="110">
        <f t="shared" ref="AE40" si="173">AA40+AB40+AC40+AD40</f>
        <v>2000</v>
      </c>
      <c r="AF40" s="143">
        <f t="shared" si="6"/>
        <v>26000</v>
      </c>
      <c r="AG40" s="110">
        <f t="shared" ref="AG40:AG48" si="174">AA40*13/12</f>
        <v>1950</v>
      </c>
      <c r="AH40" s="110">
        <v>1000</v>
      </c>
      <c r="AI40" s="110">
        <f t="shared" ref="AI40:AI59" si="175">Z40+AG40+AH40</f>
        <v>30949.9594</v>
      </c>
      <c r="AJ40" s="110">
        <f>26552*(F40+G40)/E40</f>
        <v>26552</v>
      </c>
      <c r="AK40" s="29">
        <f t="shared" si="8"/>
        <v>-4397.9593999999997</v>
      </c>
      <c r="AL40" s="110">
        <v>26000</v>
      </c>
    </row>
    <row r="41" spans="1:38" ht="18" customHeight="1" x14ac:dyDescent="0.25">
      <c r="A41" s="133">
        <f>A40+1</f>
        <v>32</v>
      </c>
      <c r="B41" s="122">
        <v>11476</v>
      </c>
      <c r="C41" s="122" t="s">
        <v>337</v>
      </c>
      <c r="D41" s="122" t="s">
        <v>48</v>
      </c>
      <c r="E41" s="109">
        <v>31</v>
      </c>
      <c r="F41" s="109">
        <f>VLOOKUP(B41,ATTENDANCE!$B$4:$AS$113,44,0)</f>
        <v>23</v>
      </c>
      <c r="G41" s="109">
        <v>0</v>
      </c>
      <c r="H41" s="110">
        <f t="shared" si="159"/>
        <v>19900</v>
      </c>
      <c r="I41" s="110">
        <v>4722</v>
      </c>
      <c r="J41" s="110">
        <v>13778</v>
      </c>
      <c r="K41" s="110">
        <v>1400</v>
      </c>
      <c r="L41" s="110">
        <v>0</v>
      </c>
      <c r="M41" s="110">
        <f t="shared" si="160"/>
        <v>1541.05</v>
      </c>
      <c r="N41" s="110">
        <f t="shared" si="161"/>
        <v>981.06999999999994</v>
      </c>
      <c r="O41" s="110">
        <f t="shared" si="162"/>
        <v>654.70999999999992</v>
      </c>
      <c r="P41" s="110">
        <f t="shared" si="163"/>
        <v>573.12</v>
      </c>
      <c r="Q41" s="110">
        <f t="shared" si="164"/>
        <v>3503.4193548387093</v>
      </c>
      <c r="R41" s="110">
        <f t="shared" si="165"/>
        <v>10222.387096774193</v>
      </c>
      <c r="S41" s="110">
        <f t="shared" si="2"/>
        <v>1038.7096774193549</v>
      </c>
      <c r="T41" s="110">
        <f t="shared" si="3"/>
        <v>0</v>
      </c>
      <c r="U41" s="110">
        <f t="shared" si="166"/>
        <v>1143.3596774193547</v>
      </c>
      <c r="V41" s="110">
        <f t="shared" si="167"/>
        <v>727.89064516129031</v>
      </c>
      <c r="W41" s="110">
        <f t="shared" si="168"/>
        <v>485.75258064516123</v>
      </c>
      <c r="X41" s="110">
        <f t="shared" si="169"/>
        <v>425.21806451612906</v>
      </c>
      <c r="Y41" s="110">
        <f t="shared" si="170"/>
        <v>0</v>
      </c>
      <c r="Z41" s="110">
        <f t="shared" si="4"/>
        <v>17546.737096774188</v>
      </c>
      <c r="AA41" s="110">
        <f t="shared" si="171"/>
        <v>1335.483870967742</v>
      </c>
      <c r="AB41" s="110">
        <v>0</v>
      </c>
      <c r="AC41" s="110">
        <f t="shared" ref="AC41" si="176">IF(Z41&gt;20000,200,IF(Z41&gt;15000,150,0))</f>
        <v>150</v>
      </c>
      <c r="AD41" s="110">
        <v>0</v>
      </c>
      <c r="AE41" s="110">
        <f t="shared" ref="AE41" si="177">AA41+AB41+AC41+AD41</f>
        <v>1485.483870967742</v>
      </c>
      <c r="AF41" s="143">
        <f t="shared" ref="AF41" si="178">ROUND(Z41-AE41,0)</f>
        <v>16061</v>
      </c>
      <c r="AG41" s="110">
        <f t="shared" si="174"/>
        <v>1446.7741935483871</v>
      </c>
      <c r="AH41" s="110">
        <v>1000</v>
      </c>
      <c r="AI41" s="110">
        <f t="shared" ref="AI41" si="179">Z41+AG41+AH41</f>
        <v>19993.511290322574</v>
      </c>
      <c r="AJ41" s="110">
        <f t="shared" ref="AJ41:AJ48" si="180">26552*(F41+G41)/E41</f>
        <v>19699.870967741936</v>
      </c>
      <c r="AK41" s="29">
        <f t="shared" si="8"/>
        <v>-293.64032258063889</v>
      </c>
      <c r="AL41" s="110">
        <v>21650</v>
      </c>
    </row>
    <row r="42" spans="1:38" ht="17.25" x14ac:dyDescent="0.25">
      <c r="A42" s="133">
        <f t="shared" ref="A42:A48" si="181">A41+1</f>
        <v>33</v>
      </c>
      <c r="B42" s="122">
        <v>11954</v>
      </c>
      <c r="C42" s="122" t="s">
        <v>380</v>
      </c>
      <c r="D42" s="122" t="s">
        <v>48</v>
      </c>
      <c r="E42" s="109">
        <v>31</v>
      </c>
      <c r="F42" s="109">
        <f>VLOOKUP(B42,ATTENDANCE!$B$4:$AS$113,44,0)</f>
        <v>30</v>
      </c>
      <c r="G42" s="109">
        <v>0</v>
      </c>
      <c r="H42" s="110">
        <f t="shared" ref="H42" si="182">I42+J42+K42+L42</f>
        <v>18421</v>
      </c>
      <c r="I42" s="110">
        <v>4722</v>
      </c>
      <c r="J42" s="110">
        <v>13699</v>
      </c>
      <c r="K42" s="110">
        <v>0</v>
      </c>
      <c r="L42" s="110">
        <v>0</v>
      </c>
      <c r="M42" s="110">
        <f>(I42+J42)*8.33%</f>
        <v>1534.4693</v>
      </c>
      <c r="N42" s="110">
        <f>H42*4.93%</f>
        <v>908.1552999999999</v>
      </c>
      <c r="O42" s="110">
        <f>H42*3.29%</f>
        <v>606.05089999999996</v>
      </c>
      <c r="P42" s="110">
        <f>H42*2.88%</f>
        <v>530.52480000000003</v>
      </c>
      <c r="Q42" s="110">
        <f t="shared" ref="Q42:Q45" si="183">I42/E42*F42</f>
        <v>4569.6774193548381</v>
      </c>
      <c r="R42" s="110">
        <f t="shared" ref="R42:R45" si="184">J42/E42*F42</f>
        <v>13257.096774193547</v>
      </c>
      <c r="S42" s="110">
        <f t="shared" ref="S42:S45" si="185">+K42/E42*F42</f>
        <v>0</v>
      </c>
      <c r="T42" s="110">
        <f t="shared" ref="T42:T45" si="186">L42/E42*F42</f>
        <v>0</v>
      </c>
      <c r="U42" s="110">
        <f t="shared" ref="U42:U45" si="187">M42/E42*F42</f>
        <v>1484.9702903225805</v>
      </c>
      <c r="V42" s="110">
        <f t="shared" ref="V42:V45" si="188">N42/E42*F42</f>
        <v>878.85996774193541</v>
      </c>
      <c r="W42" s="110">
        <f t="shared" ref="W42:W45" si="189">O42/E42*F42</f>
        <v>586.50087096774189</v>
      </c>
      <c r="X42" s="110">
        <f t="shared" ref="X42:X45" si="190">P42/E42*F42</f>
        <v>513.41109677419365</v>
      </c>
      <c r="Y42" s="110">
        <f t="shared" ref="Y42:Y45" si="191">(H42+M42+N42+O42+P42)/E42*G42</f>
        <v>0</v>
      </c>
      <c r="Z42" s="110">
        <f t="shared" ref="Z42:Z45" si="192">Q42+R42+S42+T42+U42+V42+W42+X42+Y42</f>
        <v>21290.516419354841</v>
      </c>
      <c r="AA42" s="110">
        <f t="shared" si="171"/>
        <v>1741.9354838709678</v>
      </c>
      <c r="AB42" s="110">
        <v>0</v>
      </c>
      <c r="AC42" s="110">
        <f t="shared" ref="AC42:AC45" si="193">IF(Z42&gt;20000,200,IF(Z42&gt;15000,150,0))</f>
        <v>200</v>
      </c>
      <c r="AD42" s="110">
        <v>0</v>
      </c>
      <c r="AE42" s="110">
        <f t="shared" ref="AE42:AE45" si="194">AA42+AB42+AC42+AD42</f>
        <v>1941.9354838709678</v>
      </c>
      <c r="AF42" s="143">
        <f t="shared" ref="AF42:AF45" si="195">ROUND(Z42-AE42,0)</f>
        <v>19349</v>
      </c>
      <c r="AG42" s="110">
        <f t="shared" si="174"/>
        <v>1887.0967741935485</v>
      </c>
      <c r="AH42" s="110">
        <v>1000</v>
      </c>
      <c r="AI42" s="110">
        <f>Z42+AG42+AH42</f>
        <v>24177.61319354839</v>
      </c>
      <c r="AJ42" s="110">
        <f t="shared" si="180"/>
        <v>25695.483870967742</v>
      </c>
      <c r="AK42" s="29">
        <f t="shared" si="8"/>
        <v>1517.8706774193524</v>
      </c>
      <c r="AL42" s="111">
        <v>20000</v>
      </c>
    </row>
    <row r="43" spans="1:38" ht="18" customHeight="1" x14ac:dyDescent="0.25">
      <c r="A43" s="133">
        <f t="shared" si="181"/>
        <v>34</v>
      </c>
      <c r="B43" s="122">
        <v>11749</v>
      </c>
      <c r="C43" s="122" t="s">
        <v>365</v>
      </c>
      <c r="D43" s="210" t="s">
        <v>48</v>
      </c>
      <c r="E43" s="109">
        <v>31</v>
      </c>
      <c r="F43" s="109">
        <f>VLOOKUP(B43,ATTENDANCE!$B$4:$AS$113,44,0)</f>
        <v>31</v>
      </c>
      <c r="G43" s="109">
        <v>0</v>
      </c>
      <c r="H43" s="110">
        <f t="shared" ref="H43" si="196">I43+J43+K43+L43</f>
        <v>18865</v>
      </c>
      <c r="I43" s="110">
        <v>4722</v>
      </c>
      <c r="J43" s="110">
        <v>13778</v>
      </c>
      <c r="K43" s="110">
        <v>365</v>
      </c>
      <c r="L43" s="110">
        <v>0</v>
      </c>
      <c r="M43" s="110">
        <f t="shared" si="160"/>
        <v>1541.05</v>
      </c>
      <c r="N43" s="110">
        <f t="shared" si="161"/>
        <v>930.04449999999997</v>
      </c>
      <c r="O43" s="110">
        <f t="shared" si="162"/>
        <v>620.6585</v>
      </c>
      <c r="P43" s="110">
        <f t="shared" si="163"/>
        <v>543.31200000000001</v>
      </c>
      <c r="Q43" s="110">
        <f t="shared" si="183"/>
        <v>4722</v>
      </c>
      <c r="R43" s="110">
        <f t="shared" si="184"/>
        <v>13778</v>
      </c>
      <c r="S43" s="110">
        <f t="shared" si="185"/>
        <v>365</v>
      </c>
      <c r="T43" s="110">
        <f t="shared" si="186"/>
        <v>0</v>
      </c>
      <c r="U43" s="110">
        <f t="shared" si="187"/>
        <v>1541.05</v>
      </c>
      <c r="V43" s="110">
        <f t="shared" si="188"/>
        <v>930.04449999999997</v>
      </c>
      <c r="W43" s="110">
        <f t="shared" si="189"/>
        <v>620.6585</v>
      </c>
      <c r="X43" s="110">
        <f t="shared" si="190"/>
        <v>543.31200000000001</v>
      </c>
      <c r="Y43" s="110">
        <f t="shared" si="191"/>
        <v>0</v>
      </c>
      <c r="Z43" s="110">
        <f t="shared" si="192"/>
        <v>22500.065000000002</v>
      </c>
      <c r="AA43" s="110">
        <f t="shared" si="171"/>
        <v>1800</v>
      </c>
      <c r="AB43" s="110">
        <v>0</v>
      </c>
      <c r="AC43" s="110">
        <f t="shared" si="193"/>
        <v>200</v>
      </c>
      <c r="AD43" s="110">
        <v>0</v>
      </c>
      <c r="AE43" s="110">
        <f t="shared" si="194"/>
        <v>2000</v>
      </c>
      <c r="AF43" s="143">
        <f t="shared" si="195"/>
        <v>20500</v>
      </c>
      <c r="AG43" s="110">
        <f t="shared" si="174"/>
        <v>1950</v>
      </c>
      <c r="AH43" s="110">
        <v>1000</v>
      </c>
      <c r="AI43" s="110">
        <f t="shared" ref="AI43" si="197">Z43+AG43+AH43</f>
        <v>25450.065000000002</v>
      </c>
      <c r="AJ43" s="110">
        <f t="shared" si="180"/>
        <v>26552</v>
      </c>
      <c r="AK43" s="29">
        <f t="shared" si="8"/>
        <v>1101.9349999999977</v>
      </c>
      <c r="AL43" s="110">
        <v>20500</v>
      </c>
    </row>
    <row r="44" spans="1:38" ht="18" customHeight="1" x14ac:dyDescent="0.25">
      <c r="A44" s="133">
        <f t="shared" si="181"/>
        <v>35</v>
      </c>
      <c r="B44" s="122">
        <v>11862</v>
      </c>
      <c r="C44" s="122" t="s">
        <v>370</v>
      </c>
      <c r="D44" s="210" t="s">
        <v>48</v>
      </c>
      <c r="E44" s="109">
        <v>31</v>
      </c>
      <c r="F44" s="109">
        <f>VLOOKUP(B44,ATTENDANCE!$B$4:$AS$113,44,0)</f>
        <v>30</v>
      </c>
      <c r="G44" s="109">
        <v>0</v>
      </c>
      <c r="H44" s="110">
        <f t="shared" si="1"/>
        <v>18595</v>
      </c>
      <c r="I44" s="110">
        <v>4722</v>
      </c>
      <c r="J44" s="110">
        <v>13778</v>
      </c>
      <c r="K44" s="110">
        <v>95</v>
      </c>
      <c r="L44" s="110">
        <v>0</v>
      </c>
      <c r="M44" s="110">
        <f t="shared" si="160"/>
        <v>1541.05</v>
      </c>
      <c r="N44" s="110">
        <f t="shared" si="161"/>
        <v>916.73349999999994</v>
      </c>
      <c r="O44" s="110">
        <f t="shared" si="162"/>
        <v>611.77549999999997</v>
      </c>
      <c r="P44" s="110">
        <f t="shared" si="163"/>
        <v>535.53599999999994</v>
      </c>
      <c r="Q44" s="110">
        <f t="shared" si="183"/>
        <v>4569.6774193548381</v>
      </c>
      <c r="R44" s="110">
        <f t="shared" si="184"/>
        <v>13333.548387096775</v>
      </c>
      <c r="S44" s="110">
        <f t="shared" si="185"/>
        <v>91.935483870967744</v>
      </c>
      <c r="T44" s="110">
        <f t="shared" si="186"/>
        <v>0</v>
      </c>
      <c r="U44" s="110">
        <f t="shared" si="187"/>
        <v>1491.3387096774193</v>
      </c>
      <c r="V44" s="110">
        <f t="shared" si="188"/>
        <v>887.16145161290319</v>
      </c>
      <c r="W44" s="110">
        <f t="shared" si="189"/>
        <v>592.04080645161287</v>
      </c>
      <c r="X44" s="110">
        <f t="shared" si="190"/>
        <v>518.2606451612902</v>
      </c>
      <c r="Y44" s="110">
        <f t="shared" si="191"/>
        <v>0</v>
      </c>
      <c r="Z44" s="110">
        <f t="shared" si="192"/>
        <v>21483.962903225809</v>
      </c>
      <c r="AA44" s="110">
        <f t="shared" si="171"/>
        <v>1741.9354838709678</v>
      </c>
      <c r="AB44" s="110">
        <v>0</v>
      </c>
      <c r="AC44" s="110">
        <f t="shared" si="193"/>
        <v>200</v>
      </c>
      <c r="AD44" s="110">
        <v>0</v>
      </c>
      <c r="AE44" s="110">
        <f t="shared" si="194"/>
        <v>1941.9354838709678</v>
      </c>
      <c r="AF44" s="143">
        <f t="shared" si="195"/>
        <v>19542</v>
      </c>
      <c r="AG44" s="110">
        <f t="shared" si="174"/>
        <v>1887.0967741935485</v>
      </c>
      <c r="AH44" s="110">
        <v>1000</v>
      </c>
      <c r="AI44" s="110">
        <f t="shared" ref="AI44:AI45" si="198">Z44+AG44+AH44</f>
        <v>24371.059677419358</v>
      </c>
      <c r="AJ44" s="110">
        <f t="shared" si="180"/>
        <v>25695.483870967742</v>
      </c>
      <c r="AK44" s="29">
        <f t="shared" si="8"/>
        <v>1324.4241935483842</v>
      </c>
      <c r="AL44" s="110">
        <v>20200</v>
      </c>
    </row>
    <row r="45" spans="1:38" ht="18" customHeight="1" x14ac:dyDescent="0.25">
      <c r="A45" s="133">
        <f t="shared" si="181"/>
        <v>36</v>
      </c>
      <c r="B45" s="104">
        <v>11558</v>
      </c>
      <c r="C45" s="213" t="s">
        <v>426</v>
      </c>
      <c r="D45" s="210" t="s">
        <v>48</v>
      </c>
      <c r="E45" s="109">
        <v>31</v>
      </c>
      <c r="F45" s="109">
        <f>VLOOKUP(B45,ATTENDANCE!$B$4:$AS$113,44,0)</f>
        <v>3</v>
      </c>
      <c r="G45" s="109">
        <v>0</v>
      </c>
      <c r="H45" s="110">
        <f t="shared" si="1"/>
        <v>19315</v>
      </c>
      <c r="I45" s="110">
        <v>4722</v>
      </c>
      <c r="J45" s="110">
        <v>13778</v>
      </c>
      <c r="K45" s="110">
        <v>815</v>
      </c>
      <c r="L45" s="110">
        <v>0</v>
      </c>
      <c r="M45" s="110">
        <f t="shared" ref="M45" si="199">(I45+J45)*8.33%</f>
        <v>1541.05</v>
      </c>
      <c r="N45" s="110">
        <f t="shared" ref="N45" si="200">H45*4.93%</f>
        <v>952.22949999999992</v>
      </c>
      <c r="O45" s="110">
        <f t="shared" ref="O45" si="201">H45*3.29%</f>
        <v>635.46349999999995</v>
      </c>
      <c r="P45" s="110">
        <f t="shared" ref="P45" si="202">H45*2.88%</f>
        <v>556.27199999999993</v>
      </c>
      <c r="Q45" s="110">
        <f t="shared" si="183"/>
        <v>456.96774193548384</v>
      </c>
      <c r="R45" s="110">
        <f t="shared" si="184"/>
        <v>1333.3548387096773</v>
      </c>
      <c r="S45" s="110">
        <f t="shared" si="185"/>
        <v>78.870967741935488</v>
      </c>
      <c r="T45" s="110">
        <f t="shared" si="186"/>
        <v>0</v>
      </c>
      <c r="U45" s="110">
        <f t="shared" si="187"/>
        <v>149.13387096774193</v>
      </c>
      <c r="V45" s="110">
        <f t="shared" si="188"/>
        <v>92.151241935483867</v>
      </c>
      <c r="W45" s="110">
        <f t="shared" si="189"/>
        <v>61.496467741935483</v>
      </c>
      <c r="X45" s="110">
        <f t="shared" si="190"/>
        <v>53.832774193548381</v>
      </c>
      <c r="Y45" s="110">
        <f t="shared" si="191"/>
        <v>0</v>
      </c>
      <c r="Z45" s="110">
        <f t="shared" si="192"/>
        <v>2225.8079032258065</v>
      </c>
      <c r="AA45" s="110">
        <f t="shared" ref="AA45" si="203">1800*F45/E45</f>
        <v>174.19354838709677</v>
      </c>
      <c r="AB45" s="110">
        <v>0</v>
      </c>
      <c r="AC45" s="110">
        <f t="shared" si="193"/>
        <v>0</v>
      </c>
      <c r="AD45" s="110">
        <v>0</v>
      </c>
      <c r="AE45" s="110">
        <f t="shared" si="194"/>
        <v>174.19354838709677</v>
      </c>
      <c r="AF45" s="143">
        <f t="shared" si="195"/>
        <v>2052</v>
      </c>
      <c r="AG45" s="110">
        <f t="shared" ref="AG45" si="204">AA45*13/12</f>
        <v>188.70967741935485</v>
      </c>
      <c r="AH45" s="110">
        <v>1000</v>
      </c>
      <c r="AI45" s="110">
        <f t="shared" si="198"/>
        <v>3414.5175806451612</v>
      </c>
      <c r="AJ45" s="110">
        <f t="shared" ref="AJ45" si="205">26552*(F45+G45)/E45</f>
        <v>2569.5483870967741</v>
      </c>
      <c r="AK45" s="29">
        <f t="shared" ref="AK45" si="206">AJ45-AI45</f>
        <v>-844.96919354838701</v>
      </c>
      <c r="AL45" s="110">
        <v>21650</v>
      </c>
    </row>
    <row r="46" spans="1:38" ht="18" customHeight="1" x14ac:dyDescent="0.25">
      <c r="A46" s="133">
        <f t="shared" si="181"/>
        <v>37</v>
      </c>
      <c r="B46" s="104">
        <v>9</v>
      </c>
      <c r="C46" s="213" t="s">
        <v>427</v>
      </c>
      <c r="D46" s="210" t="s">
        <v>48</v>
      </c>
      <c r="E46" s="109">
        <v>31</v>
      </c>
      <c r="F46" s="109">
        <f>VLOOKUP(B46,ATTENDANCE!$B$4:$AS$113,44,0)</f>
        <v>26</v>
      </c>
      <c r="G46" s="109">
        <v>0</v>
      </c>
      <c r="H46" s="110">
        <f t="shared" ref="H46:H47" si="207">I46+J46+K46+L46</f>
        <v>17716</v>
      </c>
      <c r="I46" s="110">
        <v>4722</v>
      </c>
      <c r="J46" s="110">
        <v>12994</v>
      </c>
      <c r="K46" s="110">
        <v>0</v>
      </c>
      <c r="L46" s="110">
        <v>0</v>
      </c>
      <c r="M46" s="110">
        <f t="shared" ref="M46:M47" si="208">(I46+J46)*8.33%</f>
        <v>1475.7428</v>
      </c>
      <c r="N46" s="110">
        <f t="shared" ref="N46:N47" si="209">H46*4.93%</f>
        <v>873.39879999999994</v>
      </c>
      <c r="O46" s="110">
        <f t="shared" ref="O46:O47" si="210">H46*3.29%</f>
        <v>582.85640000000001</v>
      </c>
      <c r="P46" s="110">
        <f t="shared" ref="P46:P47" si="211">H46*2.88%</f>
        <v>510.2208</v>
      </c>
      <c r="Q46" s="110">
        <f t="shared" ref="Q46:Q47" si="212">I46/E46*F46</f>
        <v>3960.3870967741932</v>
      </c>
      <c r="R46" s="110">
        <f t="shared" ref="R46:R47" si="213">J46/E46*F46</f>
        <v>10898.193548387097</v>
      </c>
      <c r="S46" s="110">
        <f t="shared" ref="S46:S47" si="214">+K46/E46*F46</f>
        <v>0</v>
      </c>
      <c r="T46" s="110">
        <f t="shared" ref="T46:T47" si="215">L46/E46*F46</f>
        <v>0</v>
      </c>
      <c r="U46" s="110">
        <f t="shared" ref="U46:U47" si="216">M46/E46*F46</f>
        <v>1237.7197677419354</v>
      </c>
      <c r="V46" s="110">
        <f t="shared" ref="V46:V47" si="217">N46/E46*F46</f>
        <v>732.52802580645152</v>
      </c>
      <c r="W46" s="110">
        <f t="shared" ref="W46:W47" si="218">O46/E46*F46</f>
        <v>488.84730322580646</v>
      </c>
      <c r="X46" s="110">
        <f t="shared" ref="X46:X47" si="219">P46/E46*F46</f>
        <v>427.92712258064512</v>
      </c>
      <c r="Y46" s="110">
        <f t="shared" ref="Y46:Y47" si="220">(H46+M46+N46+O46+P46)/E46*G46</f>
        <v>0</v>
      </c>
      <c r="Z46" s="110">
        <f t="shared" ref="Z46:Z47" si="221">Q46+R46+S46+T46+U46+V46+W46+X46+Y46</f>
        <v>17745.602864516128</v>
      </c>
      <c r="AA46" s="110">
        <f t="shared" ref="AA46:AA47" si="222">1800*F46/E46</f>
        <v>1509.6774193548388</v>
      </c>
      <c r="AB46" s="143">
        <f t="shared" ref="AB46:AB47" si="223">Z46*0.75%</f>
        <v>133.09202148387095</v>
      </c>
      <c r="AC46" s="110">
        <f t="shared" ref="AC46:AC47" si="224">IF(Z46&gt;20000,200,IF(Z46&gt;15000,150,0))</f>
        <v>150</v>
      </c>
      <c r="AD46" s="110">
        <v>0</v>
      </c>
      <c r="AE46" s="110">
        <f t="shared" ref="AE46:AE47" si="225">AA46+AB46+AC46+AD46</f>
        <v>1792.7694408387097</v>
      </c>
      <c r="AF46" s="143">
        <f t="shared" ref="AF46:AF47" si="226">ROUND(Z46-AE46,0)</f>
        <v>15953</v>
      </c>
      <c r="AG46" s="110">
        <f t="shared" ref="AG46:AG47" si="227">AA46*13/12</f>
        <v>1635.4838709677422</v>
      </c>
      <c r="AH46" s="110">
        <f t="shared" ref="AH46:AH47" si="228">AB46*3.25/0.75</f>
        <v>576.73209309677407</v>
      </c>
      <c r="AI46" s="110">
        <f t="shared" ref="AI46:AI47" si="229">Z46+AG46+AH46</f>
        <v>19957.818828580643</v>
      </c>
      <c r="AJ46" s="110">
        <f t="shared" ref="AJ46:AJ47" si="230">26552*(F46+G46)/E46</f>
        <v>22269.419354838708</v>
      </c>
      <c r="AK46" s="29">
        <f t="shared" ref="AK46:AK47" si="231">AJ46-AI46</f>
        <v>2311.6005262580657</v>
      </c>
      <c r="AL46" s="110">
        <v>21650</v>
      </c>
    </row>
    <row r="47" spans="1:38" ht="18" customHeight="1" x14ac:dyDescent="0.25">
      <c r="A47" s="133">
        <f t="shared" si="181"/>
        <v>38</v>
      </c>
      <c r="B47" s="104">
        <v>10</v>
      </c>
      <c r="C47" s="213" t="s">
        <v>428</v>
      </c>
      <c r="D47" s="210" t="s">
        <v>48</v>
      </c>
      <c r="E47" s="109">
        <v>31</v>
      </c>
      <c r="F47" s="109">
        <f>VLOOKUP(B47,ATTENDANCE!$B$4:$AS$113,44,0)</f>
        <v>25</v>
      </c>
      <c r="G47" s="109">
        <v>0</v>
      </c>
      <c r="H47" s="110">
        <f t="shared" si="207"/>
        <v>17716</v>
      </c>
      <c r="I47" s="110">
        <v>4722</v>
      </c>
      <c r="J47" s="110">
        <v>12994</v>
      </c>
      <c r="K47" s="110">
        <v>0</v>
      </c>
      <c r="L47" s="110">
        <v>0</v>
      </c>
      <c r="M47" s="110">
        <f t="shared" si="208"/>
        <v>1475.7428</v>
      </c>
      <c r="N47" s="110">
        <f t="shared" si="209"/>
        <v>873.39879999999994</v>
      </c>
      <c r="O47" s="110">
        <f t="shared" si="210"/>
        <v>582.85640000000001</v>
      </c>
      <c r="P47" s="110">
        <f t="shared" si="211"/>
        <v>510.2208</v>
      </c>
      <c r="Q47" s="110">
        <f t="shared" si="212"/>
        <v>3808.0645161290322</v>
      </c>
      <c r="R47" s="110">
        <f t="shared" si="213"/>
        <v>10479.032258064517</v>
      </c>
      <c r="S47" s="110">
        <f t="shared" si="214"/>
        <v>0</v>
      </c>
      <c r="T47" s="110">
        <f t="shared" si="215"/>
        <v>0</v>
      </c>
      <c r="U47" s="110">
        <f t="shared" si="216"/>
        <v>1190.1151612903225</v>
      </c>
      <c r="V47" s="110">
        <f t="shared" si="217"/>
        <v>704.35387096774184</v>
      </c>
      <c r="W47" s="110">
        <f t="shared" si="218"/>
        <v>470.04548387096776</v>
      </c>
      <c r="X47" s="110">
        <f t="shared" si="219"/>
        <v>411.46838709677417</v>
      </c>
      <c r="Y47" s="110">
        <f t="shared" si="220"/>
        <v>0</v>
      </c>
      <c r="Z47" s="110">
        <f t="shared" si="221"/>
        <v>17063.079677419355</v>
      </c>
      <c r="AA47" s="110">
        <f t="shared" si="222"/>
        <v>1451.6129032258063</v>
      </c>
      <c r="AB47" s="143">
        <f t="shared" si="223"/>
        <v>127.97309758064516</v>
      </c>
      <c r="AC47" s="110">
        <f t="shared" si="224"/>
        <v>150</v>
      </c>
      <c r="AD47" s="110">
        <v>0</v>
      </c>
      <c r="AE47" s="110">
        <f t="shared" si="225"/>
        <v>1729.5860008064515</v>
      </c>
      <c r="AF47" s="143">
        <f t="shared" si="226"/>
        <v>15333</v>
      </c>
      <c r="AG47" s="110">
        <f t="shared" si="227"/>
        <v>1572.58064516129</v>
      </c>
      <c r="AH47" s="110">
        <f t="shared" si="228"/>
        <v>554.55008951612899</v>
      </c>
      <c r="AI47" s="110">
        <f t="shared" si="229"/>
        <v>19190.210412096774</v>
      </c>
      <c r="AJ47" s="110">
        <f t="shared" si="230"/>
        <v>21412.903225806451</v>
      </c>
      <c r="AK47" s="29">
        <f t="shared" si="231"/>
        <v>2222.6928137096766</v>
      </c>
      <c r="AL47" s="110">
        <v>21650</v>
      </c>
    </row>
    <row r="48" spans="1:38" ht="18" customHeight="1" x14ac:dyDescent="0.25">
      <c r="A48" s="133">
        <f t="shared" si="181"/>
        <v>39</v>
      </c>
      <c r="B48" s="113">
        <v>12035</v>
      </c>
      <c r="C48" s="214" t="s">
        <v>389</v>
      </c>
      <c r="D48" s="210" t="s">
        <v>48</v>
      </c>
      <c r="E48" s="109">
        <v>31</v>
      </c>
      <c r="F48" s="109">
        <f>VLOOKUP(B48,ATTENDANCE!$B$4:$AS$113,44,0)</f>
        <v>31</v>
      </c>
      <c r="G48" s="109">
        <v>0</v>
      </c>
      <c r="H48" s="110">
        <f t="shared" ref="H48" si="232">I48+J48+K48+L48</f>
        <v>19315</v>
      </c>
      <c r="I48" s="110">
        <v>4722</v>
      </c>
      <c r="J48" s="110">
        <v>13778</v>
      </c>
      <c r="K48" s="110">
        <v>815</v>
      </c>
      <c r="L48" s="110">
        <v>0</v>
      </c>
      <c r="M48" s="110">
        <f t="shared" ref="M48" si="233">(I48+J48)*8.33%</f>
        <v>1541.05</v>
      </c>
      <c r="N48" s="110">
        <f t="shared" ref="N48" si="234">H48*4.93%</f>
        <v>952.22949999999992</v>
      </c>
      <c r="O48" s="110">
        <f t="shared" ref="O48" si="235">H48*3.29%</f>
        <v>635.46349999999995</v>
      </c>
      <c r="P48" s="110">
        <f t="shared" ref="P48" si="236">H48*2.88%</f>
        <v>556.27199999999993</v>
      </c>
      <c r="Q48" s="110">
        <f t="shared" ref="Q48" si="237">I48/E48*F48</f>
        <v>4722</v>
      </c>
      <c r="R48" s="110">
        <f t="shared" ref="R48" si="238">J48/E48*F48</f>
        <v>13778</v>
      </c>
      <c r="S48" s="110">
        <f t="shared" ref="S48" si="239">+K48/E48*F48</f>
        <v>815</v>
      </c>
      <c r="T48" s="110">
        <f t="shared" ref="T48" si="240">L48/E48*F48</f>
        <v>0</v>
      </c>
      <c r="U48" s="110">
        <f t="shared" ref="U48" si="241">M48/E48*F48</f>
        <v>1541.05</v>
      </c>
      <c r="V48" s="110">
        <f t="shared" ref="V48" si="242">N48/E48*F48</f>
        <v>952.22949999999992</v>
      </c>
      <c r="W48" s="110">
        <f t="shared" ref="W48" si="243">O48/E48*F48</f>
        <v>635.46349999999995</v>
      </c>
      <c r="X48" s="110">
        <f t="shared" ref="X48" si="244">P48/E48*F48</f>
        <v>556.27199999999993</v>
      </c>
      <c r="Y48" s="110">
        <f t="shared" ref="Y48" si="245">(H48+M48+N48+O48+P48)/E48*G48</f>
        <v>0</v>
      </c>
      <c r="Z48" s="110">
        <f t="shared" ref="Z48" si="246">Q48+R48+S48+T48+U48+V48+W48+X48+Y48</f>
        <v>23000.015000000003</v>
      </c>
      <c r="AA48" s="110">
        <f t="shared" si="171"/>
        <v>1800</v>
      </c>
      <c r="AB48" s="110">
        <v>0</v>
      </c>
      <c r="AC48" s="110">
        <f t="shared" ref="AC48" si="247">IF(Z48&gt;20000,200,IF(Z48&gt;15000,150,0))</f>
        <v>200</v>
      </c>
      <c r="AD48" s="110">
        <v>0</v>
      </c>
      <c r="AE48" s="110">
        <f t="shared" ref="AE48" si="248">AA48+AB48+AC48+AD48</f>
        <v>2000</v>
      </c>
      <c r="AF48" s="143">
        <f t="shared" ref="AF48" si="249">ROUND(Z48-AE48,0)</f>
        <v>21000</v>
      </c>
      <c r="AG48" s="110">
        <f t="shared" si="174"/>
        <v>1950</v>
      </c>
      <c r="AH48" s="110">
        <v>1000</v>
      </c>
      <c r="AI48" s="110">
        <f t="shared" ref="AI48" si="250">Z48+AG48+AH48</f>
        <v>25950.015000000003</v>
      </c>
      <c r="AJ48" s="110">
        <f t="shared" si="180"/>
        <v>26552</v>
      </c>
      <c r="AK48" s="29">
        <f t="shared" ref="AK48" si="251">AJ48-AI48</f>
        <v>601.98499999999694</v>
      </c>
      <c r="AL48" s="110">
        <v>21000</v>
      </c>
    </row>
    <row r="49" spans="1:38" ht="17.25" x14ac:dyDescent="0.25">
      <c r="A49" s="133"/>
      <c r="B49" s="122"/>
      <c r="C49" s="139" t="s">
        <v>153</v>
      </c>
      <c r="D49" s="139"/>
      <c r="E49" s="115">
        <f t="shared" ref="E49:AL49" si="252">SUM(E40:E48)</f>
        <v>279</v>
      </c>
      <c r="F49" s="115">
        <f t="shared" si="252"/>
        <v>230</v>
      </c>
      <c r="G49" s="115">
        <f t="shared" si="252"/>
        <v>0</v>
      </c>
      <c r="H49" s="112">
        <f t="shared" si="252"/>
        <v>173658.4</v>
      </c>
      <c r="I49" s="112">
        <f t="shared" si="252"/>
        <v>42498</v>
      </c>
      <c r="J49" s="112">
        <f t="shared" si="252"/>
        <v>122355</v>
      </c>
      <c r="K49" s="112">
        <f t="shared" si="252"/>
        <v>8805.4</v>
      </c>
      <c r="L49" s="112">
        <f t="shared" si="252"/>
        <v>0</v>
      </c>
      <c r="M49" s="112">
        <f t="shared" si="252"/>
        <v>13732.2549</v>
      </c>
      <c r="N49" s="112">
        <f t="shared" si="252"/>
        <v>8561.3591199999992</v>
      </c>
      <c r="O49" s="112">
        <f t="shared" si="252"/>
        <v>5713.361359999999</v>
      </c>
      <c r="P49" s="112">
        <f t="shared" si="252"/>
        <v>5001.3619199999994</v>
      </c>
      <c r="Q49" s="112">
        <f t="shared" si="252"/>
        <v>35034.193548387091</v>
      </c>
      <c r="R49" s="112">
        <f t="shared" si="252"/>
        <v>100857.6129032258</v>
      </c>
      <c r="S49" s="112">
        <f t="shared" si="252"/>
        <v>7704.9161290322581</v>
      </c>
      <c r="T49" s="112">
        <f t="shared" si="252"/>
        <v>0</v>
      </c>
      <c r="U49" s="112">
        <f t="shared" si="252"/>
        <v>11319.787477419355</v>
      </c>
      <c r="V49" s="112">
        <f t="shared" si="252"/>
        <v>7079.3184232258045</v>
      </c>
      <c r="W49" s="112">
        <f t="shared" si="252"/>
        <v>4724.3321729032259</v>
      </c>
      <c r="X49" s="112">
        <f t="shared" si="252"/>
        <v>4135.5856103225797</v>
      </c>
      <c r="Y49" s="112">
        <f t="shared" si="252"/>
        <v>0</v>
      </c>
      <c r="Z49" s="112">
        <f t="shared" si="252"/>
        <v>170855.74626451614</v>
      </c>
      <c r="AA49" s="112">
        <f t="shared" si="252"/>
        <v>13354.83870967742</v>
      </c>
      <c r="AB49" s="112">
        <f t="shared" si="252"/>
        <v>261.06511906451613</v>
      </c>
      <c r="AC49" s="112">
        <f t="shared" si="252"/>
        <v>1450</v>
      </c>
      <c r="AD49" s="112">
        <f t="shared" si="252"/>
        <v>0</v>
      </c>
      <c r="AE49" s="112">
        <f t="shared" si="252"/>
        <v>15065.903828741935</v>
      </c>
      <c r="AF49" s="112">
        <f t="shared" si="252"/>
        <v>155790</v>
      </c>
      <c r="AG49" s="112">
        <f t="shared" si="252"/>
        <v>14467.741935483871</v>
      </c>
      <c r="AH49" s="112">
        <f t="shared" si="252"/>
        <v>8131.2821826129039</v>
      </c>
      <c r="AI49" s="112">
        <f t="shared" si="252"/>
        <v>193454.77038261291</v>
      </c>
      <c r="AJ49" s="112">
        <f t="shared" si="252"/>
        <v>196998.70967741936</v>
      </c>
      <c r="AK49" s="112">
        <f t="shared" si="252"/>
        <v>3543.9392948064478</v>
      </c>
      <c r="AL49" s="112">
        <f t="shared" si="252"/>
        <v>194300</v>
      </c>
    </row>
    <row r="50" spans="1:38" ht="17.25" x14ac:dyDescent="0.25">
      <c r="A50" s="133">
        <f>A48+1</f>
        <v>40</v>
      </c>
      <c r="B50" s="122">
        <v>10980</v>
      </c>
      <c r="C50" s="122" t="s">
        <v>51</v>
      </c>
      <c r="D50" s="122" t="s">
        <v>216</v>
      </c>
      <c r="E50" s="109">
        <v>31</v>
      </c>
      <c r="F50" s="109">
        <f>VLOOKUP(B50,ATTENDANCE!$B$4:$AS$113,44,0)</f>
        <v>5</v>
      </c>
      <c r="G50" s="109">
        <v>0</v>
      </c>
      <c r="H50" s="110">
        <f t="shared" si="1"/>
        <v>24085.4</v>
      </c>
      <c r="I50" s="110">
        <v>4722</v>
      </c>
      <c r="J50" s="110">
        <v>13778</v>
      </c>
      <c r="K50" s="110">
        <v>5585.4</v>
      </c>
      <c r="L50" s="110">
        <v>0</v>
      </c>
      <c r="M50" s="110">
        <f t="shared" ref="M50:M56" si="253">(I50+J50)*8.33%</f>
        <v>1541.05</v>
      </c>
      <c r="N50" s="110">
        <f t="shared" ref="N50:N56" si="254">H50*4.93%</f>
        <v>1187.41022</v>
      </c>
      <c r="O50" s="110">
        <f t="shared" ref="O50:O56" si="255">H50*3.29%</f>
        <v>792.40966000000003</v>
      </c>
      <c r="P50" s="110">
        <f t="shared" ref="P50:P56" si="256">H50*2.88%</f>
        <v>693.65952000000004</v>
      </c>
      <c r="Q50" s="110">
        <f t="shared" ref="Q50:Q56" si="257">I50/E50*F50</f>
        <v>761.61290322580635</v>
      </c>
      <c r="R50" s="110">
        <f t="shared" ref="R50:R56" si="258">J50/E50*F50</f>
        <v>2222.2580645161288</v>
      </c>
      <c r="S50" s="110">
        <f t="shared" si="2"/>
        <v>900.87096774193537</v>
      </c>
      <c r="T50" s="110">
        <f t="shared" si="3"/>
        <v>0</v>
      </c>
      <c r="U50" s="110">
        <f t="shared" ref="U50:U56" si="259">M50/E50*F50</f>
        <v>248.55645161290323</v>
      </c>
      <c r="V50" s="110">
        <f t="shared" ref="V50:V56" si="260">N50/E50*F50</f>
        <v>191.51777741935484</v>
      </c>
      <c r="W50" s="110">
        <f t="shared" ref="W50:W56" si="261">O50/E50*F50</f>
        <v>127.80800967741936</v>
      </c>
      <c r="X50" s="110">
        <f t="shared" ref="X50:X56" si="262">P50/E50*F50</f>
        <v>111.88056774193549</v>
      </c>
      <c r="Y50" s="110">
        <f t="shared" ref="Y50:Y56" si="263">(H50+M50+N50+O50+P50)/E50*G50</f>
        <v>0</v>
      </c>
      <c r="Z50" s="110">
        <f t="shared" si="4"/>
        <v>4564.5047419354842</v>
      </c>
      <c r="AA50" s="110">
        <f t="shared" ref="AA50:AA59" si="264">1800*F50/E50</f>
        <v>290.32258064516128</v>
      </c>
      <c r="AB50" s="110">
        <v>0</v>
      </c>
      <c r="AC50" s="110">
        <f>IF(Z50&gt;20000,200,IF(Z50&gt;15000,150,0))</f>
        <v>0</v>
      </c>
      <c r="AD50" s="110">
        <v>0</v>
      </c>
      <c r="AE50" s="110">
        <f t="shared" ref="AE50" si="265">AA50+AB50+AC50+AD50</f>
        <v>290.32258064516128</v>
      </c>
      <c r="AF50" s="143">
        <f>ROUND(Z50-AE50,0)</f>
        <v>4274</v>
      </c>
      <c r="AG50" s="110">
        <f t="shared" ref="AG50:AG59" si="266">AA50*13/12</f>
        <v>314.51612903225805</v>
      </c>
      <c r="AH50" s="110">
        <v>1000</v>
      </c>
      <c r="AI50" s="110">
        <f t="shared" si="175"/>
        <v>5879.0208709677427</v>
      </c>
      <c r="AJ50" s="110">
        <f>26959*(F50+G50)/E50</f>
        <v>4348.2258064516127</v>
      </c>
      <c r="AK50" s="29">
        <f t="shared" si="8"/>
        <v>-1530.79506451613</v>
      </c>
      <c r="AL50" s="110">
        <v>26300</v>
      </c>
    </row>
    <row r="51" spans="1:38" ht="17.25" x14ac:dyDescent="0.25">
      <c r="A51" s="133">
        <f>A50+1</f>
        <v>41</v>
      </c>
      <c r="B51" s="122">
        <v>10978</v>
      </c>
      <c r="C51" s="122" t="s">
        <v>53</v>
      </c>
      <c r="D51" s="122" t="s">
        <v>216</v>
      </c>
      <c r="E51" s="109">
        <v>31</v>
      </c>
      <c r="F51" s="109">
        <f>VLOOKUP(B51,ATTENDANCE!$B$4:$AS$113,44,0)</f>
        <v>31</v>
      </c>
      <c r="G51" s="109">
        <v>0</v>
      </c>
      <c r="H51" s="110">
        <f t="shared" si="1"/>
        <v>22015</v>
      </c>
      <c r="I51" s="110">
        <v>4722</v>
      </c>
      <c r="J51" s="110">
        <v>13778</v>
      </c>
      <c r="K51" s="110">
        <v>3515</v>
      </c>
      <c r="L51" s="110">
        <v>0</v>
      </c>
      <c r="M51" s="110">
        <f t="shared" si="253"/>
        <v>1541.05</v>
      </c>
      <c r="N51" s="110">
        <f t="shared" si="254"/>
        <v>1085.3394999999998</v>
      </c>
      <c r="O51" s="110">
        <f t="shared" si="255"/>
        <v>724.29349999999999</v>
      </c>
      <c r="P51" s="110">
        <f t="shared" si="256"/>
        <v>634.03200000000004</v>
      </c>
      <c r="Q51" s="110">
        <f t="shared" si="257"/>
        <v>4722</v>
      </c>
      <c r="R51" s="110">
        <f t="shared" si="258"/>
        <v>13778</v>
      </c>
      <c r="S51" s="110">
        <f t="shared" si="2"/>
        <v>3515</v>
      </c>
      <c r="T51" s="110">
        <f t="shared" si="3"/>
        <v>0</v>
      </c>
      <c r="U51" s="110">
        <f t="shared" si="259"/>
        <v>1541.05</v>
      </c>
      <c r="V51" s="110">
        <f t="shared" si="260"/>
        <v>1085.3394999999998</v>
      </c>
      <c r="W51" s="110">
        <f t="shared" si="261"/>
        <v>724.29349999999999</v>
      </c>
      <c r="X51" s="110">
        <f t="shared" si="262"/>
        <v>634.03200000000004</v>
      </c>
      <c r="Y51" s="110">
        <f t="shared" si="263"/>
        <v>0</v>
      </c>
      <c r="Z51" s="110">
        <f t="shared" si="4"/>
        <v>25999.714999999997</v>
      </c>
      <c r="AA51" s="110">
        <f t="shared" si="264"/>
        <v>1800</v>
      </c>
      <c r="AB51" s="110">
        <v>0</v>
      </c>
      <c r="AC51" s="110">
        <f t="shared" ref="AC51:AC59" si="267">IF(Z51&gt;20000,200,IF(Z51&gt;15000,150,0))</f>
        <v>200</v>
      </c>
      <c r="AD51" s="110">
        <v>0</v>
      </c>
      <c r="AE51" s="110">
        <f t="shared" ref="AE51:AE59" si="268">AA51+AB51+AC51+AD51</f>
        <v>2000</v>
      </c>
      <c r="AF51" s="143">
        <f>ROUND(Z51-AE51,0)</f>
        <v>24000</v>
      </c>
      <c r="AG51" s="110">
        <f t="shared" si="266"/>
        <v>1950</v>
      </c>
      <c r="AH51" s="110">
        <v>1000</v>
      </c>
      <c r="AI51" s="110">
        <f t="shared" si="175"/>
        <v>28949.714999999997</v>
      </c>
      <c r="AJ51" s="110">
        <f>26959*(F51+G51)/E51</f>
        <v>26959</v>
      </c>
      <c r="AK51" s="29">
        <f t="shared" si="8"/>
        <v>-1990.7149999999965</v>
      </c>
      <c r="AL51" s="110">
        <v>24000</v>
      </c>
    </row>
    <row r="52" spans="1:38" ht="17.25" x14ac:dyDescent="0.25">
      <c r="A52" s="133">
        <f t="shared" ref="A52:A59" si="269">A51+1</f>
        <v>42</v>
      </c>
      <c r="B52" s="122">
        <v>10974</v>
      </c>
      <c r="C52" s="122" t="s">
        <v>55</v>
      </c>
      <c r="D52" s="122" t="s">
        <v>216</v>
      </c>
      <c r="E52" s="109">
        <v>31</v>
      </c>
      <c r="F52" s="109">
        <f>VLOOKUP(B52,ATTENDANCE!$B$4:$AS$113,44,0)</f>
        <v>31</v>
      </c>
      <c r="G52" s="109">
        <v>0</v>
      </c>
      <c r="H52" s="110">
        <f t="shared" si="1"/>
        <v>20305</v>
      </c>
      <c r="I52" s="110">
        <v>4722</v>
      </c>
      <c r="J52" s="110">
        <v>13778</v>
      </c>
      <c r="K52" s="110">
        <v>1805</v>
      </c>
      <c r="L52" s="110">
        <v>0</v>
      </c>
      <c r="M52" s="110">
        <f t="shared" si="253"/>
        <v>1541.05</v>
      </c>
      <c r="N52" s="110">
        <f t="shared" si="254"/>
        <v>1001.0364999999999</v>
      </c>
      <c r="O52" s="110">
        <f t="shared" si="255"/>
        <v>668.03449999999998</v>
      </c>
      <c r="P52" s="110">
        <f t="shared" si="256"/>
        <v>584.78399999999999</v>
      </c>
      <c r="Q52" s="110">
        <f t="shared" si="257"/>
        <v>4722</v>
      </c>
      <c r="R52" s="110">
        <f t="shared" si="258"/>
        <v>13778</v>
      </c>
      <c r="S52" s="110">
        <f t="shared" si="2"/>
        <v>1805</v>
      </c>
      <c r="T52" s="110">
        <f t="shared" si="3"/>
        <v>0</v>
      </c>
      <c r="U52" s="110">
        <f t="shared" si="259"/>
        <v>1541.05</v>
      </c>
      <c r="V52" s="110">
        <f t="shared" si="260"/>
        <v>1001.0364999999999</v>
      </c>
      <c r="W52" s="110">
        <f t="shared" si="261"/>
        <v>668.03449999999998</v>
      </c>
      <c r="X52" s="110">
        <f t="shared" si="262"/>
        <v>584.78399999999999</v>
      </c>
      <c r="Y52" s="110">
        <f t="shared" si="263"/>
        <v>0</v>
      </c>
      <c r="Z52" s="110">
        <f t="shared" si="4"/>
        <v>24099.904999999999</v>
      </c>
      <c r="AA52" s="110">
        <f t="shared" si="264"/>
        <v>1800</v>
      </c>
      <c r="AB52" s="110">
        <v>0</v>
      </c>
      <c r="AC52" s="110">
        <f t="shared" si="267"/>
        <v>200</v>
      </c>
      <c r="AD52" s="110">
        <v>0</v>
      </c>
      <c r="AE52" s="110">
        <f t="shared" si="268"/>
        <v>2000</v>
      </c>
      <c r="AF52" s="143">
        <f>ROUND(Z52-AE52,0)</f>
        <v>22100</v>
      </c>
      <c r="AG52" s="110">
        <f t="shared" si="266"/>
        <v>1950</v>
      </c>
      <c r="AH52" s="110">
        <v>1000</v>
      </c>
      <c r="AI52" s="110">
        <f t="shared" si="175"/>
        <v>27049.904999999999</v>
      </c>
      <c r="AJ52" s="110">
        <f>26959*(F52+G52)/E52</f>
        <v>26959</v>
      </c>
      <c r="AK52" s="29">
        <f t="shared" si="8"/>
        <v>-90.904999999998836</v>
      </c>
      <c r="AL52" s="110">
        <v>22100</v>
      </c>
    </row>
    <row r="53" spans="1:38" ht="17.25" x14ac:dyDescent="0.25">
      <c r="A53" s="133">
        <f t="shared" si="269"/>
        <v>43</v>
      </c>
      <c r="B53" s="122">
        <v>11439</v>
      </c>
      <c r="C53" s="122" t="s">
        <v>338</v>
      </c>
      <c r="D53" s="122" t="s">
        <v>216</v>
      </c>
      <c r="E53" s="109">
        <v>31</v>
      </c>
      <c r="F53" s="109">
        <f>VLOOKUP(B53,ATTENDANCE!$B$4:$AS$113,44,0)</f>
        <v>16</v>
      </c>
      <c r="G53" s="109">
        <v>0</v>
      </c>
      <c r="H53" s="110">
        <f t="shared" si="1"/>
        <v>18421</v>
      </c>
      <c r="I53" s="110">
        <v>4722</v>
      </c>
      <c r="J53" s="110">
        <v>13699</v>
      </c>
      <c r="K53" s="110">
        <v>0</v>
      </c>
      <c r="L53" s="110">
        <v>0</v>
      </c>
      <c r="M53" s="110">
        <f t="shared" si="253"/>
        <v>1534.4693</v>
      </c>
      <c r="N53" s="110">
        <f t="shared" si="254"/>
        <v>908.1552999999999</v>
      </c>
      <c r="O53" s="110">
        <f t="shared" si="255"/>
        <v>606.05089999999996</v>
      </c>
      <c r="P53" s="110">
        <f t="shared" si="256"/>
        <v>530.52480000000003</v>
      </c>
      <c r="Q53" s="110">
        <f t="shared" si="257"/>
        <v>2437.1612903225805</v>
      </c>
      <c r="R53" s="110">
        <f t="shared" si="258"/>
        <v>7070.4516129032254</v>
      </c>
      <c r="S53" s="110">
        <f t="shared" si="2"/>
        <v>0</v>
      </c>
      <c r="T53" s="110">
        <f t="shared" si="3"/>
        <v>0</v>
      </c>
      <c r="U53" s="110">
        <f t="shared" si="259"/>
        <v>791.98415483870963</v>
      </c>
      <c r="V53" s="110">
        <f t="shared" si="260"/>
        <v>468.72531612903219</v>
      </c>
      <c r="W53" s="110">
        <f t="shared" si="261"/>
        <v>312.80046451612901</v>
      </c>
      <c r="X53" s="110">
        <f t="shared" si="262"/>
        <v>273.81925161290326</v>
      </c>
      <c r="Y53" s="110">
        <f t="shared" si="263"/>
        <v>0</v>
      </c>
      <c r="Z53" s="110">
        <f t="shared" si="4"/>
        <v>11354.942090322582</v>
      </c>
      <c r="AA53" s="110">
        <f t="shared" si="264"/>
        <v>929.0322580645161</v>
      </c>
      <c r="AB53" s="110">
        <v>0</v>
      </c>
      <c r="AC53" s="110">
        <f t="shared" si="267"/>
        <v>0</v>
      </c>
      <c r="AD53" s="110">
        <v>0</v>
      </c>
      <c r="AE53" s="110">
        <f t="shared" si="268"/>
        <v>929.0322580645161</v>
      </c>
      <c r="AF53" s="143">
        <f>ROUND(Z53-AE53,0)</f>
        <v>10426</v>
      </c>
      <c r="AG53" s="110">
        <f t="shared" si="266"/>
        <v>1006.4516129032257</v>
      </c>
      <c r="AH53" s="110">
        <v>1000</v>
      </c>
      <c r="AI53" s="110">
        <f t="shared" si="175"/>
        <v>13361.393703225807</v>
      </c>
      <c r="AJ53" s="110">
        <f>26959*(F53+G53)/E53</f>
        <v>13914.322580645161</v>
      </c>
      <c r="AK53" s="29">
        <f t="shared" si="8"/>
        <v>552.92887741935374</v>
      </c>
      <c r="AL53" s="110">
        <v>20000</v>
      </c>
    </row>
    <row r="54" spans="1:38" ht="18.75" customHeight="1" x14ac:dyDescent="0.25">
      <c r="A54" s="133">
        <f t="shared" si="269"/>
        <v>44</v>
      </c>
      <c r="B54" s="122">
        <v>10983</v>
      </c>
      <c r="C54" s="122" t="s">
        <v>363</v>
      </c>
      <c r="D54" s="122" t="s">
        <v>216</v>
      </c>
      <c r="E54" s="109">
        <v>31</v>
      </c>
      <c r="F54" s="109">
        <f>VLOOKUP(B54,ATTENDANCE!$B$4:$AS$113,44,0)</f>
        <v>7</v>
      </c>
      <c r="G54" s="109">
        <v>0</v>
      </c>
      <c r="H54" s="110">
        <f t="shared" si="1"/>
        <v>19404</v>
      </c>
      <c r="I54" s="110">
        <v>4722</v>
      </c>
      <c r="J54" s="110">
        <v>13788</v>
      </c>
      <c r="K54" s="110">
        <v>894</v>
      </c>
      <c r="L54" s="110">
        <v>0</v>
      </c>
      <c r="M54" s="110">
        <f t="shared" si="253"/>
        <v>1541.883</v>
      </c>
      <c r="N54" s="110">
        <f t="shared" si="254"/>
        <v>956.61719999999991</v>
      </c>
      <c r="O54" s="110">
        <f t="shared" si="255"/>
        <v>638.39159999999993</v>
      </c>
      <c r="P54" s="110">
        <f t="shared" si="256"/>
        <v>558.83519999999999</v>
      </c>
      <c r="Q54" s="110">
        <f t="shared" si="257"/>
        <v>1066.258064516129</v>
      </c>
      <c r="R54" s="110">
        <f t="shared" si="258"/>
        <v>3113.4193548387093</v>
      </c>
      <c r="S54" s="110">
        <f t="shared" si="2"/>
        <v>201.87096774193549</v>
      </c>
      <c r="T54" s="110">
        <f t="shared" si="3"/>
        <v>0</v>
      </c>
      <c r="U54" s="110">
        <f t="shared" si="259"/>
        <v>348.16712903225806</v>
      </c>
      <c r="V54" s="110">
        <f t="shared" si="260"/>
        <v>216.01033548387093</v>
      </c>
      <c r="W54" s="110">
        <f t="shared" si="261"/>
        <v>144.15294193548385</v>
      </c>
      <c r="X54" s="110">
        <f t="shared" si="262"/>
        <v>126.18859354838708</v>
      </c>
      <c r="Y54" s="110">
        <f t="shared" si="263"/>
        <v>0</v>
      </c>
      <c r="Z54" s="110">
        <f t="shared" si="4"/>
        <v>5216.0673870967739</v>
      </c>
      <c r="AA54" s="110">
        <f t="shared" si="264"/>
        <v>406.45161290322579</v>
      </c>
      <c r="AB54" s="110">
        <v>0</v>
      </c>
      <c r="AC54" s="110">
        <f t="shared" si="267"/>
        <v>0</v>
      </c>
      <c r="AD54" s="110">
        <v>0</v>
      </c>
      <c r="AE54" s="110">
        <f t="shared" si="268"/>
        <v>406.45161290322579</v>
      </c>
      <c r="AF54" s="143">
        <f t="shared" si="6"/>
        <v>4810</v>
      </c>
      <c r="AG54" s="110">
        <f t="shared" si="266"/>
        <v>440.32258064516128</v>
      </c>
      <c r="AH54" s="110">
        <v>1000</v>
      </c>
      <c r="AI54" s="110">
        <f t="shared" si="175"/>
        <v>6656.3899677419349</v>
      </c>
      <c r="AJ54" s="110">
        <f t="shared" ref="AJ54:AJ59" si="270">26959*(F54+G54)/E54</f>
        <v>6087.5161290322585</v>
      </c>
      <c r="AK54" s="29">
        <f t="shared" si="8"/>
        <v>-568.87383870967642</v>
      </c>
      <c r="AL54" s="110">
        <v>21100</v>
      </c>
    </row>
    <row r="55" spans="1:38" ht="18.75" customHeight="1" x14ac:dyDescent="0.25">
      <c r="A55" s="133">
        <f t="shared" si="269"/>
        <v>45</v>
      </c>
      <c r="B55" s="122">
        <v>11158</v>
      </c>
      <c r="C55" s="122" t="s">
        <v>238</v>
      </c>
      <c r="D55" s="122" t="s">
        <v>216</v>
      </c>
      <c r="E55" s="109">
        <v>31</v>
      </c>
      <c r="F55" s="109">
        <f>VLOOKUP(B55,ATTENDANCE!$B$4:$AS$113,44,0)</f>
        <v>31</v>
      </c>
      <c r="G55" s="109">
        <v>0</v>
      </c>
      <c r="H55" s="110">
        <f t="shared" si="1"/>
        <v>19585</v>
      </c>
      <c r="I55" s="110">
        <v>4722</v>
      </c>
      <c r="J55" s="110">
        <v>13778</v>
      </c>
      <c r="K55" s="110">
        <v>1085</v>
      </c>
      <c r="L55" s="110">
        <v>0</v>
      </c>
      <c r="M55" s="110">
        <f t="shared" si="253"/>
        <v>1541.05</v>
      </c>
      <c r="N55" s="110">
        <f t="shared" si="254"/>
        <v>965.54049999999995</v>
      </c>
      <c r="O55" s="110">
        <f t="shared" si="255"/>
        <v>644.34649999999999</v>
      </c>
      <c r="P55" s="110">
        <f t="shared" si="256"/>
        <v>564.048</v>
      </c>
      <c r="Q55" s="110">
        <f t="shared" si="257"/>
        <v>4722</v>
      </c>
      <c r="R55" s="110">
        <f t="shared" si="258"/>
        <v>13778</v>
      </c>
      <c r="S55" s="110">
        <f t="shared" si="2"/>
        <v>1085</v>
      </c>
      <c r="T55" s="110">
        <f t="shared" si="3"/>
        <v>0</v>
      </c>
      <c r="U55" s="110">
        <f t="shared" si="259"/>
        <v>1541.05</v>
      </c>
      <c r="V55" s="110">
        <f t="shared" si="260"/>
        <v>965.54049999999995</v>
      </c>
      <c r="W55" s="110">
        <f t="shared" si="261"/>
        <v>644.34649999999999</v>
      </c>
      <c r="X55" s="110">
        <f t="shared" si="262"/>
        <v>564.048</v>
      </c>
      <c r="Y55" s="110">
        <f t="shared" si="263"/>
        <v>0</v>
      </c>
      <c r="Z55" s="110">
        <f t="shared" si="4"/>
        <v>23299.984999999997</v>
      </c>
      <c r="AA55" s="110">
        <f t="shared" si="264"/>
        <v>1800</v>
      </c>
      <c r="AB55" s="110">
        <v>0</v>
      </c>
      <c r="AC55" s="110">
        <f t="shared" si="267"/>
        <v>200</v>
      </c>
      <c r="AD55" s="110">
        <v>0</v>
      </c>
      <c r="AE55" s="110">
        <f t="shared" si="268"/>
        <v>2000</v>
      </c>
      <c r="AF55" s="143">
        <f t="shared" ref="AF55" si="271">ROUND(Z55-AE55,0)</f>
        <v>21300</v>
      </c>
      <c r="AG55" s="110">
        <f t="shared" si="266"/>
        <v>1950</v>
      </c>
      <c r="AH55" s="110">
        <v>1000</v>
      </c>
      <c r="AI55" s="110">
        <f t="shared" si="175"/>
        <v>26249.984999999997</v>
      </c>
      <c r="AJ55" s="110">
        <f t="shared" si="270"/>
        <v>26959</v>
      </c>
      <c r="AK55" s="29">
        <f t="shared" si="8"/>
        <v>709.01500000000306</v>
      </c>
      <c r="AL55" s="111">
        <v>21300</v>
      </c>
    </row>
    <row r="56" spans="1:38" ht="18.75" customHeight="1" x14ac:dyDescent="0.25">
      <c r="A56" s="133">
        <f t="shared" si="269"/>
        <v>46</v>
      </c>
      <c r="B56" s="122">
        <v>11203</v>
      </c>
      <c r="C56" s="122" t="s">
        <v>248</v>
      </c>
      <c r="D56" s="122" t="s">
        <v>216</v>
      </c>
      <c r="E56" s="109">
        <v>31</v>
      </c>
      <c r="F56" s="109">
        <f>VLOOKUP(B56,ATTENDANCE!$B$4:$AS$113,44,0)</f>
        <v>23</v>
      </c>
      <c r="G56" s="109">
        <v>0</v>
      </c>
      <c r="H56" s="110">
        <f t="shared" si="1"/>
        <v>19315</v>
      </c>
      <c r="I56" s="110">
        <v>4722</v>
      </c>
      <c r="J56" s="110">
        <v>13778</v>
      </c>
      <c r="K56" s="110">
        <v>815</v>
      </c>
      <c r="L56" s="110">
        <v>0</v>
      </c>
      <c r="M56" s="110">
        <f t="shared" si="253"/>
        <v>1541.05</v>
      </c>
      <c r="N56" s="110">
        <f t="shared" si="254"/>
        <v>952.22949999999992</v>
      </c>
      <c r="O56" s="110">
        <f t="shared" si="255"/>
        <v>635.46349999999995</v>
      </c>
      <c r="P56" s="110">
        <f t="shared" si="256"/>
        <v>556.27199999999993</v>
      </c>
      <c r="Q56" s="110">
        <f t="shared" si="257"/>
        <v>3503.4193548387093</v>
      </c>
      <c r="R56" s="110">
        <f t="shared" si="258"/>
        <v>10222.387096774193</v>
      </c>
      <c r="S56" s="110">
        <f t="shared" si="2"/>
        <v>604.67741935483866</v>
      </c>
      <c r="T56" s="110">
        <f t="shared" si="3"/>
        <v>0</v>
      </c>
      <c r="U56" s="110">
        <f t="shared" si="259"/>
        <v>1143.3596774193547</v>
      </c>
      <c r="V56" s="110">
        <f t="shared" si="260"/>
        <v>706.4928548387096</v>
      </c>
      <c r="W56" s="110">
        <f t="shared" si="261"/>
        <v>471.47291935483872</v>
      </c>
      <c r="X56" s="110">
        <f t="shared" si="262"/>
        <v>412.71793548387092</v>
      </c>
      <c r="Y56" s="110">
        <f t="shared" si="263"/>
        <v>0</v>
      </c>
      <c r="Z56" s="110">
        <f t="shared" si="4"/>
        <v>17064.527258064514</v>
      </c>
      <c r="AA56" s="110">
        <f t="shared" si="264"/>
        <v>1335.483870967742</v>
      </c>
      <c r="AB56" s="110">
        <v>0</v>
      </c>
      <c r="AC56" s="110">
        <f t="shared" si="267"/>
        <v>150</v>
      </c>
      <c r="AD56" s="110">
        <v>0</v>
      </c>
      <c r="AE56" s="110">
        <f t="shared" si="268"/>
        <v>1485.483870967742</v>
      </c>
      <c r="AF56" s="143">
        <f t="shared" ref="AF56" si="272">ROUND(Z56-AE56,0)</f>
        <v>15579</v>
      </c>
      <c r="AG56" s="110">
        <f t="shared" si="266"/>
        <v>1446.7741935483871</v>
      </c>
      <c r="AH56" s="110">
        <v>1000</v>
      </c>
      <c r="AI56" s="110">
        <f t="shared" si="175"/>
        <v>19511.301451612901</v>
      </c>
      <c r="AJ56" s="110">
        <f t="shared" si="270"/>
        <v>20001.83870967742</v>
      </c>
      <c r="AK56" s="29">
        <f t="shared" si="8"/>
        <v>490.53725806451985</v>
      </c>
      <c r="AL56" s="111">
        <v>21000</v>
      </c>
    </row>
    <row r="57" spans="1:38" ht="18.75" customHeight="1" x14ac:dyDescent="0.25">
      <c r="A57" s="133">
        <f t="shared" si="269"/>
        <v>47</v>
      </c>
      <c r="B57" s="170">
        <v>12</v>
      </c>
      <c r="C57" s="169" t="s">
        <v>436</v>
      </c>
      <c r="D57" s="122" t="s">
        <v>216</v>
      </c>
      <c r="E57" s="109">
        <v>31</v>
      </c>
      <c r="F57" s="109">
        <f>VLOOKUP(B57,ATTENDANCE!$B$4:$AS$113,44,0)</f>
        <v>10</v>
      </c>
      <c r="G57" s="109">
        <v>0</v>
      </c>
      <c r="H57" s="110">
        <f t="shared" ref="H57:H58" si="273">I57+J57+K57+L57</f>
        <v>18865</v>
      </c>
      <c r="I57" s="110">
        <v>4722</v>
      </c>
      <c r="J57" s="110">
        <v>13778</v>
      </c>
      <c r="K57" s="110">
        <v>365</v>
      </c>
      <c r="L57" s="110">
        <v>0</v>
      </c>
      <c r="M57" s="110">
        <f t="shared" ref="M57:M58" si="274">(I57+J57)*8.33%</f>
        <v>1541.05</v>
      </c>
      <c r="N57" s="110">
        <f t="shared" ref="N57:N58" si="275">H57*4.93%</f>
        <v>930.04449999999997</v>
      </c>
      <c r="O57" s="110">
        <f t="shared" ref="O57:O58" si="276">H57*3.29%</f>
        <v>620.6585</v>
      </c>
      <c r="P57" s="110">
        <f t="shared" ref="P57:P58" si="277">H57*2.88%</f>
        <v>543.31200000000001</v>
      </c>
      <c r="Q57" s="110">
        <f t="shared" ref="Q57" si="278">I57/E57*F57</f>
        <v>1523.2258064516127</v>
      </c>
      <c r="R57" s="110">
        <f t="shared" ref="R57" si="279">J57/E57*F57</f>
        <v>4444.5161290322576</v>
      </c>
      <c r="S57" s="110">
        <f t="shared" ref="S57" si="280">+K57/E57*F57</f>
        <v>117.74193548387096</v>
      </c>
      <c r="T57" s="110">
        <f t="shared" ref="T57" si="281">L57/E57*F57</f>
        <v>0</v>
      </c>
      <c r="U57" s="110">
        <f t="shared" ref="U57" si="282">M57/E57*F57</f>
        <v>497.11290322580646</v>
      </c>
      <c r="V57" s="110">
        <f t="shared" ref="V57" si="283">N57/E57*F57</f>
        <v>300.01435483870966</v>
      </c>
      <c r="W57" s="110">
        <f t="shared" ref="W57" si="284">O57/E57*F57</f>
        <v>200.21241935483872</v>
      </c>
      <c r="X57" s="110">
        <f t="shared" ref="X57" si="285">P57/E57*F57</f>
        <v>175.26193548387099</v>
      </c>
      <c r="Y57" s="110">
        <f t="shared" ref="Y57" si="286">(H57+M57+N57+O57+P57)/E57*G57</f>
        <v>0</v>
      </c>
      <c r="Z57" s="110">
        <f t="shared" ref="Z57" si="287">Q57+R57+S57+T57+U57+V57+W57+X57+Y57</f>
        <v>7258.0854838709674</v>
      </c>
      <c r="AA57" s="110">
        <f t="shared" ref="AA57" si="288">1800*F57/E57</f>
        <v>580.64516129032256</v>
      </c>
      <c r="AB57" s="110">
        <v>0</v>
      </c>
      <c r="AC57" s="110">
        <f t="shared" ref="AC57" si="289">IF(Z57&gt;20000,200,IF(Z57&gt;15000,150,0))</f>
        <v>0</v>
      </c>
      <c r="AD57" s="110">
        <v>0</v>
      </c>
      <c r="AE57" s="110">
        <f t="shared" ref="AE57" si="290">AA57+AB57+AC57+AD57</f>
        <v>580.64516129032256</v>
      </c>
      <c r="AF57" s="143">
        <f t="shared" ref="AF57" si="291">ROUND(Z57-AE57,0)</f>
        <v>6677</v>
      </c>
      <c r="AG57" s="110">
        <f t="shared" ref="AG57" si="292">AA57*13/12</f>
        <v>629.0322580645161</v>
      </c>
      <c r="AH57" s="110">
        <v>1000</v>
      </c>
      <c r="AI57" s="110">
        <f t="shared" ref="AI57" si="293">Z57+AG57+AH57</f>
        <v>8887.1177419354826</v>
      </c>
      <c r="AJ57" s="110">
        <f t="shared" ref="AJ57" si="294">26959*(F57+G57)/E57</f>
        <v>8696.4516129032254</v>
      </c>
      <c r="AK57" s="29">
        <f t="shared" ref="AK57" si="295">AJ57-AI57</f>
        <v>-190.66612903225723</v>
      </c>
      <c r="AL57" s="111">
        <v>21500</v>
      </c>
    </row>
    <row r="58" spans="1:38" ht="18.75" customHeight="1" x14ac:dyDescent="0.25">
      <c r="A58" s="133">
        <f t="shared" si="269"/>
        <v>48</v>
      </c>
      <c r="B58" s="170">
        <v>10985</v>
      </c>
      <c r="C58" s="169" t="s">
        <v>54</v>
      </c>
      <c r="D58" s="122" t="s">
        <v>216</v>
      </c>
      <c r="E58" s="109">
        <v>31</v>
      </c>
      <c r="F58" s="109">
        <f>VLOOKUP(B58,ATTENDANCE!$B$4:$AS$113,44,0)</f>
        <v>3</v>
      </c>
      <c r="G58" s="109">
        <v>0</v>
      </c>
      <c r="H58" s="110">
        <f t="shared" si="273"/>
        <v>19315</v>
      </c>
      <c r="I58" s="110">
        <v>4722</v>
      </c>
      <c r="J58" s="110">
        <v>13778</v>
      </c>
      <c r="K58" s="110">
        <v>815</v>
      </c>
      <c r="L58" s="110">
        <v>0</v>
      </c>
      <c r="M58" s="110">
        <f t="shared" si="274"/>
        <v>1541.05</v>
      </c>
      <c r="N58" s="110">
        <f t="shared" si="275"/>
        <v>952.22949999999992</v>
      </c>
      <c r="O58" s="110">
        <f t="shared" si="276"/>
        <v>635.46349999999995</v>
      </c>
      <c r="P58" s="110">
        <f t="shared" si="277"/>
        <v>556.27199999999993</v>
      </c>
      <c r="Q58" s="110">
        <f t="shared" ref="Q58" si="296">I58/E58*F58</f>
        <v>456.96774193548384</v>
      </c>
      <c r="R58" s="110">
        <f t="shared" ref="R58" si="297">J58/E58*F58</f>
        <v>1333.3548387096773</v>
      </c>
      <c r="S58" s="110">
        <f t="shared" ref="S58" si="298">+K58/E58*F58</f>
        <v>78.870967741935488</v>
      </c>
      <c r="T58" s="110">
        <f t="shared" ref="T58" si="299">L58/E58*F58</f>
        <v>0</v>
      </c>
      <c r="U58" s="110">
        <f t="shared" ref="U58" si="300">M58/E58*F58</f>
        <v>149.13387096774193</v>
      </c>
      <c r="V58" s="110">
        <f t="shared" ref="V58" si="301">N58/E58*F58</f>
        <v>92.151241935483867</v>
      </c>
      <c r="W58" s="110">
        <f t="shared" ref="W58" si="302">O58/E58*F58</f>
        <v>61.496467741935483</v>
      </c>
      <c r="X58" s="110">
        <f t="shared" ref="X58" si="303">P58/E58*F58</f>
        <v>53.832774193548381</v>
      </c>
      <c r="Y58" s="110">
        <f t="shared" ref="Y58" si="304">(H58+M58+N58+O58+P58)/E58*G58</f>
        <v>0</v>
      </c>
      <c r="Z58" s="110">
        <f t="shared" ref="Z58" si="305">Q58+R58+S58+T58+U58+V58+W58+X58+Y58</f>
        <v>2225.8079032258065</v>
      </c>
      <c r="AA58" s="110">
        <f t="shared" ref="AA58" si="306">1800*F58/E58</f>
        <v>174.19354838709677</v>
      </c>
      <c r="AB58" s="110">
        <v>0</v>
      </c>
      <c r="AC58" s="110">
        <f t="shared" ref="AC58" si="307">IF(Z58&gt;20000,200,IF(Z58&gt;15000,150,0))</f>
        <v>0</v>
      </c>
      <c r="AD58" s="110">
        <v>0</v>
      </c>
      <c r="AE58" s="110">
        <f t="shared" ref="AE58" si="308">AA58+AB58+AC58+AD58</f>
        <v>174.19354838709677</v>
      </c>
      <c r="AF58" s="143">
        <f t="shared" ref="AF58" si="309">ROUND(Z58-AE58,0)</f>
        <v>2052</v>
      </c>
      <c r="AG58" s="110">
        <f t="shared" ref="AG58" si="310">AA58*13/12</f>
        <v>188.70967741935485</v>
      </c>
      <c r="AH58" s="110">
        <v>1000</v>
      </c>
      <c r="AI58" s="110">
        <f t="shared" ref="AI58" si="311">Z58+AG58+AH58</f>
        <v>3414.5175806451612</v>
      </c>
      <c r="AJ58" s="110">
        <f t="shared" ref="AJ58" si="312">26959*(F58+G58)/E58</f>
        <v>2608.9354838709678</v>
      </c>
      <c r="AK58" s="29">
        <f t="shared" ref="AK58" si="313">AJ58-AI58</f>
        <v>-805.58209677419336</v>
      </c>
      <c r="AL58" s="111">
        <v>21500</v>
      </c>
    </row>
    <row r="59" spans="1:38" ht="18.75" customHeight="1" x14ac:dyDescent="0.25">
      <c r="A59" s="133">
        <f t="shared" si="269"/>
        <v>49</v>
      </c>
      <c r="B59" s="122">
        <v>11276</v>
      </c>
      <c r="C59" s="122" t="s">
        <v>269</v>
      </c>
      <c r="D59" s="122" t="s">
        <v>216</v>
      </c>
      <c r="E59" s="109">
        <v>31</v>
      </c>
      <c r="F59" s="109">
        <f>VLOOKUP(B59,ATTENDANCE!$B$4:$AS$113,44,0)</f>
        <v>31</v>
      </c>
      <c r="G59" s="109">
        <v>0</v>
      </c>
      <c r="H59" s="110">
        <f t="shared" ref="H59" si="314">I59+J59+K59+L59</f>
        <v>20575</v>
      </c>
      <c r="I59" s="110">
        <v>4722</v>
      </c>
      <c r="J59" s="110">
        <v>13778</v>
      </c>
      <c r="K59" s="110">
        <v>2075</v>
      </c>
      <c r="L59" s="110">
        <v>0</v>
      </c>
      <c r="M59" s="110">
        <f>(I59+J59)*8.33%</f>
        <v>1541.05</v>
      </c>
      <c r="N59" s="110">
        <f>H59*4.93%</f>
        <v>1014.3475</v>
      </c>
      <c r="O59" s="110">
        <f>H59*3.29%</f>
        <v>676.91750000000002</v>
      </c>
      <c r="P59" s="110">
        <f>H59*2.88%</f>
        <v>592.55999999999995</v>
      </c>
      <c r="Q59" s="110">
        <f>I59/E59*F59</f>
        <v>4722</v>
      </c>
      <c r="R59" s="110">
        <f>J59/E59*F59</f>
        <v>13778</v>
      </c>
      <c r="S59" s="110">
        <f>+K59/E59*F59</f>
        <v>2075</v>
      </c>
      <c r="T59" s="110">
        <f>L59/E59*F59</f>
        <v>0</v>
      </c>
      <c r="U59" s="110">
        <f>M59/E59*F59</f>
        <v>1541.05</v>
      </c>
      <c r="V59" s="110">
        <f>N59/E59*F59</f>
        <v>1014.3475</v>
      </c>
      <c r="W59" s="110">
        <f>O59/E59*F59</f>
        <v>676.91750000000002</v>
      </c>
      <c r="X59" s="110">
        <f>P59/E59*F59</f>
        <v>592.55999999999995</v>
      </c>
      <c r="Y59" s="110">
        <f>(H59+M59+N59+O59+P59)/E59*G59</f>
        <v>0</v>
      </c>
      <c r="Z59" s="110">
        <f>Q59+R59+S59+T59+U59+V59+W59+X59+Y59</f>
        <v>24399.875</v>
      </c>
      <c r="AA59" s="110">
        <f t="shared" si="264"/>
        <v>1800</v>
      </c>
      <c r="AB59" s="110">
        <v>0</v>
      </c>
      <c r="AC59" s="110">
        <f t="shared" si="267"/>
        <v>200</v>
      </c>
      <c r="AD59" s="110">
        <v>0</v>
      </c>
      <c r="AE59" s="110">
        <f t="shared" si="268"/>
        <v>2000</v>
      </c>
      <c r="AF59" s="143">
        <f t="shared" ref="AF59" si="315">ROUND(Z59-AE59,0)</f>
        <v>22400</v>
      </c>
      <c r="AG59" s="110">
        <f t="shared" si="266"/>
        <v>1950</v>
      </c>
      <c r="AH59" s="110">
        <v>1000</v>
      </c>
      <c r="AI59" s="110">
        <f t="shared" si="175"/>
        <v>27349.875</v>
      </c>
      <c r="AJ59" s="110">
        <f t="shared" si="270"/>
        <v>26959</v>
      </c>
      <c r="AK59" s="29">
        <f t="shared" si="8"/>
        <v>-390.875</v>
      </c>
      <c r="AL59" s="110">
        <v>22400</v>
      </c>
    </row>
    <row r="60" spans="1:38" ht="18.75" customHeight="1" x14ac:dyDescent="0.25">
      <c r="A60" s="133"/>
      <c r="B60" s="122"/>
      <c r="C60" s="139" t="s">
        <v>156</v>
      </c>
      <c r="D60" s="122"/>
      <c r="E60" s="115">
        <f t="shared" ref="E60:AL60" si="316">SUM(E50:E59)</f>
        <v>310</v>
      </c>
      <c r="F60" s="115">
        <f t="shared" si="316"/>
        <v>188</v>
      </c>
      <c r="G60" s="115">
        <f t="shared" si="316"/>
        <v>0</v>
      </c>
      <c r="H60" s="112">
        <f t="shared" si="316"/>
        <v>201885.4</v>
      </c>
      <c r="I60" s="112">
        <f t="shared" si="316"/>
        <v>47220</v>
      </c>
      <c r="J60" s="112">
        <f t="shared" si="316"/>
        <v>137711</v>
      </c>
      <c r="K60" s="112">
        <f t="shared" si="316"/>
        <v>16954.400000000001</v>
      </c>
      <c r="L60" s="112">
        <f t="shared" si="316"/>
        <v>0</v>
      </c>
      <c r="M60" s="112">
        <f t="shared" si="316"/>
        <v>15404.752299999996</v>
      </c>
      <c r="N60" s="112">
        <f t="shared" si="316"/>
        <v>9952.9502199999988</v>
      </c>
      <c r="O60" s="112">
        <f t="shared" si="316"/>
        <v>6642.0296600000001</v>
      </c>
      <c r="P60" s="112">
        <f t="shared" si="316"/>
        <v>5814.2995200000005</v>
      </c>
      <c r="Q60" s="112">
        <f t="shared" si="316"/>
        <v>28636.645161290322</v>
      </c>
      <c r="R60" s="112">
        <f t="shared" si="316"/>
        <v>83518.387096774197</v>
      </c>
      <c r="S60" s="112">
        <f t="shared" si="316"/>
        <v>10384.032258064517</v>
      </c>
      <c r="T60" s="112">
        <f t="shared" si="316"/>
        <v>0</v>
      </c>
      <c r="U60" s="112">
        <f t="shared" si="316"/>
        <v>9342.5141870967745</v>
      </c>
      <c r="V60" s="112">
        <f t="shared" si="316"/>
        <v>6041.1758806451608</v>
      </c>
      <c r="W60" s="112">
        <f t="shared" si="316"/>
        <v>4031.5352225806455</v>
      </c>
      <c r="X60" s="112">
        <f t="shared" si="316"/>
        <v>3529.1250580645155</v>
      </c>
      <c r="Y60" s="112">
        <f t="shared" si="316"/>
        <v>0</v>
      </c>
      <c r="Z60" s="112">
        <f t="shared" si="316"/>
        <v>145483.41486451612</v>
      </c>
      <c r="AA60" s="112">
        <f t="shared" si="316"/>
        <v>10916.129032258064</v>
      </c>
      <c r="AB60" s="112">
        <f t="shared" si="316"/>
        <v>0</v>
      </c>
      <c r="AC60" s="112">
        <f t="shared" si="316"/>
        <v>950</v>
      </c>
      <c r="AD60" s="112">
        <f t="shared" si="316"/>
        <v>0</v>
      </c>
      <c r="AE60" s="112">
        <f t="shared" si="316"/>
        <v>11866.129032258063</v>
      </c>
      <c r="AF60" s="112">
        <f t="shared" si="316"/>
        <v>133618</v>
      </c>
      <c r="AG60" s="112">
        <f t="shared" si="316"/>
        <v>11825.8064516129</v>
      </c>
      <c r="AH60" s="112">
        <f t="shared" si="316"/>
        <v>10000</v>
      </c>
      <c r="AI60" s="112">
        <f t="shared" si="316"/>
        <v>167309.22131612903</v>
      </c>
      <c r="AJ60" s="112">
        <f t="shared" si="316"/>
        <v>163493.29032258064</v>
      </c>
      <c r="AK60" s="112">
        <f t="shared" si="316"/>
        <v>-3815.9309935483757</v>
      </c>
      <c r="AL60" s="112">
        <f t="shared" si="316"/>
        <v>221200</v>
      </c>
    </row>
    <row r="61" spans="1:38" ht="17.25" x14ac:dyDescent="0.25">
      <c r="A61" s="133">
        <f>A59+1</f>
        <v>50</v>
      </c>
      <c r="B61" s="122">
        <v>11572</v>
      </c>
      <c r="C61" s="122" t="s">
        <v>346</v>
      </c>
      <c r="D61" s="122" t="s">
        <v>59</v>
      </c>
      <c r="E61" s="109">
        <v>31</v>
      </c>
      <c r="F61" s="109">
        <f>VLOOKUP(B61,ATTENDANCE!$B$4:$AS$113,44,0)</f>
        <v>31</v>
      </c>
      <c r="G61" s="109">
        <v>0</v>
      </c>
      <c r="H61" s="110">
        <f t="shared" si="1"/>
        <v>20386</v>
      </c>
      <c r="I61" s="110">
        <v>4722</v>
      </c>
      <c r="J61" s="110">
        <v>13778</v>
      </c>
      <c r="K61" s="110">
        <v>1886</v>
      </c>
      <c r="L61" s="110">
        <v>0</v>
      </c>
      <c r="M61" s="110">
        <f t="shared" ref="M61" si="317">(I61+J61)*8.33%</f>
        <v>1541.05</v>
      </c>
      <c r="N61" s="110">
        <f t="shared" ref="N61" si="318">H61*4.93%</f>
        <v>1005.0297999999999</v>
      </c>
      <c r="O61" s="110">
        <f t="shared" ref="O61" si="319">H61*3.29%</f>
        <v>670.69939999999997</v>
      </c>
      <c r="P61" s="110">
        <f t="shared" ref="P61" si="320">H61*2.88%</f>
        <v>587.11680000000001</v>
      </c>
      <c r="Q61" s="110">
        <f>I61/E61*F61</f>
        <v>4722</v>
      </c>
      <c r="R61" s="110">
        <f>J61/E61*F61</f>
        <v>13778</v>
      </c>
      <c r="S61" s="110">
        <f t="shared" si="2"/>
        <v>1886</v>
      </c>
      <c r="T61" s="110">
        <f t="shared" si="3"/>
        <v>0</v>
      </c>
      <c r="U61" s="110">
        <f>M61/E61*F61</f>
        <v>1541.05</v>
      </c>
      <c r="V61" s="110">
        <f>N61/E61*F61</f>
        <v>1005.0298</v>
      </c>
      <c r="W61" s="110">
        <f>O61/E61*F61</f>
        <v>670.69939999999997</v>
      </c>
      <c r="X61" s="110">
        <f>P61/E61*F61</f>
        <v>587.11680000000001</v>
      </c>
      <c r="Y61" s="110">
        <f>(H61+M61+N61+O61+P61)/E61*G61</f>
        <v>0</v>
      </c>
      <c r="Z61" s="110">
        <f t="shared" si="4"/>
        <v>24189.896000000001</v>
      </c>
      <c r="AA61" s="110">
        <f>1800*F61/E61</f>
        <v>1800</v>
      </c>
      <c r="AB61" s="110">
        <v>0</v>
      </c>
      <c r="AC61" s="110">
        <f t="shared" ref="AC61" si="321">IF(Z61&gt;20000,200,IF(Z61&gt;15000,150,0))</f>
        <v>200</v>
      </c>
      <c r="AD61" s="110">
        <v>0</v>
      </c>
      <c r="AE61" s="110">
        <f>AA61+AB61+AC61+AD61</f>
        <v>2000</v>
      </c>
      <c r="AF61" s="143">
        <f t="shared" ref="AF61" si="322">ROUND(Z61-AE61,0)</f>
        <v>22190</v>
      </c>
      <c r="AG61" s="110">
        <f>AA61*13/12</f>
        <v>1950</v>
      </c>
      <c r="AH61" s="110">
        <v>1000</v>
      </c>
      <c r="AI61" s="110">
        <f>Z61+AG61+AH61</f>
        <v>27139.896000000001</v>
      </c>
      <c r="AJ61" s="110">
        <f>27140*(F61+G61)/E61</f>
        <v>27140</v>
      </c>
      <c r="AK61" s="29">
        <f t="shared" si="8"/>
        <v>0.10399999999935972</v>
      </c>
      <c r="AL61" s="110">
        <v>22190</v>
      </c>
    </row>
    <row r="62" spans="1:38" ht="17.25" x14ac:dyDescent="0.25">
      <c r="A62" s="133"/>
      <c r="B62" s="122"/>
      <c r="C62" s="139" t="s">
        <v>59</v>
      </c>
      <c r="D62" s="139"/>
      <c r="E62" s="115">
        <f>SUM(E61)</f>
        <v>31</v>
      </c>
      <c r="F62" s="115">
        <f>SUM(F61)</f>
        <v>31</v>
      </c>
      <c r="G62" s="115">
        <f t="shared" ref="G62:AL62" si="323">SUM(G61)</f>
        <v>0</v>
      </c>
      <c r="H62" s="112">
        <f t="shared" si="323"/>
        <v>20386</v>
      </c>
      <c r="I62" s="112">
        <f t="shared" si="323"/>
        <v>4722</v>
      </c>
      <c r="J62" s="112">
        <f t="shared" si="323"/>
        <v>13778</v>
      </c>
      <c r="K62" s="112">
        <f t="shared" si="323"/>
        <v>1886</v>
      </c>
      <c r="L62" s="112">
        <f t="shared" si="323"/>
        <v>0</v>
      </c>
      <c r="M62" s="112">
        <f t="shared" si="323"/>
        <v>1541.05</v>
      </c>
      <c r="N62" s="112">
        <f t="shared" si="323"/>
        <v>1005.0297999999999</v>
      </c>
      <c r="O62" s="112">
        <f t="shared" si="323"/>
        <v>670.69939999999997</v>
      </c>
      <c r="P62" s="112">
        <f t="shared" si="323"/>
        <v>587.11680000000001</v>
      </c>
      <c r="Q62" s="112">
        <f t="shared" si="323"/>
        <v>4722</v>
      </c>
      <c r="R62" s="112">
        <f t="shared" si="323"/>
        <v>13778</v>
      </c>
      <c r="S62" s="112">
        <f t="shared" si="323"/>
        <v>1886</v>
      </c>
      <c r="T62" s="112">
        <f t="shared" si="323"/>
        <v>0</v>
      </c>
      <c r="U62" s="112">
        <f t="shared" si="323"/>
        <v>1541.05</v>
      </c>
      <c r="V62" s="112">
        <f t="shared" si="323"/>
        <v>1005.0298</v>
      </c>
      <c r="W62" s="112">
        <f t="shared" si="323"/>
        <v>670.69939999999997</v>
      </c>
      <c r="X62" s="112">
        <f t="shared" si="323"/>
        <v>587.11680000000001</v>
      </c>
      <c r="Y62" s="112">
        <f t="shared" si="323"/>
        <v>0</v>
      </c>
      <c r="Z62" s="112">
        <f t="shared" si="323"/>
        <v>24189.896000000001</v>
      </c>
      <c r="AA62" s="112">
        <f t="shared" si="323"/>
        <v>1800</v>
      </c>
      <c r="AB62" s="112">
        <f t="shared" si="323"/>
        <v>0</v>
      </c>
      <c r="AC62" s="112">
        <f t="shared" si="323"/>
        <v>200</v>
      </c>
      <c r="AD62" s="112">
        <f t="shared" si="323"/>
        <v>0</v>
      </c>
      <c r="AE62" s="112">
        <f t="shared" si="323"/>
        <v>2000</v>
      </c>
      <c r="AF62" s="112">
        <f t="shared" si="323"/>
        <v>22190</v>
      </c>
      <c r="AG62" s="112">
        <f t="shared" si="323"/>
        <v>1950</v>
      </c>
      <c r="AH62" s="112">
        <f t="shared" si="323"/>
        <v>1000</v>
      </c>
      <c r="AI62" s="112">
        <f t="shared" si="323"/>
        <v>27139.896000000001</v>
      </c>
      <c r="AJ62" s="112">
        <f t="shared" si="323"/>
        <v>27140</v>
      </c>
      <c r="AK62" s="112">
        <f t="shared" si="323"/>
        <v>0.10399999999935972</v>
      </c>
      <c r="AL62" s="112">
        <f t="shared" si="323"/>
        <v>22190</v>
      </c>
    </row>
    <row r="63" spans="1:38" ht="17.25" x14ac:dyDescent="0.25">
      <c r="A63" s="133">
        <f t="shared" si="158"/>
        <v>51</v>
      </c>
      <c r="B63" s="122">
        <v>11214</v>
      </c>
      <c r="C63" s="122" t="s">
        <v>249</v>
      </c>
      <c r="D63" s="122" t="s">
        <v>62</v>
      </c>
      <c r="E63" s="109">
        <v>31</v>
      </c>
      <c r="F63" s="109">
        <f>VLOOKUP(B63,ATTENDANCE!$B$4:$AS$113,44,0)</f>
        <v>31</v>
      </c>
      <c r="G63" s="109">
        <v>0</v>
      </c>
      <c r="H63" s="110">
        <f t="shared" ref="H63" si="324">I63+J63+K63+L63</f>
        <v>20386</v>
      </c>
      <c r="I63" s="110">
        <v>4722</v>
      </c>
      <c r="J63" s="110">
        <v>13778</v>
      </c>
      <c r="K63" s="110">
        <v>1886</v>
      </c>
      <c r="L63" s="110">
        <v>0</v>
      </c>
      <c r="M63" s="110">
        <f>(I63+J63)*8.33%</f>
        <v>1541.05</v>
      </c>
      <c r="N63" s="110">
        <f>H63*4.93%</f>
        <v>1005.0297999999999</v>
      </c>
      <c r="O63" s="110">
        <f>H63*3.29%</f>
        <v>670.69939999999997</v>
      </c>
      <c r="P63" s="110">
        <f>H63*2.88%</f>
        <v>587.11680000000001</v>
      </c>
      <c r="Q63" s="110">
        <f>I63/E63*F63</f>
        <v>4722</v>
      </c>
      <c r="R63" s="110">
        <f>J63/E63*F63</f>
        <v>13778</v>
      </c>
      <c r="S63" s="110">
        <f t="shared" si="2"/>
        <v>1886</v>
      </c>
      <c r="T63" s="110">
        <f t="shared" si="3"/>
        <v>0</v>
      </c>
      <c r="U63" s="110">
        <f>M63/E63*F63</f>
        <v>1541.05</v>
      </c>
      <c r="V63" s="110">
        <f>N63/E63*F63</f>
        <v>1005.0298</v>
      </c>
      <c r="W63" s="110">
        <f>O63/E63*F63</f>
        <v>670.69939999999997</v>
      </c>
      <c r="X63" s="110">
        <f>P63/E63*F63</f>
        <v>587.11680000000001</v>
      </c>
      <c r="Y63" s="110">
        <f>(H63+M63+N63+O63+P63)/E63*G63</f>
        <v>0</v>
      </c>
      <c r="Z63" s="110">
        <f t="shared" si="4"/>
        <v>24189.896000000001</v>
      </c>
      <c r="AA63" s="110">
        <f>1800*F63/E63</f>
        <v>1800</v>
      </c>
      <c r="AB63" s="110">
        <v>0</v>
      </c>
      <c r="AC63" s="110">
        <f t="shared" ref="AC63" si="325">IF(Z63&gt;20000,200,IF(Z63&gt;15000,150,0))</f>
        <v>200</v>
      </c>
      <c r="AD63" s="110">
        <v>0</v>
      </c>
      <c r="AE63" s="110">
        <f>AA63+AB63+AC63+AD63</f>
        <v>2000</v>
      </c>
      <c r="AF63" s="143">
        <f t="shared" ref="AF63" si="326">ROUND(Z63-AE63,0)</f>
        <v>22190</v>
      </c>
      <c r="AG63" s="110">
        <f>AA63*13/12</f>
        <v>1950</v>
      </c>
      <c r="AH63" s="110">
        <v>1000</v>
      </c>
      <c r="AI63" s="110">
        <f>Z63+AG63+AH63</f>
        <v>27139.896000000001</v>
      </c>
      <c r="AJ63" s="110">
        <f>27140*(F63+G63)/E63</f>
        <v>27140</v>
      </c>
      <c r="AK63" s="29">
        <f t="shared" si="8"/>
        <v>0.10399999999935972</v>
      </c>
      <c r="AL63" s="110">
        <v>22458</v>
      </c>
    </row>
    <row r="64" spans="1:38" ht="20.25" customHeight="1" x14ac:dyDescent="0.25">
      <c r="A64" s="133"/>
      <c r="B64" s="122"/>
      <c r="C64" s="139" t="s">
        <v>159</v>
      </c>
      <c r="D64" s="122"/>
      <c r="E64" s="115">
        <f>SUM(E63)</f>
        <v>31</v>
      </c>
      <c r="F64" s="115">
        <f>SUM(F63)</f>
        <v>31</v>
      </c>
      <c r="G64" s="115">
        <f t="shared" ref="G64:AL64" si="327">SUM(G63)</f>
        <v>0</v>
      </c>
      <c r="H64" s="112">
        <f t="shared" si="327"/>
        <v>20386</v>
      </c>
      <c r="I64" s="112">
        <f t="shared" si="327"/>
        <v>4722</v>
      </c>
      <c r="J64" s="112">
        <f t="shared" si="327"/>
        <v>13778</v>
      </c>
      <c r="K64" s="112">
        <f t="shared" si="327"/>
        <v>1886</v>
      </c>
      <c r="L64" s="112">
        <f t="shared" si="327"/>
        <v>0</v>
      </c>
      <c r="M64" s="112">
        <f t="shared" si="327"/>
        <v>1541.05</v>
      </c>
      <c r="N64" s="112">
        <f t="shared" si="327"/>
        <v>1005.0297999999999</v>
      </c>
      <c r="O64" s="112">
        <f t="shared" si="327"/>
        <v>670.69939999999997</v>
      </c>
      <c r="P64" s="112">
        <f t="shared" si="327"/>
        <v>587.11680000000001</v>
      </c>
      <c r="Q64" s="112">
        <f t="shared" si="327"/>
        <v>4722</v>
      </c>
      <c r="R64" s="112">
        <f t="shared" si="327"/>
        <v>13778</v>
      </c>
      <c r="S64" s="112">
        <f t="shared" si="327"/>
        <v>1886</v>
      </c>
      <c r="T64" s="112">
        <f t="shared" si="327"/>
        <v>0</v>
      </c>
      <c r="U64" s="112">
        <f t="shared" si="327"/>
        <v>1541.05</v>
      </c>
      <c r="V64" s="112">
        <f t="shared" si="327"/>
        <v>1005.0298</v>
      </c>
      <c r="W64" s="112">
        <f t="shared" si="327"/>
        <v>670.69939999999997</v>
      </c>
      <c r="X64" s="112">
        <f t="shared" si="327"/>
        <v>587.11680000000001</v>
      </c>
      <c r="Y64" s="112">
        <f t="shared" si="327"/>
        <v>0</v>
      </c>
      <c r="Z64" s="112">
        <f t="shared" si="327"/>
        <v>24189.896000000001</v>
      </c>
      <c r="AA64" s="112">
        <f t="shared" si="327"/>
        <v>1800</v>
      </c>
      <c r="AB64" s="112">
        <f t="shared" si="327"/>
        <v>0</v>
      </c>
      <c r="AC64" s="112">
        <f t="shared" si="327"/>
        <v>200</v>
      </c>
      <c r="AD64" s="112">
        <f t="shared" si="327"/>
        <v>0</v>
      </c>
      <c r="AE64" s="112">
        <f t="shared" si="327"/>
        <v>2000</v>
      </c>
      <c r="AF64" s="112">
        <f t="shared" si="327"/>
        <v>22190</v>
      </c>
      <c r="AG64" s="112">
        <f t="shared" si="327"/>
        <v>1950</v>
      </c>
      <c r="AH64" s="112">
        <f t="shared" si="327"/>
        <v>1000</v>
      </c>
      <c r="AI64" s="112">
        <f t="shared" si="327"/>
        <v>27139.896000000001</v>
      </c>
      <c r="AJ64" s="112">
        <f t="shared" si="327"/>
        <v>27140</v>
      </c>
      <c r="AK64" s="112">
        <f t="shared" si="327"/>
        <v>0.10399999999935972</v>
      </c>
      <c r="AL64" s="112">
        <f t="shared" si="327"/>
        <v>22458</v>
      </c>
    </row>
    <row r="65" spans="1:38" ht="17.25" x14ac:dyDescent="0.25">
      <c r="A65" s="133">
        <f t="shared" si="158"/>
        <v>52</v>
      </c>
      <c r="B65" s="122">
        <v>11640</v>
      </c>
      <c r="C65" s="215" t="s">
        <v>352</v>
      </c>
      <c r="D65" s="122" t="s">
        <v>61</v>
      </c>
      <c r="E65" s="109">
        <v>31</v>
      </c>
      <c r="F65" s="109">
        <f>VLOOKUP(B65,ATTENDANCE!$B$4:$AS$113,44,0)</f>
        <v>31</v>
      </c>
      <c r="G65" s="109">
        <v>0</v>
      </c>
      <c r="H65" s="110">
        <f t="shared" ref="H65" si="328">I65+J65+K65+L65</f>
        <v>19315</v>
      </c>
      <c r="I65" s="110">
        <v>4722</v>
      </c>
      <c r="J65" s="110">
        <v>13778</v>
      </c>
      <c r="K65" s="110">
        <v>815</v>
      </c>
      <c r="L65" s="110">
        <v>0</v>
      </c>
      <c r="M65" s="110">
        <f>(I65+J65)*8.33%</f>
        <v>1541.05</v>
      </c>
      <c r="N65" s="110">
        <f>H65*4.93%</f>
        <v>952.22949999999992</v>
      </c>
      <c r="O65" s="110">
        <f>H65*3.29%</f>
        <v>635.46349999999995</v>
      </c>
      <c r="P65" s="110">
        <f>H65*2.88%</f>
        <v>556.27199999999993</v>
      </c>
      <c r="Q65" s="110">
        <f>I65/E65*F65</f>
        <v>4722</v>
      </c>
      <c r="R65" s="110">
        <f>J65/E65*F65</f>
        <v>13778</v>
      </c>
      <c r="S65" s="110">
        <f t="shared" si="2"/>
        <v>815</v>
      </c>
      <c r="T65" s="110">
        <f t="shared" si="3"/>
        <v>0</v>
      </c>
      <c r="U65" s="110">
        <f>M65/E65*F65</f>
        <v>1541.05</v>
      </c>
      <c r="V65" s="110">
        <f>N65/E65*F65</f>
        <v>952.22949999999992</v>
      </c>
      <c r="W65" s="110">
        <f>O65/E65*F65</f>
        <v>635.46349999999995</v>
      </c>
      <c r="X65" s="110">
        <f>P65/E65*F65</f>
        <v>556.27199999999993</v>
      </c>
      <c r="Y65" s="110">
        <f>(H65+M65+N65+O65+P65)/E65*G65</f>
        <v>0</v>
      </c>
      <c r="Z65" s="110">
        <f t="shared" si="4"/>
        <v>23000.015000000003</v>
      </c>
      <c r="AA65" s="110">
        <f>1800*F65/E65</f>
        <v>1800</v>
      </c>
      <c r="AB65" s="146">
        <v>0</v>
      </c>
      <c r="AC65" s="110">
        <f>IF(Z65&gt;20000,200,IF(Z65&gt;15000,150,0))</f>
        <v>200</v>
      </c>
      <c r="AD65" s="110">
        <v>0</v>
      </c>
      <c r="AE65" s="110">
        <f>AA65+AB65+AC65+AD65</f>
        <v>2000</v>
      </c>
      <c r="AF65" s="143">
        <f>ROUND(Z65-AE65,0)</f>
        <v>21000</v>
      </c>
      <c r="AG65" s="110">
        <f>AA65*13/12</f>
        <v>1950</v>
      </c>
      <c r="AH65" s="110">
        <v>1000</v>
      </c>
      <c r="AI65" s="110">
        <f>Z65+AG65+AH65</f>
        <v>25950.015000000003</v>
      </c>
      <c r="AJ65" s="110">
        <f>27140*(F65+G65)/E65</f>
        <v>27140</v>
      </c>
      <c r="AK65" s="29">
        <f t="shared" si="8"/>
        <v>1189.9849999999969</v>
      </c>
      <c r="AL65" s="111">
        <v>21000</v>
      </c>
    </row>
    <row r="66" spans="1:38" ht="17.25" x14ac:dyDescent="0.25">
      <c r="A66" s="133"/>
      <c r="B66" s="211"/>
      <c r="C66" s="216" t="s">
        <v>61</v>
      </c>
      <c r="D66" s="211"/>
      <c r="E66" s="115">
        <f>SUM(E65)</f>
        <v>31</v>
      </c>
      <c r="F66" s="112">
        <f t="shared" ref="F66:AL66" si="329">SUM(F65)</f>
        <v>31</v>
      </c>
      <c r="G66" s="112">
        <f t="shared" si="329"/>
        <v>0</v>
      </c>
      <c r="H66" s="112">
        <f t="shared" si="329"/>
        <v>19315</v>
      </c>
      <c r="I66" s="112">
        <f t="shared" si="329"/>
        <v>4722</v>
      </c>
      <c r="J66" s="112">
        <f t="shared" si="329"/>
        <v>13778</v>
      </c>
      <c r="K66" s="112">
        <f t="shared" si="329"/>
        <v>815</v>
      </c>
      <c r="L66" s="112">
        <f t="shared" si="329"/>
        <v>0</v>
      </c>
      <c r="M66" s="112">
        <f t="shared" si="329"/>
        <v>1541.05</v>
      </c>
      <c r="N66" s="112">
        <f t="shared" si="329"/>
        <v>952.22949999999992</v>
      </c>
      <c r="O66" s="112">
        <f t="shared" si="329"/>
        <v>635.46349999999995</v>
      </c>
      <c r="P66" s="112">
        <f t="shared" si="329"/>
        <v>556.27199999999993</v>
      </c>
      <c r="Q66" s="112">
        <f t="shared" si="329"/>
        <v>4722</v>
      </c>
      <c r="R66" s="112">
        <f t="shared" si="329"/>
        <v>13778</v>
      </c>
      <c r="S66" s="112">
        <f t="shared" si="329"/>
        <v>815</v>
      </c>
      <c r="T66" s="112">
        <f t="shared" si="329"/>
        <v>0</v>
      </c>
      <c r="U66" s="112">
        <f t="shared" si="329"/>
        <v>1541.05</v>
      </c>
      <c r="V66" s="112">
        <f t="shared" si="329"/>
        <v>952.22949999999992</v>
      </c>
      <c r="W66" s="112">
        <f t="shared" si="329"/>
        <v>635.46349999999995</v>
      </c>
      <c r="X66" s="112">
        <f t="shared" si="329"/>
        <v>556.27199999999993</v>
      </c>
      <c r="Y66" s="112">
        <f t="shared" si="329"/>
        <v>0</v>
      </c>
      <c r="Z66" s="112">
        <f t="shared" si="329"/>
        <v>23000.015000000003</v>
      </c>
      <c r="AA66" s="112">
        <f t="shared" si="329"/>
        <v>1800</v>
      </c>
      <c r="AB66" s="112">
        <f t="shared" si="329"/>
        <v>0</v>
      </c>
      <c r="AC66" s="112">
        <f t="shared" si="329"/>
        <v>200</v>
      </c>
      <c r="AD66" s="112">
        <f t="shared" si="329"/>
        <v>0</v>
      </c>
      <c r="AE66" s="112">
        <f t="shared" si="329"/>
        <v>2000</v>
      </c>
      <c r="AF66" s="112">
        <f t="shared" si="329"/>
        <v>21000</v>
      </c>
      <c r="AG66" s="112">
        <f t="shared" si="329"/>
        <v>1950</v>
      </c>
      <c r="AH66" s="112">
        <f t="shared" si="329"/>
        <v>1000</v>
      </c>
      <c r="AI66" s="112">
        <f t="shared" si="329"/>
        <v>25950.015000000003</v>
      </c>
      <c r="AJ66" s="112">
        <f t="shared" si="329"/>
        <v>27140</v>
      </c>
      <c r="AK66" s="112">
        <f t="shared" si="329"/>
        <v>1189.9849999999969</v>
      </c>
      <c r="AL66" s="112">
        <f t="shared" si="329"/>
        <v>21000</v>
      </c>
    </row>
    <row r="67" spans="1:38" ht="17.25" x14ac:dyDescent="0.25">
      <c r="A67" s="133">
        <f>A65+1</f>
        <v>53</v>
      </c>
      <c r="B67" s="168">
        <v>12141</v>
      </c>
      <c r="C67" s="214" t="s">
        <v>392</v>
      </c>
      <c r="D67" s="211" t="s">
        <v>157</v>
      </c>
      <c r="E67" s="109">
        <v>31</v>
      </c>
      <c r="F67" s="109">
        <f>VLOOKUP(B67,ATTENDANCE!$B$4:$AS$113,44,0)</f>
        <v>26</v>
      </c>
      <c r="G67" s="109">
        <v>0</v>
      </c>
      <c r="H67" s="110">
        <f>I67+J67+K67+L67</f>
        <v>21115</v>
      </c>
      <c r="I67" s="110">
        <v>4722</v>
      </c>
      <c r="J67" s="110">
        <v>13778</v>
      </c>
      <c r="K67" s="110">
        <v>2615</v>
      </c>
      <c r="L67" s="110">
        <v>0</v>
      </c>
      <c r="M67" s="110">
        <f>(I67+J67)*8.33%</f>
        <v>1541.05</v>
      </c>
      <c r="N67" s="110">
        <f>H67*4.93%</f>
        <v>1040.9694999999999</v>
      </c>
      <c r="O67" s="110">
        <f>H67*3.29%</f>
        <v>694.68349999999998</v>
      </c>
      <c r="P67" s="110">
        <f>H67*2.88%</f>
        <v>608.11199999999997</v>
      </c>
      <c r="Q67" s="110">
        <f>I67/E67*F67</f>
        <v>3960.3870967741932</v>
      </c>
      <c r="R67" s="110">
        <f>J67/E67*F67</f>
        <v>11555.741935483871</v>
      </c>
      <c r="S67" s="110">
        <f>+K67/E67*F67</f>
        <v>2193.2258064516132</v>
      </c>
      <c r="T67" s="110">
        <f>L67/E67*F67</f>
        <v>0</v>
      </c>
      <c r="U67" s="110">
        <f>M67/E67*F67</f>
        <v>1292.4935483870968</v>
      </c>
      <c r="V67" s="110">
        <f>N67/E67*F67</f>
        <v>873.07119354838699</v>
      </c>
      <c r="W67" s="110">
        <f>O67/E67*F67</f>
        <v>582.63777419354835</v>
      </c>
      <c r="X67" s="110">
        <f>P67/E67*F67</f>
        <v>510.02941935483864</v>
      </c>
      <c r="Y67" s="110">
        <f>(H67+M67+N67+O67+P67)/E67*G67</f>
        <v>0</v>
      </c>
      <c r="Z67" s="110">
        <f>Q67+R67+S67+T67+U67+V67+W67+X67+Y67</f>
        <v>20967.586774193551</v>
      </c>
      <c r="AA67" s="110">
        <f>1800*F67/E67</f>
        <v>1509.6774193548388</v>
      </c>
      <c r="AB67" s="110">
        <v>0</v>
      </c>
      <c r="AC67" s="110">
        <f t="shared" ref="AC67" si="330">IF(Z67&gt;20000,200,IF(Z67&gt;15000,150,0))</f>
        <v>200</v>
      </c>
      <c r="AD67" s="110">
        <v>0</v>
      </c>
      <c r="AE67" s="110">
        <f t="shared" ref="AE67" si="331">AA67+AB67+AC67+AD67</f>
        <v>1709.6774193548388</v>
      </c>
      <c r="AF67" s="143">
        <f t="shared" ref="AF67" si="332">ROUND(Z67-AE67,0)</f>
        <v>19258</v>
      </c>
      <c r="AG67" s="110">
        <f>AA67*13/12</f>
        <v>1635.4838709677422</v>
      </c>
      <c r="AH67" s="110">
        <v>1000</v>
      </c>
      <c r="AI67" s="110">
        <f>Z67+AG67+AH67</f>
        <v>23603.070645161293</v>
      </c>
      <c r="AJ67" s="110">
        <f>26959*(F67+G67)/E67</f>
        <v>22610.774193548386</v>
      </c>
      <c r="AK67" s="29">
        <f t="shared" si="8"/>
        <v>-992.29645161290682</v>
      </c>
      <c r="AL67" s="110">
        <v>23000</v>
      </c>
    </row>
    <row r="68" spans="1:38" ht="17.25" x14ac:dyDescent="0.25">
      <c r="A68" s="133"/>
      <c r="B68" s="211"/>
      <c r="C68" s="216" t="s">
        <v>157</v>
      </c>
      <c r="D68" s="211"/>
      <c r="E68" s="115">
        <f>SUM(E67)</f>
        <v>31</v>
      </c>
      <c r="F68" s="115">
        <f t="shared" ref="F68:AL68" si="333">SUM(F67)</f>
        <v>26</v>
      </c>
      <c r="G68" s="115">
        <f t="shared" si="333"/>
        <v>0</v>
      </c>
      <c r="H68" s="112">
        <f t="shared" si="333"/>
        <v>21115</v>
      </c>
      <c r="I68" s="112">
        <f t="shared" si="333"/>
        <v>4722</v>
      </c>
      <c r="J68" s="112">
        <f t="shared" si="333"/>
        <v>13778</v>
      </c>
      <c r="K68" s="112">
        <f t="shared" si="333"/>
        <v>2615</v>
      </c>
      <c r="L68" s="112">
        <f t="shared" si="333"/>
        <v>0</v>
      </c>
      <c r="M68" s="112">
        <f t="shared" si="333"/>
        <v>1541.05</v>
      </c>
      <c r="N68" s="112">
        <f t="shared" si="333"/>
        <v>1040.9694999999999</v>
      </c>
      <c r="O68" s="112">
        <f t="shared" si="333"/>
        <v>694.68349999999998</v>
      </c>
      <c r="P68" s="112">
        <f t="shared" si="333"/>
        <v>608.11199999999997</v>
      </c>
      <c r="Q68" s="112">
        <f t="shared" si="333"/>
        <v>3960.3870967741932</v>
      </c>
      <c r="R68" s="112">
        <f t="shared" si="333"/>
        <v>11555.741935483871</v>
      </c>
      <c r="S68" s="112">
        <f t="shared" si="333"/>
        <v>2193.2258064516132</v>
      </c>
      <c r="T68" s="112">
        <f t="shared" si="333"/>
        <v>0</v>
      </c>
      <c r="U68" s="112">
        <f t="shared" si="333"/>
        <v>1292.4935483870968</v>
      </c>
      <c r="V68" s="112">
        <f t="shared" si="333"/>
        <v>873.07119354838699</v>
      </c>
      <c r="W68" s="112">
        <f t="shared" si="333"/>
        <v>582.63777419354835</v>
      </c>
      <c r="X68" s="112">
        <f t="shared" si="333"/>
        <v>510.02941935483864</v>
      </c>
      <c r="Y68" s="112">
        <f t="shared" si="333"/>
        <v>0</v>
      </c>
      <c r="Z68" s="112">
        <f t="shared" si="333"/>
        <v>20967.586774193551</v>
      </c>
      <c r="AA68" s="112">
        <f t="shared" si="333"/>
        <v>1509.6774193548388</v>
      </c>
      <c r="AB68" s="112">
        <f t="shared" si="333"/>
        <v>0</v>
      </c>
      <c r="AC68" s="112">
        <f t="shared" si="333"/>
        <v>200</v>
      </c>
      <c r="AD68" s="112">
        <f t="shared" si="333"/>
        <v>0</v>
      </c>
      <c r="AE68" s="112">
        <f t="shared" si="333"/>
        <v>1709.6774193548388</v>
      </c>
      <c r="AF68" s="112">
        <f t="shared" si="333"/>
        <v>19258</v>
      </c>
      <c r="AG68" s="112">
        <f t="shared" si="333"/>
        <v>1635.4838709677422</v>
      </c>
      <c r="AH68" s="112">
        <f t="shared" si="333"/>
        <v>1000</v>
      </c>
      <c r="AI68" s="112">
        <f t="shared" si="333"/>
        <v>23603.070645161293</v>
      </c>
      <c r="AJ68" s="112">
        <f t="shared" si="333"/>
        <v>22610.774193548386</v>
      </c>
      <c r="AK68" s="112">
        <f t="shared" si="333"/>
        <v>-992.29645161290682</v>
      </c>
      <c r="AL68" s="112">
        <f t="shared" si="333"/>
        <v>23000</v>
      </c>
    </row>
    <row r="69" spans="1:38" ht="17.25" x14ac:dyDescent="0.25">
      <c r="A69" s="133">
        <f>A67+1</f>
        <v>54</v>
      </c>
      <c r="B69" s="168">
        <v>12057</v>
      </c>
      <c r="C69" s="209" t="s">
        <v>391</v>
      </c>
      <c r="D69" s="211" t="s">
        <v>381</v>
      </c>
      <c r="E69" s="109">
        <v>31</v>
      </c>
      <c r="F69" s="109">
        <f>VLOOKUP(B69,ATTENDANCE!$B$4:$AS$113,44,0)</f>
        <v>31</v>
      </c>
      <c r="G69" s="109">
        <v>0</v>
      </c>
      <c r="H69" s="110">
        <f t="shared" ref="H69" si="334">I69+J69+K69+L69</f>
        <v>20386</v>
      </c>
      <c r="I69" s="110">
        <v>4722</v>
      </c>
      <c r="J69" s="110">
        <v>13778</v>
      </c>
      <c r="K69" s="110">
        <v>1886</v>
      </c>
      <c r="L69" s="110">
        <v>0</v>
      </c>
      <c r="M69" s="110">
        <f>(I69+J69)*8.33%</f>
        <v>1541.05</v>
      </c>
      <c r="N69" s="110">
        <f>H69*4.93%</f>
        <v>1005.0297999999999</v>
      </c>
      <c r="O69" s="110">
        <f>H69*3.29%</f>
        <v>670.69939999999997</v>
      </c>
      <c r="P69" s="110">
        <f>H69*2.88%</f>
        <v>587.11680000000001</v>
      </c>
      <c r="Q69" s="110">
        <f>I69/E69*F69</f>
        <v>4722</v>
      </c>
      <c r="R69" s="110">
        <f>J69/E69*F69</f>
        <v>13778</v>
      </c>
      <c r="S69" s="110">
        <f>+K69/E69*F69</f>
        <v>1886</v>
      </c>
      <c r="T69" s="110">
        <f>L69/E69*F69</f>
        <v>0</v>
      </c>
      <c r="U69" s="110">
        <f>M69/E69*F69</f>
        <v>1541.05</v>
      </c>
      <c r="V69" s="110">
        <f>N69/E69*F69</f>
        <v>1005.0298</v>
      </c>
      <c r="W69" s="110">
        <f>O69/E69*F69</f>
        <v>670.69939999999997</v>
      </c>
      <c r="X69" s="110">
        <f>P69/E69*F69</f>
        <v>587.11680000000001</v>
      </c>
      <c r="Y69" s="110">
        <f>(H69+M69+N69+O69+P69)/E69*G69</f>
        <v>0</v>
      </c>
      <c r="Z69" s="110">
        <f>Q69+R69+S69+T69+U69+V69+W69+X69+Y69</f>
        <v>24189.896000000001</v>
      </c>
      <c r="AA69" s="110">
        <f>1800*F69/E69</f>
        <v>1800</v>
      </c>
      <c r="AB69" s="110">
        <v>0</v>
      </c>
      <c r="AC69" s="110">
        <f>IF(Z69&gt;20000,200,IF(Z69&gt;15000,150,0))</f>
        <v>200</v>
      </c>
      <c r="AD69" s="110">
        <v>0</v>
      </c>
      <c r="AE69" s="110">
        <f t="shared" ref="AE69" si="335">AA69+AB69+AC69+AD69</f>
        <v>2000</v>
      </c>
      <c r="AF69" s="143">
        <f>ROUND(Z69-AE69,0)</f>
        <v>22190</v>
      </c>
      <c r="AG69" s="110">
        <f t="shared" ref="AG69" si="336">AA69*13/12</f>
        <v>1950</v>
      </c>
      <c r="AH69" s="110">
        <v>1000</v>
      </c>
      <c r="AI69" s="110">
        <f>Z69+AG69+AH69</f>
        <v>27139.896000000001</v>
      </c>
      <c r="AJ69" s="110">
        <f>27140*(F69+G69)/E69</f>
        <v>27140</v>
      </c>
      <c r="AK69" s="29">
        <f t="shared" si="8"/>
        <v>0.10399999999935972</v>
      </c>
      <c r="AL69" s="111">
        <v>20000</v>
      </c>
    </row>
    <row r="70" spans="1:38" s="185" customFormat="1" ht="17.25" x14ac:dyDescent="0.25">
      <c r="A70" s="133"/>
      <c r="B70" s="122"/>
      <c r="C70" s="217" t="s">
        <v>325</v>
      </c>
      <c r="D70" s="122"/>
      <c r="E70" s="115">
        <f t="shared" ref="E70:AL70" si="337">SUM(E69:E69)</f>
        <v>31</v>
      </c>
      <c r="F70" s="115">
        <f t="shared" si="337"/>
        <v>31</v>
      </c>
      <c r="G70" s="115">
        <f t="shared" si="337"/>
        <v>0</v>
      </c>
      <c r="H70" s="112">
        <f t="shared" si="337"/>
        <v>20386</v>
      </c>
      <c r="I70" s="112">
        <f t="shared" si="337"/>
        <v>4722</v>
      </c>
      <c r="J70" s="112">
        <f t="shared" si="337"/>
        <v>13778</v>
      </c>
      <c r="K70" s="112">
        <f t="shared" si="337"/>
        <v>1886</v>
      </c>
      <c r="L70" s="112">
        <f t="shared" si="337"/>
        <v>0</v>
      </c>
      <c r="M70" s="112">
        <f t="shared" si="337"/>
        <v>1541.05</v>
      </c>
      <c r="N70" s="112">
        <f t="shared" si="337"/>
        <v>1005.0297999999999</v>
      </c>
      <c r="O70" s="112">
        <f t="shared" si="337"/>
        <v>670.69939999999997</v>
      </c>
      <c r="P70" s="112">
        <f t="shared" si="337"/>
        <v>587.11680000000001</v>
      </c>
      <c r="Q70" s="112">
        <f t="shared" si="337"/>
        <v>4722</v>
      </c>
      <c r="R70" s="112">
        <f t="shared" si="337"/>
        <v>13778</v>
      </c>
      <c r="S70" s="112">
        <f t="shared" si="337"/>
        <v>1886</v>
      </c>
      <c r="T70" s="112">
        <f t="shared" si="337"/>
        <v>0</v>
      </c>
      <c r="U70" s="112">
        <f t="shared" si="337"/>
        <v>1541.05</v>
      </c>
      <c r="V70" s="112">
        <f t="shared" si="337"/>
        <v>1005.0298</v>
      </c>
      <c r="W70" s="112">
        <f t="shared" si="337"/>
        <v>670.69939999999997</v>
      </c>
      <c r="X70" s="112">
        <f t="shared" si="337"/>
        <v>587.11680000000001</v>
      </c>
      <c r="Y70" s="112">
        <f t="shared" si="337"/>
        <v>0</v>
      </c>
      <c r="Z70" s="112">
        <f t="shared" si="337"/>
        <v>24189.896000000001</v>
      </c>
      <c r="AA70" s="112">
        <f t="shared" si="337"/>
        <v>1800</v>
      </c>
      <c r="AB70" s="112">
        <f t="shared" si="337"/>
        <v>0</v>
      </c>
      <c r="AC70" s="112">
        <f t="shared" si="337"/>
        <v>200</v>
      </c>
      <c r="AD70" s="112">
        <f t="shared" si="337"/>
        <v>0</v>
      </c>
      <c r="AE70" s="112">
        <f t="shared" si="337"/>
        <v>2000</v>
      </c>
      <c r="AF70" s="112">
        <f t="shared" si="337"/>
        <v>22190</v>
      </c>
      <c r="AG70" s="112">
        <f t="shared" si="337"/>
        <v>1950</v>
      </c>
      <c r="AH70" s="112">
        <f t="shared" si="337"/>
        <v>1000</v>
      </c>
      <c r="AI70" s="112">
        <f t="shared" si="337"/>
        <v>27139.896000000001</v>
      </c>
      <c r="AJ70" s="112">
        <f t="shared" si="337"/>
        <v>27140</v>
      </c>
      <c r="AK70" s="112">
        <f t="shared" si="337"/>
        <v>0.10399999999935972</v>
      </c>
      <c r="AL70" s="112">
        <f t="shared" si="337"/>
        <v>20000</v>
      </c>
    </row>
    <row r="71" spans="1:38" ht="19.5" customHeight="1" x14ac:dyDescent="0.25">
      <c r="A71" s="133"/>
      <c r="B71" s="212"/>
      <c r="C71" s="218"/>
      <c r="D71" s="212"/>
      <c r="E71" s="102">
        <f t="shared" ref="E71:AL71" si="338">E6+E15+E29+E34+E39+E49+E60+E62+E64+E70+E66+E68</f>
        <v>1674</v>
      </c>
      <c r="F71" s="196">
        <f t="shared" si="338"/>
        <v>1315</v>
      </c>
      <c r="G71" s="102">
        <f t="shared" si="338"/>
        <v>0</v>
      </c>
      <c r="H71" s="102">
        <f t="shared" si="338"/>
        <v>1104384.5</v>
      </c>
      <c r="I71" s="102">
        <f t="shared" si="338"/>
        <v>255823</v>
      </c>
      <c r="J71" s="102">
        <f t="shared" si="338"/>
        <v>736152</v>
      </c>
      <c r="K71" s="102">
        <f t="shared" si="338"/>
        <v>107089.5</v>
      </c>
      <c r="L71" s="102">
        <f t="shared" si="338"/>
        <v>5320</v>
      </c>
      <c r="M71" s="102">
        <f t="shared" si="338"/>
        <v>82631.517500000002</v>
      </c>
      <c r="N71" s="102">
        <f t="shared" si="338"/>
        <v>54446.155849999988</v>
      </c>
      <c r="O71" s="102">
        <f t="shared" si="338"/>
        <v>36334.250049999988</v>
      </c>
      <c r="P71" s="102">
        <f t="shared" si="338"/>
        <v>31806.273600000004</v>
      </c>
      <c r="Q71" s="102">
        <f t="shared" si="338"/>
        <v>201139.19354838706</v>
      </c>
      <c r="R71" s="102">
        <f t="shared" si="338"/>
        <v>578709.09677419346</v>
      </c>
      <c r="S71" s="102">
        <f t="shared" si="338"/>
        <v>91796.522580645149</v>
      </c>
      <c r="T71" s="102">
        <f t="shared" si="338"/>
        <v>5002.0645161290322</v>
      </c>
      <c r="U71" s="102">
        <f t="shared" si="338"/>
        <v>64961.362583870985</v>
      </c>
      <c r="V71" s="102">
        <f t="shared" si="338"/>
        <v>43218.69105677418</v>
      </c>
      <c r="W71" s="102">
        <f t="shared" si="338"/>
        <v>28841.682267096778</v>
      </c>
      <c r="X71" s="102">
        <f t="shared" si="338"/>
        <v>25247.430069677423</v>
      </c>
      <c r="Y71" s="102">
        <f t="shared" si="338"/>
        <v>0</v>
      </c>
      <c r="Z71" s="102">
        <f t="shared" si="338"/>
        <v>1038916.043396774</v>
      </c>
      <c r="AA71" s="102">
        <f t="shared" si="338"/>
        <v>76354.838709677409</v>
      </c>
      <c r="AB71" s="102">
        <f t="shared" si="338"/>
        <v>1034.0226284516129</v>
      </c>
      <c r="AC71" s="102">
        <f t="shared" si="338"/>
        <v>7950</v>
      </c>
      <c r="AD71" s="102">
        <f t="shared" si="338"/>
        <v>0</v>
      </c>
      <c r="AE71" s="102">
        <f t="shared" si="338"/>
        <v>85338.86133812902</v>
      </c>
      <c r="AF71" s="102">
        <f>AF6+AF15+AF29+AF34+AF39+AF49+AF60+AF62+AF64+AF70+AF66+AF68</f>
        <v>953579</v>
      </c>
      <c r="AG71" s="102">
        <f t="shared" si="338"/>
        <v>82717.741935483864</v>
      </c>
      <c r="AH71" s="102">
        <f t="shared" si="338"/>
        <v>49480.764723290325</v>
      </c>
      <c r="AI71" s="102">
        <f t="shared" si="338"/>
        <v>1171114.5500555481</v>
      </c>
      <c r="AJ71" s="102">
        <f t="shared" si="338"/>
        <v>1179441.5483870967</v>
      </c>
      <c r="AK71" s="102">
        <f t="shared" si="338"/>
        <v>8326.9983315483842</v>
      </c>
      <c r="AL71" s="102">
        <f t="shared" si="338"/>
        <v>1232708</v>
      </c>
    </row>
    <row r="76" spans="1:38" x14ac:dyDescent="0.25">
      <c r="G76" s="186"/>
      <c r="AF76" s="187"/>
    </row>
    <row r="77" spans="1:38" x14ac:dyDescent="0.25">
      <c r="V77" s="341" t="str">
        <f>Z4</f>
        <v>GROSS EARNINGS</v>
      </c>
      <c r="W77" s="342"/>
      <c r="X77" s="343"/>
      <c r="Y77" s="146" t="s">
        <v>112</v>
      </c>
      <c r="Z77" s="146">
        <f>Z71</f>
        <v>1038916.043396774</v>
      </c>
    </row>
    <row r="78" spans="1:38" x14ac:dyDescent="0.25">
      <c r="V78" s="341" t="s">
        <v>113</v>
      </c>
      <c r="W78" s="342"/>
      <c r="X78" s="343"/>
      <c r="Y78" s="146" t="s">
        <v>112</v>
      </c>
      <c r="Z78" s="146">
        <f>AG71</f>
        <v>82717.741935483864</v>
      </c>
    </row>
    <row r="79" spans="1:38" x14ac:dyDescent="0.25">
      <c r="V79" s="341" t="s">
        <v>23</v>
      </c>
      <c r="W79" s="342"/>
      <c r="X79" s="343"/>
      <c r="Y79" s="146" t="s">
        <v>112</v>
      </c>
      <c r="Z79" s="146">
        <f>AH71</f>
        <v>49480.764723290325</v>
      </c>
    </row>
    <row r="80" spans="1:38" x14ac:dyDescent="0.25">
      <c r="V80" s="328" t="s">
        <v>114</v>
      </c>
      <c r="W80" s="329"/>
      <c r="X80" s="330"/>
      <c r="Y80" s="11" t="s">
        <v>112</v>
      </c>
      <c r="Z80" s="11">
        <f>SUM(Z77:Z79)</f>
        <v>1171114.5500555481</v>
      </c>
      <c r="AA80" s="149">
        <f>Z80-AI71</f>
        <v>0</v>
      </c>
    </row>
    <row r="81" spans="22:26" x14ac:dyDescent="0.25">
      <c r="V81" s="341" t="s">
        <v>115</v>
      </c>
      <c r="W81" s="342"/>
      <c r="X81" s="343"/>
      <c r="Y81" s="11" t="s">
        <v>112</v>
      </c>
      <c r="Z81" s="146">
        <f>Z80*8%</f>
        <v>93689.164004443854</v>
      </c>
    </row>
    <row r="82" spans="22:26" x14ac:dyDescent="0.25">
      <c r="V82" s="328" t="s">
        <v>116</v>
      </c>
      <c r="W82" s="329"/>
      <c r="X82" s="330"/>
      <c r="Y82" s="11" t="s">
        <v>112</v>
      </c>
      <c r="Z82" s="11">
        <f>Z80+Z81</f>
        <v>1264803.714059992</v>
      </c>
    </row>
    <row r="83" spans="22:26" x14ac:dyDescent="0.25">
      <c r="V83" s="13"/>
      <c r="W83" s="13"/>
      <c r="X83" s="13"/>
      <c r="Y83" s="13"/>
      <c r="Z83" s="13"/>
    </row>
    <row r="84" spans="22:26" x14ac:dyDescent="0.25">
      <c r="V84" s="13"/>
      <c r="W84" s="13"/>
      <c r="X84" s="13"/>
      <c r="Y84" s="13"/>
      <c r="Z84" s="13"/>
    </row>
  </sheetData>
  <mergeCells count="10">
    <mergeCell ref="V82:X82"/>
    <mergeCell ref="H3:P3"/>
    <mergeCell ref="AA3:AE3"/>
    <mergeCell ref="A3:G3"/>
    <mergeCell ref="Q3:Z3"/>
    <mergeCell ref="V77:X77"/>
    <mergeCell ref="V78:X78"/>
    <mergeCell ref="V79:X79"/>
    <mergeCell ref="V80:X80"/>
    <mergeCell ref="V81:X81"/>
  </mergeCells>
  <conditionalFormatting sqref="B27">
    <cfRule type="duplicateValues" dxfId="17" priority="15"/>
  </conditionalFormatting>
  <conditionalFormatting sqref="B31:B32">
    <cfRule type="duplicateValues" dxfId="16" priority="11"/>
  </conditionalFormatting>
  <conditionalFormatting sqref="B48">
    <cfRule type="duplicateValues" dxfId="15" priority="12"/>
  </conditionalFormatting>
  <conditionalFormatting sqref="B57:B58">
    <cfRule type="duplicateValues" dxfId="14" priority="267"/>
    <cfRule type="duplicateValues" dxfId="13" priority="268"/>
  </conditionalFormatting>
  <conditionalFormatting sqref="B67">
    <cfRule type="duplicateValues" dxfId="12" priority="5"/>
    <cfRule type="duplicateValues" dxfId="11" priority="6"/>
  </conditionalFormatting>
  <conditionalFormatting sqref="B69">
    <cfRule type="duplicateValues" dxfId="10" priority="2"/>
    <cfRule type="duplicateValues" dxfId="9" priority="3"/>
  </conditionalFormatting>
  <conditionalFormatting sqref="C1:C1048576">
    <cfRule type="duplicateValues" dxfId="8" priority="285"/>
  </conditionalFormatting>
  <conditionalFormatting sqref="AK1:AK3 AK5 AK7:AK14 AK16:AK28 AK30:AK33 AK35:AK38 AK40:AK48 AK50:AK59 AK61 AK63 AK65 AK67 AK69 AK72:AK1048576">
    <cfRule type="cellIs" dxfId="7" priority="4" operator="lessThan">
      <formula>0</formula>
    </cfRule>
  </conditionalFormatting>
  <pageMargins left="0.39370078740157483" right="0.15748031496062992" top="0.62992125984251968" bottom="1.6535433070866143" header="0.47244094488188981" footer="0.31496062992125984"/>
  <pageSetup paperSize="9" scale="30" fitToHeight="0"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F505-3DD0-4F34-9450-AACA49DAC626}">
  <dimension ref="A2:AK84"/>
  <sheetViews>
    <sheetView topLeftCell="N1" workbookViewId="0">
      <selection activeCell="AD5" sqref="AD5:AD62"/>
    </sheetView>
  </sheetViews>
  <sheetFormatPr defaultColWidth="10.140625" defaultRowHeight="15" x14ac:dyDescent="0.25"/>
  <cols>
    <col min="1" max="1" width="7" customWidth="1"/>
    <col min="2" max="2" width="13.85546875" customWidth="1"/>
    <col min="3" max="3" width="38.5703125" bestFit="1" customWidth="1"/>
    <col min="4" max="4" width="26.7109375" bestFit="1" customWidth="1"/>
    <col min="5" max="5" width="10.28515625" customWidth="1"/>
    <col min="6" max="6" width="12.28515625" customWidth="1"/>
    <col min="7" max="7" width="16" customWidth="1"/>
    <col min="8" max="8" width="16.140625" style="145" customWidth="1"/>
    <col min="9" max="12" width="15" style="145" customWidth="1"/>
    <col min="13" max="15" width="13.7109375" style="145" customWidth="1"/>
    <col min="16" max="19" width="15" style="145" customWidth="1"/>
    <col min="20" max="22" width="13.7109375" style="145" customWidth="1"/>
    <col min="23" max="23" width="11.28515625" style="145" customWidth="1"/>
    <col min="24" max="24" width="16.140625" style="145" customWidth="1"/>
    <col min="25" max="25" width="15" style="145" customWidth="1"/>
    <col min="26" max="26" width="13.7109375" style="145" bestFit="1" customWidth="1"/>
    <col min="27" max="27" width="13.7109375" style="145" hidden="1" customWidth="1"/>
    <col min="28" max="28" width="10.28515625" style="145" hidden="1" customWidth="1"/>
    <col min="29" max="29" width="15" style="145" hidden="1" customWidth="1"/>
    <col min="30" max="30" width="16.140625" style="145" bestFit="1" customWidth="1"/>
    <col min="31" max="31" width="15" style="145" bestFit="1" customWidth="1"/>
    <col min="32" max="32" width="18" style="145" customWidth="1"/>
    <col min="33" max="33" width="16.140625" style="145" bestFit="1" customWidth="1"/>
    <col min="34" max="34" width="15.85546875" style="145" customWidth="1"/>
    <col min="35" max="35" width="14.42578125" style="145" customWidth="1"/>
  </cols>
  <sheetData>
    <row r="2" spans="1:37" x14ac:dyDescent="0.25">
      <c r="AB2" s="145" t="s">
        <v>304</v>
      </c>
    </row>
    <row r="3" spans="1:37" ht="18.75" x14ac:dyDescent="0.3">
      <c r="A3" s="335" t="s">
        <v>312</v>
      </c>
      <c r="B3" s="336"/>
      <c r="C3" s="336"/>
      <c r="D3" s="336"/>
      <c r="E3" s="336"/>
      <c r="F3" s="336"/>
      <c r="G3" s="337"/>
      <c r="H3" s="351" t="s">
        <v>0</v>
      </c>
      <c r="I3" s="352"/>
      <c r="J3" s="352"/>
      <c r="K3" s="352"/>
      <c r="L3" s="352"/>
      <c r="M3" s="352"/>
      <c r="N3" s="352"/>
      <c r="O3" s="353"/>
      <c r="P3" s="354" t="s">
        <v>78</v>
      </c>
      <c r="Q3" s="355"/>
      <c r="R3" s="355"/>
      <c r="S3" s="355"/>
      <c r="T3" s="355"/>
      <c r="U3" s="355"/>
      <c r="V3" s="355"/>
      <c r="W3" s="355"/>
      <c r="X3" s="356"/>
      <c r="Y3" s="344" t="s">
        <v>1</v>
      </c>
      <c r="Z3" s="344"/>
      <c r="AA3" s="344"/>
      <c r="AB3" s="344"/>
      <c r="AC3" s="344"/>
      <c r="AD3" s="9"/>
    </row>
    <row r="4" spans="1:37" ht="90" customHeight="1" x14ac:dyDescent="0.25">
      <c r="A4" s="5" t="s">
        <v>2</v>
      </c>
      <c r="B4" s="5" t="s">
        <v>3</v>
      </c>
      <c r="C4" s="5" t="s">
        <v>4</v>
      </c>
      <c r="D4" s="5" t="s">
        <v>5</v>
      </c>
      <c r="E4" s="18" t="s">
        <v>6</v>
      </c>
      <c r="F4" s="18" t="s">
        <v>7</v>
      </c>
      <c r="G4" s="18" t="s">
        <v>86</v>
      </c>
      <c r="H4" s="19" t="s">
        <v>8</v>
      </c>
      <c r="I4" s="19" t="s">
        <v>9</v>
      </c>
      <c r="J4" s="19" t="s">
        <v>10</v>
      </c>
      <c r="K4" s="19" t="s">
        <v>11</v>
      </c>
      <c r="L4" s="2" t="s">
        <v>12</v>
      </c>
      <c r="M4" s="2" t="s">
        <v>13</v>
      </c>
      <c r="N4" s="2" t="s">
        <v>14</v>
      </c>
      <c r="O4" s="2" t="s">
        <v>15</v>
      </c>
      <c r="P4" s="20" t="s">
        <v>9</v>
      </c>
      <c r="Q4" s="20" t="s">
        <v>10</v>
      </c>
      <c r="R4" s="20" t="s">
        <v>11</v>
      </c>
      <c r="S4" s="3" t="s">
        <v>12</v>
      </c>
      <c r="T4" s="3" t="s">
        <v>13</v>
      </c>
      <c r="U4" s="3" t="s">
        <v>14</v>
      </c>
      <c r="V4" s="3" t="s">
        <v>15</v>
      </c>
      <c r="W4" s="3" t="s">
        <v>79</v>
      </c>
      <c r="X4" s="3" t="s">
        <v>16</v>
      </c>
      <c r="Y4" s="4" t="s">
        <v>17</v>
      </c>
      <c r="Z4" s="4" t="s">
        <v>18</v>
      </c>
      <c r="AA4" s="4" t="s">
        <v>19</v>
      </c>
      <c r="AB4" s="4" t="s">
        <v>225</v>
      </c>
      <c r="AC4" s="4" t="s">
        <v>20</v>
      </c>
      <c r="AD4" s="5" t="s">
        <v>21</v>
      </c>
      <c r="AE4" s="6" t="s">
        <v>22</v>
      </c>
      <c r="AF4" s="6" t="s">
        <v>212</v>
      </c>
      <c r="AG4" s="6" t="s">
        <v>24</v>
      </c>
      <c r="AH4" s="6"/>
      <c r="AI4" s="9"/>
    </row>
    <row r="5" spans="1:37" ht="17.25" x14ac:dyDescent="0.25">
      <c r="A5" s="7">
        <v>1</v>
      </c>
      <c r="B5" s="8">
        <v>11029</v>
      </c>
      <c r="C5" s="8" t="s">
        <v>25</v>
      </c>
      <c r="D5" s="8" t="s">
        <v>163</v>
      </c>
      <c r="E5" s="109">
        <v>30</v>
      </c>
      <c r="F5" s="109">
        <v>30</v>
      </c>
      <c r="G5" s="109">
        <v>0</v>
      </c>
      <c r="H5" s="109">
        <f>I5+J5+K5</f>
        <v>30365</v>
      </c>
      <c r="I5" s="109">
        <v>5557</v>
      </c>
      <c r="J5" s="109">
        <v>9050</v>
      </c>
      <c r="K5" s="109">
        <v>15758</v>
      </c>
      <c r="L5" s="110">
        <f>(I5+J5)*8.33%</f>
        <v>1216.7630999999999</v>
      </c>
      <c r="M5" s="110">
        <f>H5*4.93%</f>
        <v>1496.9944999999998</v>
      </c>
      <c r="N5" s="110">
        <f>H5*3.29%</f>
        <v>999.00849999999991</v>
      </c>
      <c r="O5" s="110">
        <f>H5*2.88%</f>
        <v>874.51199999999994</v>
      </c>
      <c r="P5" s="110">
        <f>I5/E5*F5</f>
        <v>5557</v>
      </c>
      <c r="Q5" s="110">
        <f>J5/E5*F5</f>
        <v>9050</v>
      </c>
      <c r="R5" s="110">
        <f>K5/E5*F5</f>
        <v>15758</v>
      </c>
      <c r="S5" s="110">
        <f>L5/E5*F5</f>
        <v>1216.7630999999999</v>
      </c>
      <c r="T5" s="110">
        <f>M5/E5*F5</f>
        <v>1496.9944999999998</v>
      </c>
      <c r="U5" s="110">
        <f>N5/E5*F5</f>
        <v>999.00850000000003</v>
      </c>
      <c r="V5" s="110">
        <f>O5/E5*F5</f>
        <v>874.51199999999994</v>
      </c>
      <c r="W5" s="110">
        <f>(H5+L5+M5+N5+O5)/E5*G5</f>
        <v>0</v>
      </c>
      <c r="X5" s="110">
        <f>P5+Q5+R5+S5+T5+U5+V5+W5</f>
        <v>34952.278100000003</v>
      </c>
      <c r="Y5" s="110">
        <f>(P5+Q5)*12%</f>
        <v>1752.84</v>
      </c>
      <c r="Z5" s="110">
        <v>0</v>
      </c>
      <c r="AA5" s="109">
        <f>IF(X5&gt;20000,200,IF(X5&gt;15000,150,0))</f>
        <v>200</v>
      </c>
      <c r="AB5" s="109"/>
      <c r="AC5" s="110">
        <f>Y5+Z5+AA5+AB5</f>
        <v>1952.84</v>
      </c>
      <c r="AD5" s="110">
        <f>ROUND(X5-AC5,0)</f>
        <v>32999</v>
      </c>
      <c r="AE5" s="110">
        <f>(P5+Q5)*13%</f>
        <v>1898.91</v>
      </c>
      <c r="AF5" s="110">
        <v>800</v>
      </c>
      <c r="AG5" s="110">
        <f>X5+AE5+AF5</f>
        <v>37651.188100000007</v>
      </c>
      <c r="AH5" s="146">
        <v>36834</v>
      </c>
      <c r="AI5" s="9"/>
    </row>
    <row r="6" spans="1:37" ht="17.25" x14ac:dyDescent="0.25">
      <c r="A6" s="7"/>
      <c r="B6" s="8"/>
      <c r="C6" s="37" t="s">
        <v>163</v>
      </c>
      <c r="D6" s="8"/>
      <c r="E6" s="112">
        <f>SUM(E5)</f>
        <v>30</v>
      </c>
      <c r="F6" s="112">
        <f t="shared" ref="F6:AG6" si="0">SUM(F5)</f>
        <v>30</v>
      </c>
      <c r="G6" s="112">
        <f t="shared" si="0"/>
        <v>0</v>
      </c>
      <c r="H6" s="112">
        <f t="shared" si="0"/>
        <v>30365</v>
      </c>
      <c r="I6" s="112">
        <f t="shared" si="0"/>
        <v>5557</v>
      </c>
      <c r="J6" s="112">
        <f t="shared" si="0"/>
        <v>9050</v>
      </c>
      <c r="K6" s="112">
        <f t="shared" si="0"/>
        <v>15758</v>
      </c>
      <c r="L6" s="112">
        <f t="shared" si="0"/>
        <v>1216.7630999999999</v>
      </c>
      <c r="M6" s="112">
        <f t="shared" si="0"/>
        <v>1496.9944999999998</v>
      </c>
      <c r="N6" s="112">
        <f t="shared" si="0"/>
        <v>999.00849999999991</v>
      </c>
      <c r="O6" s="112">
        <f t="shared" si="0"/>
        <v>874.51199999999994</v>
      </c>
      <c r="P6" s="112">
        <f t="shared" si="0"/>
        <v>5557</v>
      </c>
      <c r="Q6" s="112">
        <f t="shared" si="0"/>
        <v>9050</v>
      </c>
      <c r="R6" s="112">
        <f t="shared" si="0"/>
        <v>15758</v>
      </c>
      <c r="S6" s="112">
        <f t="shared" si="0"/>
        <v>1216.7630999999999</v>
      </c>
      <c r="T6" s="112">
        <f t="shared" si="0"/>
        <v>1496.9944999999998</v>
      </c>
      <c r="U6" s="112">
        <f t="shared" si="0"/>
        <v>999.00850000000003</v>
      </c>
      <c r="V6" s="112">
        <f t="shared" si="0"/>
        <v>874.51199999999994</v>
      </c>
      <c r="W6" s="112">
        <f t="shared" si="0"/>
        <v>0</v>
      </c>
      <c r="X6" s="112">
        <f t="shared" si="0"/>
        <v>34952.278100000003</v>
      </c>
      <c r="Y6" s="112">
        <f t="shared" si="0"/>
        <v>1752.84</v>
      </c>
      <c r="Z6" s="112">
        <f t="shared" si="0"/>
        <v>0</v>
      </c>
      <c r="AA6" s="112">
        <f t="shared" si="0"/>
        <v>200</v>
      </c>
      <c r="AB6" s="112">
        <f t="shared" si="0"/>
        <v>0</v>
      </c>
      <c r="AC6" s="112">
        <f t="shared" si="0"/>
        <v>1952.84</v>
      </c>
      <c r="AD6" s="112">
        <f t="shared" si="0"/>
        <v>32999</v>
      </c>
      <c r="AE6" s="112">
        <f t="shared" si="0"/>
        <v>1898.91</v>
      </c>
      <c r="AF6" s="112">
        <f t="shared" si="0"/>
        <v>800</v>
      </c>
      <c r="AG6" s="112">
        <f t="shared" si="0"/>
        <v>37651.188100000007</v>
      </c>
      <c r="AH6" s="11">
        <f>SUM(AH5)</f>
        <v>36834</v>
      </c>
      <c r="AI6" s="11">
        <f>AH6-AG6</f>
        <v>-817.18810000000667</v>
      </c>
      <c r="AK6" s="10"/>
    </row>
    <row r="7" spans="1:37" ht="17.25" x14ac:dyDescent="0.25">
      <c r="A7" s="133">
        <v>2</v>
      </c>
      <c r="B7" s="122">
        <v>10984</v>
      </c>
      <c r="C7" s="122" t="s">
        <v>26</v>
      </c>
      <c r="D7" s="122" t="s">
        <v>164</v>
      </c>
      <c r="E7" s="109">
        <v>30</v>
      </c>
      <c r="F7" s="109">
        <v>30</v>
      </c>
      <c r="G7" s="109">
        <v>0</v>
      </c>
      <c r="H7" s="109">
        <f t="shared" ref="H7:H52" si="1">I7+J7+K7</f>
        <v>22687</v>
      </c>
      <c r="I7" s="109">
        <v>4722</v>
      </c>
      <c r="J7" s="109">
        <v>9050</v>
      </c>
      <c r="K7" s="109">
        <v>8915</v>
      </c>
      <c r="L7" s="110">
        <f t="shared" ref="L7:L52" si="2">(I7+J7)*8.33%</f>
        <v>1147.2076</v>
      </c>
      <c r="M7" s="110">
        <f t="shared" ref="M7:M52" si="3">H7*4.93%</f>
        <v>1118.4691</v>
      </c>
      <c r="N7" s="110">
        <f t="shared" ref="N7:N52" si="4">H7*3.29%</f>
        <v>746.40229999999997</v>
      </c>
      <c r="O7" s="110">
        <f t="shared" ref="O7:O52" si="5">H7*2.88%</f>
        <v>653.38559999999995</v>
      </c>
      <c r="P7" s="110">
        <f t="shared" ref="P7:P11" si="6">I7/E7*F7</f>
        <v>4722</v>
      </c>
      <c r="Q7" s="110">
        <f t="shared" ref="Q7:Q11" si="7">J7/E7*F7</f>
        <v>9050</v>
      </c>
      <c r="R7" s="110">
        <f t="shared" ref="R7:R11" si="8">K7/E7*F7</f>
        <v>8915</v>
      </c>
      <c r="S7" s="110">
        <f t="shared" ref="S7:S11" si="9">L7/E7*F7</f>
        <v>1147.2076</v>
      </c>
      <c r="T7" s="110">
        <f t="shared" ref="T7:T11" si="10">M7/E7*F7</f>
        <v>1118.4691</v>
      </c>
      <c r="U7" s="110">
        <f t="shared" ref="U7:U11" si="11">N7/E7*F7</f>
        <v>746.40229999999997</v>
      </c>
      <c r="V7" s="110">
        <f t="shared" ref="V7:V11" si="12">O7/E7*F7</f>
        <v>653.38559999999995</v>
      </c>
      <c r="W7" s="110">
        <f t="shared" ref="W7:W11" si="13">(H7+L7+M7+N7+O7)/E7*G7</f>
        <v>0</v>
      </c>
      <c r="X7" s="110">
        <f t="shared" ref="X7:X11" si="14">P7+Q7+R7+S7+T7+U7+V7+W7</f>
        <v>26352.464600000003</v>
      </c>
      <c r="Y7" s="110">
        <f t="shared" ref="Y7:Y9" si="15">(P7+Q7)*12%</f>
        <v>1652.6399999999999</v>
      </c>
      <c r="Z7" s="110">
        <v>0</v>
      </c>
      <c r="AA7" s="109">
        <f>IF(X7&gt;20000,200,IF(X7&gt;15000,150,0))</f>
        <v>200</v>
      </c>
      <c r="AB7" s="109"/>
      <c r="AC7" s="110">
        <f>Y7+Z7+AA7+AB7</f>
        <v>1852.6399999999999</v>
      </c>
      <c r="AD7" s="110">
        <f t="shared" ref="AD7:AD52" si="16">ROUND(X7-AC7,0)</f>
        <v>24500</v>
      </c>
      <c r="AE7" s="110">
        <f>(P7+Q7)*13%</f>
        <v>1790.3600000000001</v>
      </c>
      <c r="AF7" s="110">
        <v>800</v>
      </c>
      <c r="AG7" s="110">
        <f>X7+AE7+AF7</f>
        <v>28942.824600000004</v>
      </c>
      <c r="AH7" s="146">
        <v>28930</v>
      </c>
      <c r="AI7" s="146">
        <f>AH7-AG7</f>
        <v>-12.824600000003556</v>
      </c>
    </row>
    <row r="8" spans="1:37" ht="17.25" x14ac:dyDescent="0.25">
      <c r="A8" s="133">
        <f>A7+1</f>
        <v>3</v>
      </c>
      <c r="B8" s="122">
        <v>10986</v>
      </c>
      <c r="C8" s="122" t="s">
        <v>29</v>
      </c>
      <c r="D8" s="122" t="s">
        <v>164</v>
      </c>
      <c r="E8" s="109">
        <v>30</v>
      </c>
      <c r="F8" s="109">
        <v>30</v>
      </c>
      <c r="G8" s="109">
        <v>0</v>
      </c>
      <c r="H8" s="109">
        <f>I8+J8+K8</f>
        <v>23896</v>
      </c>
      <c r="I8" s="109">
        <v>4722</v>
      </c>
      <c r="J8" s="109">
        <v>9050</v>
      </c>
      <c r="K8" s="109">
        <v>10124</v>
      </c>
      <c r="L8" s="110">
        <f>(I8+J8)*8.33%</f>
        <v>1147.2076</v>
      </c>
      <c r="M8" s="110">
        <f>H8*4.93%</f>
        <v>1178.0727999999999</v>
      </c>
      <c r="N8" s="110">
        <f>H8*3.29%</f>
        <v>786.17840000000001</v>
      </c>
      <c r="O8" s="110">
        <f>H8*2.88%</f>
        <v>688.20479999999998</v>
      </c>
      <c r="P8" s="110">
        <f t="shared" si="6"/>
        <v>4722</v>
      </c>
      <c r="Q8" s="110">
        <f t="shared" si="7"/>
        <v>9050</v>
      </c>
      <c r="R8" s="110">
        <f t="shared" si="8"/>
        <v>10124</v>
      </c>
      <c r="S8" s="110">
        <f t="shared" si="9"/>
        <v>1147.2076</v>
      </c>
      <c r="T8" s="110">
        <f t="shared" si="10"/>
        <v>1178.0727999999999</v>
      </c>
      <c r="U8" s="110">
        <f t="shared" si="11"/>
        <v>786.17840000000001</v>
      </c>
      <c r="V8" s="110">
        <f t="shared" si="12"/>
        <v>688.20479999999998</v>
      </c>
      <c r="W8" s="110">
        <f t="shared" si="13"/>
        <v>0</v>
      </c>
      <c r="X8" s="110">
        <f t="shared" si="14"/>
        <v>27695.663600000003</v>
      </c>
      <c r="Y8" s="110">
        <f t="shared" si="15"/>
        <v>1652.6399999999999</v>
      </c>
      <c r="Z8" s="110">
        <v>0</v>
      </c>
      <c r="AA8" s="109">
        <f>IF(X8&gt;20000,200,IF(X8&gt;15000,150,0))</f>
        <v>200</v>
      </c>
      <c r="AB8" s="109"/>
      <c r="AC8" s="110">
        <f t="shared" ref="AC8:AC11" si="17">Y8+Z8+AA8+AB8</f>
        <v>1852.6399999999999</v>
      </c>
      <c r="AD8" s="110">
        <f>ROUND(X8-AC8,0)</f>
        <v>25843</v>
      </c>
      <c r="AE8" s="110">
        <f t="shared" ref="AE8:AE11" si="18">(P8+Q8)*13%</f>
        <v>1790.3600000000001</v>
      </c>
      <c r="AF8" s="110">
        <v>800</v>
      </c>
      <c r="AG8" s="110">
        <f t="shared" ref="AG8:AG16" si="19">X8+AE8+AF8</f>
        <v>30286.023600000004</v>
      </c>
      <c r="AH8" s="146">
        <v>28930</v>
      </c>
      <c r="AI8" s="146">
        <f t="shared" ref="AI8:AI14" si="20">AH8-AG8</f>
        <v>-1356.0236000000041</v>
      </c>
    </row>
    <row r="9" spans="1:37" ht="17.25" x14ac:dyDescent="0.25">
      <c r="A9" s="133">
        <f t="shared" ref="A9:A16" si="21">A8+1</f>
        <v>4</v>
      </c>
      <c r="B9" s="122">
        <v>10989</v>
      </c>
      <c r="C9" s="122" t="s">
        <v>30</v>
      </c>
      <c r="D9" s="122" t="s">
        <v>164</v>
      </c>
      <c r="E9" s="109">
        <v>30</v>
      </c>
      <c r="F9" s="109">
        <v>30</v>
      </c>
      <c r="G9" s="109">
        <v>0</v>
      </c>
      <c r="H9" s="109">
        <f t="shared" si="1"/>
        <v>22417</v>
      </c>
      <c r="I9" s="109">
        <v>4722</v>
      </c>
      <c r="J9" s="109">
        <v>9050</v>
      </c>
      <c r="K9" s="109">
        <v>8645</v>
      </c>
      <c r="L9" s="110">
        <f t="shared" si="2"/>
        <v>1147.2076</v>
      </c>
      <c r="M9" s="110">
        <f t="shared" si="3"/>
        <v>1105.1580999999999</v>
      </c>
      <c r="N9" s="110">
        <f t="shared" si="4"/>
        <v>737.51929999999993</v>
      </c>
      <c r="O9" s="110">
        <f t="shared" si="5"/>
        <v>645.6096</v>
      </c>
      <c r="P9" s="110">
        <f>I9/E9*F9</f>
        <v>4722</v>
      </c>
      <c r="Q9" s="110">
        <f>J9/E9*F9</f>
        <v>9050</v>
      </c>
      <c r="R9" s="110">
        <f>K9/E9*F9</f>
        <v>8645</v>
      </c>
      <c r="S9" s="110">
        <f>L9/E9*F9</f>
        <v>1147.2076</v>
      </c>
      <c r="T9" s="110">
        <f>M9/E9*F9</f>
        <v>1105.1580999999999</v>
      </c>
      <c r="U9" s="110">
        <f>N9/E9*F9</f>
        <v>737.51929999999993</v>
      </c>
      <c r="V9" s="110">
        <f>O9/E9*F9</f>
        <v>645.6096</v>
      </c>
      <c r="W9" s="110">
        <f t="shared" si="13"/>
        <v>0</v>
      </c>
      <c r="X9" s="110">
        <f t="shared" si="14"/>
        <v>26052.494600000002</v>
      </c>
      <c r="Y9" s="110">
        <f t="shared" si="15"/>
        <v>1652.6399999999999</v>
      </c>
      <c r="Z9" s="110">
        <v>0</v>
      </c>
      <c r="AA9" s="109">
        <f t="shared" ref="AA9:AA52" si="22">IF(X9&gt;20000,200,IF(X9&gt;15000,150,0))</f>
        <v>200</v>
      </c>
      <c r="AB9" s="109"/>
      <c r="AC9" s="110">
        <f t="shared" si="17"/>
        <v>1852.6399999999999</v>
      </c>
      <c r="AD9" s="110">
        <f t="shared" si="16"/>
        <v>24200</v>
      </c>
      <c r="AE9" s="110">
        <f t="shared" si="18"/>
        <v>1790.3600000000001</v>
      </c>
      <c r="AF9" s="110">
        <v>800</v>
      </c>
      <c r="AG9" s="110">
        <f t="shared" si="19"/>
        <v>28642.854600000002</v>
      </c>
      <c r="AH9" s="146">
        <v>28930</v>
      </c>
      <c r="AI9" s="146">
        <f t="shared" si="20"/>
        <v>287.14539999999761</v>
      </c>
    </row>
    <row r="10" spans="1:37" ht="17.25" x14ac:dyDescent="0.25">
      <c r="A10" s="133">
        <f t="shared" si="21"/>
        <v>5</v>
      </c>
      <c r="B10" s="122">
        <v>10988</v>
      </c>
      <c r="C10" s="122" t="s">
        <v>31</v>
      </c>
      <c r="D10" s="122" t="s">
        <v>164</v>
      </c>
      <c r="E10" s="109">
        <v>30</v>
      </c>
      <c r="F10" s="109">
        <v>30</v>
      </c>
      <c r="G10" s="109">
        <v>0</v>
      </c>
      <c r="H10" s="109">
        <f t="shared" si="1"/>
        <v>22417</v>
      </c>
      <c r="I10" s="109">
        <v>4722</v>
      </c>
      <c r="J10" s="109">
        <v>9050</v>
      </c>
      <c r="K10" s="109">
        <v>8645</v>
      </c>
      <c r="L10" s="110">
        <f t="shared" si="2"/>
        <v>1147.2076</v>
      </c>
      <c r="M10" s="110">
        <f t="shared" si="3"/>
        <v>1105.1580999999999</v>
      </c>
      <c r="N10" s="110">
        <f t="shared" si="4"/>
        <v>737.51929999999993</v>
      </c>
      <c r="O10" s="110">
        <f t="shared" si="5"/>
        <v>645.6096</v>
      </c>
      <c r="P10" s="110">
        <f t="shared" si="6"/>
        <v>4722</v>
      </c>
      <c r="Q10" s="110">
        <f t="shared" si="7"/>
        <v>9050</v>
      </c>
      <c r="R10" s="110">
        <f t="shared" si="8"/>
        <v>8645</v>
      </c>
      <c r="S10" s="110">
        <f t="shared" si="9"/>
        <v>1147.2076</v>
      </c>
      <c r="T10" s="110">
        <f t="shared" si="10"/>
        <v>1105.1580999999999</v>
      </c>
      <c r="U10" s="110">
        <f t="shared" si="11"/>
        <v>737.51929999999993</v>
      </c>
      <c r="V10" s="110">
        <f t="shared" si="12"/>
        <v>645.6096</v>
      </c>
      <c r="W10" s="110">
        <f t="shared" si="13"/>
        <v>0</v>
      </c>
      <c r="X10" s="110">
        <f t="shared" si="14"/>
        <v>26052.494600000002</v>
      </c>
      <c r="Y10" s="110">
        <f>(P10+Q10)*12%</f>
        <v>1652.6399999999999</v>
      </c>
      <c r="Z10" s="110">
        <v>0</v>
      </c>
      <c r="AA10" s="109">
        <f t="shared" si="22"/>
        <v>200</v>
      </c>
      <c r="AB10" s="109"/>
      <c r="AC10" s="110">
        <f t="shared" si="17"/>
        <v>1852.6399999999999</v>
      </c>
      <c r="AD10" s="110">
        <f t="shared" si="16"/>
        <v>24200</v>
      </c>
      <c r="AE10" s="110">
        <f t="shared" si="18"/>
        <v>1790.3600000000001</v>
      </c>
      <c r="AF10" s="110">
        <v>800</v>
      </c>
      <c r="AG10" s="110">
        <f t="shared" si="19"/>
        <v>28642.854600000002</v>
      </c>
      <c r="AH10" s="146">
        <v>28930</v>
      </c>
      <c r="AI10" s="146">
        <f t="shared" si="20"/>
        <v>287.14539999999761</v>
      </c>
    </row>
    <row r="11" spans="1:37" ht="17.25" x14ac:dyDescent="0.25">
      <c r="A11" s="133">
        <f t="shared" si="21"/>
        <v>6</v>
      </c>
      <c r="B11" s="122">
        <v>11215</v>
      </c>
      <c r="C11" s="122" t="s">
        <v>250</v>
      </c>
      <c r="D11" s="122" t="s">
        <v>164</v>
      </c>
      <c r="E11" s="109">
        <v>30</v>
      </c>
      <c r="F11" s="109">
        <v>30</v>
      </c>
      <c r="G11" s="109">
        <v>0</v>
      </c>
      <c r="H11" s="109">
        <f t="shared" si="1"/>
        <v>21787</v>
      </c>
      <c r="I11" s="109">
        <v>4722</v>
      </c>
      <c r="J11" s="109">
        <v>9050</v>
      </c>
      <c r="K11" s="109">
        <v>8015</v>
      </c>
      <c r="L11" s="110">
        <f t="shared" si="2"/>
        <v>1147.2076</v>
      </c>
      <c r="M11" s="110">
        <f t="shared" si="3"/>
        <v>1074.0990999999999</v>
      </c>
      <c r="N11" s="110">
        <f t="shared" si="4"/>
        <v>716.79229999999995</v>
      </c>
      <c r="O11" s="110">
        <f t="shared" si="5"/>
        <v>627.46559999999999</v>
      </c>
      <c r="P11" s="110">
        <f t="shared" si="6"/>
        <v>4722</v>
      </c>
      <c r="Q11" s="110">
        <f t="shared" si="7"/>
        <v>9050</v>
      </c>
      <c r="R11" s="110">
        <f t="shared" si="8"/>
        <v>8015.0000000000009</v>
      </c>
      <c r="S11" s="110">
        <f t="shared" si="9"/>
        <v>1147.2076</v>
      </c>
      <c r="T11" s="110">
        <f t="shared" si="10"/>
        <v>1074.0990999999999</v>
      </c>
      <c r="U11" s="110">
        <f t="shared" si="11"/>
        <v>716.79229999999995</v>
      </c>
      <c r="V11" s="110">
        <f t="shared" si="12"/>
        <v>627.46559999999999</v>
      </c>
      <c r="W11" s="110">
        <f t="shared" si="13"/>
        <v>0</v>
      </c>
      <c r="X11" s="110">
        <f t="shared" si="14"/>
        <v>25352.564600000002</v>
      </c>
      <c r="Y11" s="110">
        <f>(P11+Q11)*12%</f>
        <v>1652.6399999999999</v>
      </c>
      <c r="Z11" s="110">
        <v>0</v>
      </c>
      <c r="AA11" s="109">
        <f t="shared" si="22"/>
        <v>200</v>
      </c>
      <c r="AB11" s="109"/>
      <c r="AC11" s="110">
        <f t="shared" si="17"/>
        <v>1852.6399999999999</v>
      </c>
      <c r="AD11" s="110">
        <f t="shared" si="16"/>
        <v>23500</v>
      </c>
      <c r="AE11" s="110">
        <f t="shared" si="18"/>
        <v>1790.3600000000001</v>
      </c>
      <c r="AF11" s="110">
        <v>800</v>
      </c>
      <c r="AG11" s="110">
        <f t="shared" si="19"/>
        <v>27942.924600000002</v>
      </c>
      <c r="AH11" s="146">
        <v>28930</v>
      </c>
      <c r="AI11" s="146">
        <f t="shared" si="20"/>
        <v>987.0753999999979</v>
      </c>
    </row>
    <row r="12" spans="1:37" ht="17.25" x14ac:dyDescent="0.25">
      <c r="A12" s="133">
        <f t="shared" si="21"/>
        <v>7</v>
      </c>
      <c r="B12" s="8">
        <v>10976</v>
      </c>
      <c r="C12" s="8" t="s">
        <v>27</v>
      </c>
      <c r="D12" s="8" t="s">
        <v>164</v>
      </c>
      <c r="E12" s="109">
        <v>30</v>
      </c>
      <c r="F12" s="109">
        <v>30</v>
      </c>
      <c r="G12" s="109">
        <v>0</v>
      </c>
      <c r="H12" s="109">
        <f>I12+J12+K12</f>
        <v>22867</v>
      </c>
      <c r="I12" s="109">
        <v>4722</v>
      </c>
      <c r="J12" s="109">
        <v>9050</v>
      </c>
      <c r="K12" s="109">
        <v>9095</v>
      </c>
      <c r="L12" s="110">
        <f>(I12+J12)*8.33%</f>
        <v>1147.2076</v>
      </c>
      <c r="M12" s="110">
        <f>H12*4.93%</f>
        <v>1127.3430999999998</v>
      </c>
      <c r="N12" s="110">
        <f>H12*3.29%</f>
        <v>752.32429999999999</v>
      </c>
      <c r="O12" s="110">
        <f>H12*2.88%</f>
        <v>658.56960000000004</v>
      </c>
      <c r="P12" s="110">
        <f>I12/E12*F12</f>
        <v>4722</v>
      </c>
      <c r="Q12" s="110">
        <f>J12/E12*F12</f>
        <v>9050</v>
      </c>
      <c r="R12" s="110">
        <f>K12/E12*F12</f>
        <v>9095</v>
      </c>
      <c r="S12" s="110">
        <f>L12/E12*F12</f>
        <v>1147.2076</v>
      </c>
      <c r="T12" s="110">
        <f>M12/E12*F12</f>
        <v>1127.3430999999998</v>
      </c>
      <c r="U12" s="110">
        <f>N12/E12*F12</f>
        <v>752.32429999999999</v>
      </c>
      <c r="V12" s="110">
        <f>O12/E12*F12</f>
        <v>658.56960000000004</v>
      </c>
      <c r="W12" s="110">
        <f>(H12+L12+M12+N12+O12)/E12*G12</f>
        <v>0</v>
      </c>
      <c r="X12" s="110">
        <f>P12+Q12+R12+S12+T12+U12+V12+W12</f>
        <v>26552.444599999999</v>
      </c>
      <c r="Y12" s="110">
        <f>(P12+Q12)*12%</f>
        <v>1652.6399999999999</v>
      </c>
      <c r="Z12" s="110">
        <v>0</v>
      </c>
      <c r="AA12" s="109">
        <f>IF(X12&gt;20000,200,IF(X12&gt;15000,150,0))</f>
        <v>200</v>
      </c>
      <c r="AB12" s="109"/>
      <c r="AC12" s="110">
        <f>Y12+Z12+AA12+AB12</f>
        <v>1852.6399999999999</v>
      </c>
      <c r="AD12" s="110">
        <f>ROUND(X12-AC12,0)</f>
        <v>24700</v>
      </c>
      <c r="AE12" s="110">
        <f>(P12+Q12)*13%</f>
        <v>1790.3600000000001</v>
      </c>
      <c r="AF12" s="110">
        <v>800</v>
      </c>
      <c r="AG12" s="110">
        <f t="shared" si="19"/>
        <v>29142.804599999999</v>
      </c>
      <c r="AH12" s="146">
        <v>28930</v>
      </c>
      <c r="AI12" s="146">
        <f t="shared" si="20"/>
        <v>-212.80459999999948</v>
      </c>
      <c r="AK12" s="10"/>
    </row>
    <row r="13" spans="1:37" ht="17.25" x14ac:dyDescent="0.25">
      <c r="A13" s="133">
        <f t="shared" si="21"/>
        <v>8</v>
      </c>
      <c r="B13" s="122">
        <v>10312</v>
      </c>
      <c r="C13" s="122" t="s">
        <v>301</v>
      </c>
      <c r="D13" s="122" t="s">
        <v>164</v>
      </c>
      <c r="E13" s="109">
        <v>30</v>
      </c>
      <c r="F13" s="109">
        <v>30</v>
      </c>
      <c r="G13" s="109">
        <v>0</v>
      </c>
      <c r="H13" s="109">
        <f t="shared" ref="H13:H15" si="23">I13+J13+K13</f>
        <v>22777</v>
      </c>
      <c r="I13" s="109">
        <v>4722</v>
      </c>
      <c r="J13" s="109">
        <v>9050</v>
      </c>
      <c r="K13" s="109">
        <v>9005</v>
      </c>
      <c r="L13" s="110">
        <f t="shared" ref="L13:L15" si="24">(I13+J13)*8.33%</f>
        <v>1147.2076</v>
      </c>
      <c r="M13" s="110">
        <f t="shared" ref="M13:M15" si="25">H13*4.93%</f>
        <v>1122.9060999999999</v>
      </c>
      <c r="N13" s="110">
        <f t="shared" ref="N13:N15" si="26">H13*3.29%</f>
        <v>749.36329999999998</v>
      </c>
      <c r="O13" s="110">
        <f t="shared" ref="O13:O15" si="27">H13*2.88%</f>
        <v>655.97759999999994</v>
      </c>
      <c r="P13" s="110">
        <f t="shared" ref="P13:P16" si="28">I13/E13*F13</f>
        <v>4722</v>
      </c>
      <c r="Q13" s="110">
        <f t="shared" ref="Q13:Q16" si="29">J13/E13*F13</f>
        <v>9050</v>
      </c>
      <c r="R13" s="110">
        <f t="shared" ref="R13:R16" si="30">K13/E13*F13</f>
        <v>9005</v>
      </c>
      <c r="S13" s="110">
        <f t="shared" ref="S13:S16" si="31">L13/E13*F13</f>
        <v>1147.2076</v>
      </c>
      <c r="T13" s="110">
        <f t="shared" ref="T13:T16" si="32">M13/E13*F13</f>
        <v>1122.9060999999999</v>
      </c>
      <c r="U13" s="110">
        <f t="shared" ref="U13:U16" si="33">N13/E13*F13</f>
        <v>749.36329999999998</v>
      </c>
      <c r="V13" s="110">
        <f t="shared" ref="V13:V16" si="34">O13/E13*F13</f>
        <v>655.97759999999994</v>
      </c>
      <c r="W13" s="110">
        <f t="shared" ref="W13:W16" si="35">(H13+L13+M13+N13+O13)/E13*G13</f>
        <v>0</v>
      </c>
      <c r="X13" s="110">
        <f t="shared" ref="X13:X16" si="36">P13+Q13+R13+S13+T13+U13+V13+W13</f>
        <v>26452.454600000001</v>
      </c>
      <c r="Y13" s="110">
        <f t="shared" ref="Y13:Y16" si="37">(P13+Q13)*12%</f>
        <v>1652.6399999999999</v>
      </c>
      <c r="Z13" s="110">
        <v>0</v>
      </c>
      <c r="AA13" s="109">
        <f t="shared" ref="AA13:AA15" si="38">IF(X13&gt;20000,200,IF(X13&gt;15000,150,0))</f>
        <v>200</v>
      </c>
      <c r="AB13" s="109"/>
      <c r="AC13" s="110">
        <f t="shared" ref="AC13:AC16" si="39">Y13+Z13+AA13+AB13</f>
        <v>1852.6399999999999</v>
      </c>
      <c r="AD13" s="110">
        <f t="shared" ref="AD13:AD15" si="40">ROUND(X13-AC13,0)</f>
        <v>24600</v>
      </c>
      <c r="AE13" s="110">
        <f t="shared" ref="AE13:AE16" si="41">(P13+Q13)*13%</f>
        <v>1790.3600000000001</v>
      </c>
      <c r="AF13" s="110">
        <v>800</v>
      </c>
      <c r="AG13" s="110">
        <f t="shared" si="19"/>
        <v>29042.814600000002</v>
      </c>
      <c r="AH13" s="146">
        <v>28930</v>
      </c>
      <c r="AI13" s="146">
        <f t="shared" si="20"/>
        <v>-112.81460000000152</v>
      </c>
    </row>
    <row r="14" spans="1:37" ht="17.25" x14ac:dyDescent="0.25">
      <c r="A14" s="133">
        <f t="shared" si="21"/>
        <v>9</v>
      </c>
      <c r="B14" s="122">
        <v>10999</v>
      </c>
      <c r="C14" s="122" t="s">
        <v>50</v>
      </c>
      <c r="D14" s="122" t="s">
        <v>164</v>
      </c>
      <c r="E14" s="109">
        <v>30</v>
      </c>
      <c r="F14" s="109">
        <v>30</v>
      </c>
      <c r="G14" s="109">
        <v>0</v>
      </c>
      <c r="H14" s="109">
        <f>I14+J14+K14</f>
        <v>21067</v>
      </c>
      <c r="I14" s="109">
        <v>4722</v>
      </c>
      <c r="J14" s="109">
        <v>9050</v>
      </c>
      <c r="K14" s="109">
        <v>7295</v>
      </c>
      <c r="L14" s="110">
        <f>(I14+J14)*8.33%</f>
        <v>1147.2076</v>
      </c>
      <c r="M14" s="110">
        <f>H14*4.93%</f>
        <v>1038.6031</v>
      </c>
      <c r="N14" s="110">
        <f>H14*3.29%</f>
        <v>693.10429999999997</v>
      </c>
      <c r="O14" s="110">
        <f>H14*2.88%</f>
        <v>606.7296</v>
      </c>
      <c r="P14" s="110">
        <f>I14/E14*F14</f>
        <v>4722</v>
      </c>
      <c r="Q14" s="110">
        <f>J14/E14*F14</f>
        <v>9050</v>
      </c>
      <c r="R14" s="110">
        <f>K14/E14*F14</f>
        <v>7295</v>
      </c>
      <c r="S14" s="110">
        <f>L14/E14*F14</f>
        <v>1147.2076</v>
      </c>
      <c r="T14" s="110">
        <f>M14/E14*F14</f>
        <v>1038.6031</v>
      </c>
      <c r="U14" s="110">
        <f>N14/E14*F14</f>
        <v>693.10429999999997</v>
      </c>
      <c r="V14" s="110">
        <f>O14/E14*F14</f>
        <v>606.7296</v>
      </c>
      <c r="W14" s="110">
        <f>(H14+L14+M14+N14+O14)/E14*G14</f>
        <v>0</v>
      </c>
      <c r="X14" s="110">
        <f>P14+Q14+R14+S14+T14+U14+V14+W14</f>
        <v>24552.6446</v>
      </c>
      <c r="Y14" s="110">
        <f>(P14+Q14)*12%</f>
        <v>1652.6399999999999</v>
      </c>
      <c r="Z14" s="110">
        <v>0</v>
      </c>
      <c r="AA14" s="109">
        <f>IF(X14&gt;20000,200,IF(X14&gt;15000,150,0))</f>
        <v>200</v>
      </c>
      <c r="AB14" s="109"/>
      <c r="AC14" s="110">
        <f>Y14+Z14+AA14+AB14</f>
        <v>1852.6399999999999</v>
      </c>
      <c r="AD14" s="110">
        <f>ROUND(X14-AC14,0)</f>
        <v>22700</v>
      </c>
      <c r="AE14" s="110">
        <f>(P14+Q14)*13%</f>
        <v>1790.3600000000001</v>
      </c>
      <c r="AF14" s="110">
        <v>800</v>
      </c>
      <c r="AG14" s="110">
        <f t="shared" si="19"/>
        <v>27143.0046</v>
      </c>
      <c r="AH14" s="146">
        <v>28930</v>
      </c>
      <c r="AI14" s="146">
        <f t="shared" si="20"/>
        <v>1786.9953999999998</v>
      </c>
    </row>
    <row r="15" spans="1:37" ht="17.25" x14ac:dyDescent="0.25">
      <c r="A15" s="133">
        <f t="shared" si="21"/>
        <v>10</v>
      </c>
      <c r="B15" s="122">
        <v>11337</v>
      </c>
      <c r="C15" s="122" t="s">
        <v>302</v>
      </c>
      <c r="D15" s="122" t="s">
        <v>164</v>
      </c>
      <c r="E15" s="109">
        <v>30</v>
      </c>
      <c r="F15" s="109">
        <v>30</v>
      </c>
      <c r="G15" s="109">
        <v>0</v>
      </c>
      <c r="H15" s="109">
        <f t="shared" si="23"/>
        <v>22237</v>
      </c>
      <c r="I15" s="109">
        <v>4722</v>
      </c>
      <c r="J15" s="109">
        <v>9050</v>
      </c>
      <c r="K15" s="109">
        <v>8465</v>
      </c>
      <c r="L15" s="110">
        <f t="shared" si="24"/>
        <v>1147.2076</v>
      </c>
      <c r="M15" s="110">
        <f t="shared" si="25"/>
        <v>1096.2840999999999</v>
      </c>
      <c r="N15" s="110">
        <f t="shared" si="26"/>
        <v>731.59730000000002</v>
      </c>
      <c r="O15" s="110">
        <f t="shared" si="27"/>
        <v>640.42560000000003</v>
      </c>
      <c r="P15" s="110">
        <f t="shared" si="28"/>
        <v>4722</v>
      </c>
      <c r="Q15" s="110">
        <f t="shared" si="29"/>
        <v>9050</v>
      </c>
      <c r="R15" s="110">
        <f t="shared" si="30"/>
        <v>8465</v>
      </c>
      <c r="S15" s="110">
        <f t="shared" si="31"/>
        <v>1147.2076</v>
      </c>
      <c r="T15" s="110">
        <f t="shared" si="32"/>
        <v>1096.2840999999999</v>
      </c>
      <c r="U15" s="110">
        <f t="shared" si="33"/>
        <v>731.59730000000002</v>
      </c>
      <c r="V15" s="110">
        <f t="shared" si="34"/>
        <v>640.42560000000003</v>
      </c>
      <c r="W15" s="110">
        <f t="shared" si="35"/>
        <v>0</v>
      </c>
      <c r="X15" s="110">
        <f t="shared" si="36"/>
        <v>25852.514600000002</v>
      </c>
      <c r="Y15" s="110">
        <f t="shared" si="37"/>
        <v>1652.6399999999999</v>
      </c>
      <c r="Z15" s="110">
        <v>0</v>
      </c>
      <c r="AA15" s="109">
        <f t="shared" si="38"/>
        <v>200</v>
      </c>
      <c r="AB15" s="109"/>
      <c r="AC15" s="110">
        <f t="shared" si="39"/>
        <v>1852.6399999999999</v>
      </c>
      <c r="AD15" s="110">
        <f t="shared" si="40"/>
        <v>24000</v>
      </c>
      <c r="AE15" s="110">
        <f t="shared" si="41"/>
        <v>1790.3600000000001</v>
      </c>
      <c r="AF15" s="110">
        <v>800</v>
      </c>
      <c r="AG15" s="110">
        <f t="shared" si="19"/>
        <v>28442.874600000003</v>
      </c>
      <c r="AH15" s="146">
        <v>28930</v>
      </c>
      <c r="AI15" s="146">
        <f>AH15-AG15</f>
        <v>487.12539999999717</v>
      </c>
    </row>
    <row r="16" spans="1:37" ht="17.25" x14ac:dyDescent="0.25">
      <c r="A16" s="133">
        <f t="shared" si="21"/>
        <v>11</v>
      </c>
      <c r="B16" s="122">
        <v>10339</v>
      </c>
      <c r="C16" s="122" t="s">
        <v>259</v>
      </c>
      <c r="D16" s="122" t="s">
        <v>164</v>
      </c>
      <c r="E16" s="109">
        <v>30</v>
      </c>
      <c r="F16" s="109">
        <v>30</v>
      </c>
      <c r="G16" s="109">
        <v>0</v>
      </c>
      <c r="H16" s="109">
        <f>I16+J16+K16</f>
        <v>21444</v>
      </c>
      <c r="I16" s="109">
        <v>4722</v>
      </c>
      <c r="J16" s="109">
        <v>9050</v>
      </c>
      <c r="K16" s="109">
        <v>7672</v>
      </c>
      <c r="L16" s="110">
        <f>(I16+J16)*8.33%</f>
        <v>1147.2076</v>
      </c>
      <c r="M16" s="110">
        <f>H16*4.93%</f>
        <v>1057.1892</v>
      </c>
      <c r="N16" s="110">
        <f>H16*3.29%</f>
        <v>705.50760000000002</v>
      </c>
      <c r="O16" s="110">
        <f>H16*2.88%</f>
        <v>617.58719999999994</v>
      </c>
      <c r="P16" s="110">
        <f t="shared" si="28"/>
        <v>4722</v>
      </c>
      <c r="Q16" s="110">
        <f t="shared" si="29"/>
        <v>9050</v>
      </c>
      <c r="R16" s="110">
        <f t="shared" si="30"/>
        <v>7672</v>
      </c>
      <c r="S16" s="110">
        <f t="shared" si="31"/>
        <v>1147.2076</v>
      </c>
      <c r="T16" s="110">
        <f t="shared" si="32"/>
        <v>1057.1892</v>
      </c>
      <c r="U16" s="110">
        <f t="shared" si="33"/>
        <v>705.50760000000002</v>
      </c>
      <c r="V16" s="110">
        <f t="shared" si="34"/>
        <v>617.58719999999994</v>
      </c>
      <c r="W16" s="110">
        <f t="shared" si="35"/>
        <v>0</v>
      </c>
      <c r="X16" s="110">
        <f t="shared" si="36"/>
        <v>24971.491600000001</v>
      </c>
      <c r="Y16" s="110">
        <f t="shared" si="37"/>
        <v>1652.6399999999999</v>
      </c>
      <c r="Z16" s="110">
        <v>0</v>
      </c>
      <c r="AA16" s="109">
        <f>IF(X16&gt;20000,200,IF(X16&gt;15000,150,0))</f>
        <v>200</v>
      </c>
      <c r="AB16" s="109"/>
      <c r="AC16" s="110">
        <f t="shared" si="39"/>
        <v>1852.6399999999999</v>
      </c>
      <c r="AD16" s="110">
        <f>ROUND(X16-AC16,0)</f>
        <v>23119</v>
      </c>
      <c r="AE16" s="110">
        <f t="shared" si="41"/>
        <v>1790.3600000000001</v>
      </c>
      <c r="AF16" s="110">
        <v>800</v>
      </c>
      <c r="AG16" s="110">
        <f t="shared" si="19"/>
        <v>27561.851600000002</v>
      </c>
      <c r="AH16" s="149">
        <v>28930</v>
      </c>
      <c r="AI16" s="149">
        <f>AH16-AG16</f>
        <v>1368.1483999999982</v>
      </c>
    </row>
    <row r="17" spans="1:37" ht="17.25" x14ac:dyDescent="0.25">
      <c r="A17" s="133"/>
      <c r="B17" s="122"/>
      <c r="C17" s="139" t="s">
        <v>164</v>
      </c>
      <c r="D17" s="122"/>
      <c r="E17" s="112">
        <f>SUM(E7:E16)</f>
        <v>300</v>
      </c>
      <c r="F17" s="112">
        <f t="shared" ref="F17:AI17" si="42">SUM(F7:F16)</f>
        <v>300</v>
      </c>
      <c r="G17" s="112">
        <f t="shared" si="42"/>
        <v>0</v>
      </c>
      <c r="H17" s="112">
        <f t="shared" si="42"/>
        <v>223596</v>
      </c>
      <c r="I17" s="112">
        <f t="shared" si="42"/>
        <v>47220</v>
      </c>
      <c r="J17" s="112">
        <f t="shared" si="42"/>
        <v>90500</v>
      </c>
      <c r="K17" s="112">
        <f t="shared" si="42"/>
        <v>85876</v>
      </c>
      <c r="L17" s="112">
        <f t="shared" si="42"/>
        <v>11472.075999999999</v>
      </c>
      <c r="M17" s="112">
        <f t="shared" si="42"/>
        <v>11023.282800000001</v>
      </c>
      <c r="N17" s="112">
        <f t="shared" si="42"/>
        <v>7356.3083999999999</v>
      </c>
      <c r="O17" s="112">
        <f t="shared" si="42"/>
        <v>6439.5648000000001</v>
      </c>
      <c r="P17" s="112">
        <f t="shared" si="42"/>
        <v>47220</v>
      </c>
      <c r="Q17" s="112">
        <f t="shared" si="42"/>
        <v>90500</v>
      </c>
      <c r="R17" s="112">
        <f t="shared" si="42"/>
        <v>85876</v>
      </c>
      <c r="S17" s="112">
        <f t="shared" si="42"/>
        <v>11472.075999999999</v>
      </c>
      <c r="T17" s="112">
        <f t="shared" si="42"/>
        <v>11023.282800000001</v>
      </c>
      <c r="U17" s="112">
        <f t="shared" si="42"/>
        <v>7356.3083999999999</v>
      </c>
      <c r="V17" s="112">
        <f t="shared" si="42"/>
        <v>6439.5648000000001</v>
      </c>
      <c r="W17" s="112">
        <f t="shared" si="42"/>
        <v>0</v>
      </c>
      <c r="X17" s="112">
        <f t="shared" si="42"/>
        <v>259887.23200000002</v>
      </c>
      <c r="Y17" s="112">
        <f t="shared" si="42"/>
        <v>16526.399999999998</v>
      </c>
      <c r="Z17" s="112">
        <f t="shared" si="42"/>
        <v>0</v>
      </c>
      <c r="AA17" s="112">
        <f t="shared" si="42"/>
        <v>2000</v>
      </c>
      <c r="AB17" s="112">
        <f t="shared" si="42"/>
        <v>0</v>
      </c>
      <c r="AC17" s="112">
        <f t="shared" si="42"/>
        <v>18526.399999999998</v>
      </c>
      <c r="AD17" s="112">
        <f t="shared" si="42"/>
        <v>241362</v>
      </c>
      <c r="AE17" s="112">
        <f t="shared" si="42"/>
        <v>17903.600000000002</v>
      </c>
      <c r="AF17" s="112">
        <f t="shared" si="42"/>
        <v>8000</v>
      </c>
      <c r="AG17" s="112">
        <f t="shared" si="42"/>
        <v>285790.83200000005</v>
      </c>
      <c r="AH17" s="112">
        <f t="shared" si="42"/>
        <v>289300</v>
      </c>
      <c r="AI17" s="112">
        <f t="shared" si="42"/>
        <v>3509.1679999999797</v>
      </c>
      <c r="AK17" s="10"/>
    </row>
    <row r="18" spans="1:37" ht="17.25" x14ac:dyDescent="0.25">
      <c r="A18" s="133">
        <v>12</v>
      </c>
      <c r="B18" s="122">
        <v>10979</v>
      </c>
      <c r="C18" s="122" t="s">
        <v>35</v>
      </c>
      <c r="D18" s="122" t="s">
        <v>33</v>
      </c>
      <c r="E18" s="109">
        <v>30</v>
      </c>
      <c r="F18" s="109">
        <v>30</v>
      </c>
      <c r="G18" s="109">
        <v>0</v>
      </c>
      <c r="H18" s="109">
        <f t="shared" si="1"/>
        <v>18540</v>
      </c>
      <c r="I18" s="109">
        <v>4520</v>
      </c>
      <c r="J18" s="109">
        <v>9050</v>
      </c>
      <c r="K18" s="109">
        <v>4970</v>
      </c>
      <c r="L18" s="110">
        <f t="shared" si="2"/>
        <v>1130.3810000000001</v>
      </c>
      <c r="M18" s="110">
        <f t="shared" si="3"/>
        <v>914.02199999999993</v>
      </c>
      <c r="N18" s="110">
        <f t="shared" si="4"/>
        <v>609.96600000000001</v>
      </c>
      <c r="O18" s="110">
        <f t="shared" si="5"/>
        <v>533.952</v>
      </c>
      <c r="P18" s="110">
        <f t="shared" ref="P18:P25" si="43">I18/E18*F18</f>
        <v>4520</v>
      </c>
      <c r="Q18" s="110">
        <f t="shared" ref="Q18:Q25" si="44">J18/E18*F18</f>
        <v>9050</v>
      </c>
      <c r="R18" s="110">
        <f t="shared" ref="R18:R25" si="45">K18/E18*F18</f>
        <v>4970</v>
      </c>
      <c r="S18" s="110">
        <f t="shared" ref="S18:S25" si="46">L18/E18*F18</f>
        <v>1130.3810000000001</v>
      </c>
      <c r="T18" s="110">
        <f t="shared" ref="T18:T25" si="47">M18/E18*F18</f>
        <v>914.02199999999993</v>
      </c>
      <c r="U18" s="110">
        <f t="shared" ref="U18:U25" si="48">N18/E18*F18</f>
        <v>609.96600000000001</v>
      </c>
      <c r="V18" s="110">
        <f t="shared" ref="V18:V25" si="49">O18/E18*F18</f>
        <v>533.952</v>
      </c>
      <c r="W18" s="110">
        <f t="shared" ref="W18:W60" si="50">(H18+L18+M18+N18+O18)/E18*G18</f>
        <v>0</v>
      </c>
      <c r="X18" s="110">
        <f t="shared" ref="X18:X25" si="51">P18+Q18+R18+S18+T18+U18+V18+W18</f>
        <v>21728.321000000004</v>
      </c>
      <c r="Y18" s="110">
        <f t="shared" ref="Y18:Y25" si="52">(P18+Q18)*12%</f>
        <v>1628.3999999999999</v>
      </c>
      <c r="Z18" s="110">
        <v>0</v>
      </c>
      <c r="AA18" s="109">
        <f t="shared" si="22"/>
        <v>200</v>
      </c>
      <c r="AB18" s="109"/>
      <c r="AC18" s="110">
        <f t="shared" ref="AC18:AC25" si="53">Y18+Z18+AA18+AB18</f>
        <v>1828.3999999999999</v>
      </c>
      <c r="AD18" s="110">
        <f t="shared" si="16"/>
        <v>19900</v>
      </c>
      <c r="AE18" s="110">
        <f t="shared" ref="AE18:AE25" si="54">(P18+Q18)*13%</f>
        <v>1764.1000000000001</v>
      </c>
      <c r="AF18" s="110">
        <v>800</v>
      </c>
      <c r="AG18" s="110">
        <f t="shared" ref="AG18:AG30" si="55">X18+AE18+AF18</f>
        <v>24292.421000000002</v>
      </c>
      <c r="AH18" s="146">
        <v>24637</v>
      </c>
      <c r="AI18" s="146">
        <f>AH18-AG18</f>
        <v>344.5789999999979</v>
      </c>
    </row>
    <row r="19" spans="1:37" s="14" customFormat="1" ht="17.25" x14ac:dyDescent="0.25">
      <c r="A19" s="133">
        <f>A18+1</f>
        <v>13</v>
      </c>
      <c r="B19" s="122">
        <v>10982</v>
      </c>
      <c r="C19" s="122" t="s">
        <v>36</v>
      </c>
      <c r="D19" s="122" t="s">
        <v>33</v>
      </c>
      <c r="E19" s="109">
        <v>30</v>
      </c>
      <c r="F19" s="109">
        <v>30</v>
      </c>
      <c r="G19" s="109">
        <v>0</v>
      </c>
      <c r="H19" s="113">
        <f t="shared" si="1"/>
        <v>19530</v>
      </c>
      <c r="I19" s="113">
        <v>4520</v>
      </c>
      <c r="J19" s="109">
        <v>9050</v>
      </c>
      <c r="K19" s="109">
        <v>5960</v>
      </c>
      <c r="L19" s="114">
        <f t="shared" si="2"/>
        <v>1130.3810000000001</v>
      </c>
      <c r="M19" s="114">
        <f t="shared" si="3"/>
        <v>962.82899999999995</v>
      </c>
      <c r="N19" s="114">
        <f t="shared" si="4"/>
        <v>642.53699999999992</v>
      </c>
      <c r="O19" s="114">
        <f t="shared" si="5"/>
        <v>562.46399999999994</v>
      </c>
      <c r="P19" s="110">
        <f t="shared" si="43"/>
        <v>4520</v>
      </c>
      <c r="Q19" s="110">
        <f t="shared" si="44"/>
        <v>9050</v>
      </c>
      <c r="R19" s="110">
        <f t="shared" si="45"/>
        <v>5960</v>
      </c>
      <c r="S19" s="110">
        <f t="shared" si="46"/>
        <v>1130.3810000000001</v>
      </c>
      <c r="T19" s="110">
        <f t="shared" si="47"/>
        <v>962.82899999999995</v>
      </c>
      <c r="U19" s="110">
        <f t="shared" si="48"/>
        <v>642.53699999999992</v>
      </c>
      <c r="V19" s="110">
        <f t="shared" si="49"/>
        <v>562.46399999999994</v>
      </c>
      <c r="W19" s="110">
        <f t="shared" si="50"/>
        <v>0</v>
      </c>
      <c r="X19" s="110">
        <f t="shared" si="51"/>
        <v>22828.211000000003</v>
      </c>
      <c r="Y19" s="110">
        <f t="shared" si="52"/>
        <v>1628.3999999999999</v>
      </c>
      <c r="Z19" s="110">
        <v>0</v>
      </c>
      <c r="AA19" s="113">
        <f t="shared" si="22"/>
        <v>200</v>
      </c>
      <c r="AB19" s="109"/>
      <c r="AC19" s="110">
        <f t="shared" si="53"/>
        <v>1828.3999999999999</v>
      </c>
      <c r="AD19" s="110">
        <f t="shared" si="16"/>
        <v>21000</v>
      </c>
      <c r="AE19" s="110">
        <f t="shared" si="54"/>
        <v>1764.1000000000001</v>
      </c>
      <c r="AF19" s="110">
        <v>800</v>
      </c>
      <c r="AG19" s="110">
        <f t="shared" si="55"/>
        <v>25392.311000000002</v>
      </c>
      <c r="AH19" s="146">
        <v>24637</v>
      </c>
      <c r="AI19" s="146">
        <f t="shared" ref="AI19:AI25" si="56">AH19-AG19</f>
        <v>-755.31100000000151</v>
      </c>
    </row>
    <row r="20" spans="1:37" s="14" customFormat="1" ht="17.25" x14ac:dyDescent="0.25">
      <c r="A20" s="133">
        <f t="shared" ref="A20:A25" si="57">A19+1</f>
        <v>14</v>
      </c>
      <c r="B20" s="122">
        <v>11032</v>
      </c>
      <c r="C20" s="122" t="s">
        <v>77</v>
      </c>
      <c r="D20" s="122" t="s">
        <v>33</v>
      </c>
      <c r="E20" s="109">
        <v>30</v>
      </c>
      <c r="F20" s="109">
        <v>30</v>
      </c>
      <c r="G20" s="109">
        <v>0</v>
      </c>
      <c r="H20" s="113">
        <f t="shared" si="1"/>
        <v>19530</v>
      </c>
      <c r="I20" s="113">
        <v>4520</v>
      </c>
      <c r="J20" s="109">
        <v>9050</v>
      </c>
      <c r="K20" s="109">
        <v>5960</v>
      </c>
      <c r="L20" s="114">
        <f t="shared" si="2"/>
        <v>1130.3810000000001</v>
      </c>
      <c r="M20" s="114">
        <f t="shared" si="3"/>
        <v>962.82899999999995</v>
      </c>
      <c r="N20" s="114">
        <f t="shared" si="4"/>
        <v>642.53699999999992</v>
      </c>
      <c r="O20" s="114">
        <f t="shared" si="5"/>
        <v>562.46399999999994</v>
      </c>
      <c r="P20" s="110">
        <f t="shared" si="43"/>
        <v>4520</v>
      </c>
      <c r="Q20" s="110">
        <f t="shared" si="44"/>
        <v>9050</v>
      </c>
      <c r="R20" s="110">
        <f t="shared" si="45"/>
        <v>5960</v>
      </c>
      <c r="S20" s="110">
        <f t="shared" si="46"/>
        <v>1130.3810000000001</v>
      </c>
      <c r="T20" s="110">
        <f t="shared" si="47"/>
        <v>962.82899999999995</v>
      </c>
      <c r="U20" s="110">
        <f t="shared" si="48"/>
        <v>642.53699999999992</v>
      </c>
      <c r="V20" s="110">
        <f t="shared" si="49"/>
        <v>562.46399999999994</v>
      </c>
      <c r="W20" s="110">
        <f t="shared" si="50"/>
        <v>0</v>
      </c>
      <c r="X20" s="114">
        <f t="shared" si="51"/>
        <v>22828.211000000003</v>
      </c>
      <c r="Y20" s="110">
        <f t="shared" si="52"/>
        <v>1628.3999999999999</v>
      </c>
      <c r="Z20" s="110">
        <v>0</v>
      </c>
      <c r="AA20" s="113">
        <f t="shared" si="22"/>
        <v>200</v>
      </c>
      <c r="AB20" s="109"/>
      <c r="AC20" s="110">
        <f t="shared" si="53"/>
        <v>1828.3999999999999</v>
      </c>
      <c r="AD20" s="114">
        <f t="shared" si="16"/>
        <v>21000</v>
      </c>
      <c r="AE20" s="110">
        <f t="shared" si="54"/>
        <v>1764.1000000000001</v>
      </c>
      <c r="AF20" s="110">
        <v>800</v>
      </c>
      <c r="AG20" s="110">
        <f t="shared" si="55"/>
        <v>25392.311000000002</v>
      </c>
      <c r="AH20" s="146">
        <v>24637</v>
      </c>
      <c r="AI20" s="146">
        <f t="shared" si="56"/>
        <v>-755.31100000000151</v>
      </c>
    </row>
    <row r="21" spans="1:37" s="14" customFormat="1" ht="17.25" customHeight="1" x14ac:dyDescent="0.25">
      <c r="A21" s="133">
        <f t="shared" si="57"/>
        <v>15</v>
      </c>
      <c r="B21" s="122">
        <v>11217</v>
      </c>
      <c r="C21" s="122" t="s">
        <v>251</v>
      </c>
      <c r="D21" s="122" t="s">
        <v>33</v>
      </c>
      <c r="E21" s="109">
        <v>30</v>
      </c>
      <c r="F21" s="109">
        <v>30</v>
      </c>
      <c r="G21" s="109">
        <v>0</v>
      </c>
      <c r="H21" s="113">
        <f t="shared" si="1"/>
        <v>17397</v>
      </c>
      <c r="I21" s="113">
        <v>4520</v>
      </c>
      <c r="J21" s="109">
        <v>9050</v>
      </c>
      <c r="K21" s="113">
        <v>3827</v>
      </c>
      <c r="L21" s="114">
        <f t="shared" si="2"/>
        <v>1130.3810000000001</v>
      </c>
      <c r="M21" s="114">
        <f t="shared" si="3"/>
        <v>857.67209999999989</v>
      </c>
      <c r="N21" s="114">
        <f t="shared" si="4"/>
        <v>572.36130000000003</v>
      </c>
      <c r="O21" s="114">
        <f t="shared" si="5"/>
        <v>501.03359999999998</v>
      </c>
      <c r="P21" s="114">
        <f t="shared" si="43"/>
        <v>4520</v>
      </c>
      <c r="Q21" s="114">
        <f t="shared" si="44"/>
        <v>9050</v>
      </c>
      <c r="R21" s="114">
        <f t="shared" si="45"/>
        <v>3827</v>
      </c>
      <c r="S21" s="114">
        <f t="shared" si="46"/>
        <v>1130.3810000000001</v>
      </c>
      <c r="T21" s="114">
        <f t="shared" si="47"/>
        <v>857.67209999999989</v>
      </c>
      <c r="U21" s="114">
        <f t="shared" si="48"/>
        <v>572.36130000000003</v>
      </c>
      <c r="V21" s="114">
        <f t="shared" si="49"/>
        <v>501.03359999999998</v>
      </c>
      <c r="W21" s="114">
        <f t="shared" si="50"/>
        <v>0</v>
      </c>
      <c r="X21" s="143">
        <f t="shared" si="51"/>
        <v>20458.448</v>
      </c>
      <c r="Y21" s="114">
        <f t="shared" si="52"/>
        <v>1628.3999999999999</v>
      </c>
      <c r="Z21" s="146">
        <f>(P21+Q21+R21)*0.75%</f>
        <v>130.47749999999999</v>
      </c>
      <c r="AA21" s="113">
        <f t="shared" si="22"/>
        <v>200</v>
      </c>
      <c r="AB21" s="109"/>
      <c r="AC21" s="114">
        <f t="shared" si="53"/>
        <v>1958.8774999999998</v>
      </c>
      <c r="AD21" s="143">
        <f t="shared" si="16"/>
        <v>18500</v>
      </c>
      <c r="AE21" s="114">
        <f t="shared" si="54"/>
        <v>1764.1000000000001</v>
      </c>
      <c r="AF21" s="110">
        <f>(P21+Q21+R21)*3.25%</f>
        <v>565.40250000000003</v>
      </c>
      <c r="AG21" s="114">
        <f t="shared" si="55"/>
        <v>22787.950499999999</v>
      </c>
      <c r="AH21" s="146">
        <v>24637</v>
      </c>
      <c r="AI21" s="146">
        <f t="shared" si="56"/>
        <v>1849.049500000001</v>
      </c>
    </row>
    <row r="22" spans="1:37" ht="17.25" customHeight="1" x14ac:dyDescent="0.25">
      <c r="A22" s="133">
        <f t="shared" si="57"/>
        <v>16</v>
      </c>
      <c r="B22" s="122">
        <v>11246</v>
      </c>
      <c r="C22" s="122" t="s">
        <v>263</v>
      </c>
      <c r="D22" s="122" t="s">
        <v>33</v>
      </c>
      <c r="E22" s="109">
        <v>30</v>
      </c>
      <c r="F22" s="109">
        <v>30</v>
      </c>
      <c r="G22" s="109">
        <v>0</v>
      </c>
      <c r="H22" s="113">
        <f t="shared" si="1"/>
        <v>16899</v>
      </c>
      <c r="I22" s="113">
        <v>4520</v>
      </c>
      <c r="J22" s="109">
        <v>9050</v>
      </c>
      <c r="K22" s="113">
        <v>3329</v>
      </c>
      <c r="L22" s="114">
        <f t="shared" si="2"/>
        <v>1130.3810000000001</v>
      </c>
      <c r="M22" s="114">
        <f t="shared" si="3"/>
        <v>833.12069999999994</v>
      </c>
      <c r="N22" s="114">
        <f t="shared" si="4"/>
        <v>555.97709999999995</v>
      </c>
      <c r="O22" s="114">
        <f t="shared" si="5"/>
        <v>486.69119999999998</v>
      </c>
      <c r="P22" s="114">
        <f t="shared" si="43"/>
        <v>4520</v>
      </c>
      <c r="Q22" s="114">
        <f t="shared" si="44"/>
        <v>9050</v>
      </c>
      <c r="R22" s="114">
        <f t="shared" si="45"/>
        <v>3329</v>
      </c>
      <c r="S22" s="114">
        <f t="shared" si="46"/>
        <v>1130.3810000000001</v>
      </c>
      <c r="T22" s="114">
        <f t="shared" si="47"/>
        <v>833.12069999999994</v>
      </c>
      <c r="U22" s="114">
        <f t="shared" si="48"/>
        <v>555.97709999999995</v>
      </c>
      <c r="V22" s="114">
        <f t="shared" si="49"/>
        <v>486.69120000000004</v>
      </c>
      <c r="W22" s="114">
        <f t="shared" si="50"/>
        <v>0</v>
      </c>
      <c r="X22" s="143">
        <f t="shared" si="51"/>
        <v>19905.170000000002</v>
      </c>
      <c r="Y22" s="114">
        <f t="shared" si="52"/>
        <v>1628.3999999999999</v>
      </c>
      <c r="Z22" s="146">
        <f>(P22+Q22+R22)*0.75%</f>
        <v>126.74249999999999</v>
      </c>
      <c r="AA22" s="113">
        <f t="shared" si="22"/>
        <v>150</v>
      </c>
      <c r="AB22" s="109"/>
      <c r="AC22" s="114">
        <f t="shared" si="53"/>
        <v>1905.1424999999999</v>
      </c>
      <c r="AD22" s="143">
        <f t="shared" si="16"/>
        <v>18000</v>
      </c>
      <c r="AE22" s="114">
        <f t="shared" si="54"/>
        <v>1764.1000000000001</v>
      </c>
      <c r="AF22" s="110">
        <f>(P22+Q22+R22)*3.25%</f>
        <v>549.21749999999997</v>
      </c>
      <c r="AG22" s="114">
        <f t="shared" si="55"/>
        <v>22218.487499999999</v>
      </c>
      <c r="AH22" s="146">
        <v>24637</v>
      </c>
      <c r="AI22" s="146">
        <f t="shared" si="56"/>
        <v>2418.5125000000007</v>
      </c>
    </row>
    <row r="23" spans="1:37" ht="17.25" customHeight="1" x14ac:dyDescent="0.25">
      <c r="A23" s="133">
        <f t="shared" si="57"/>
        <v>17</v>
      </c>
      <c r="B23" s="122">
        <v>11311</v>
      </c>
      <c r="C23" s="122" t="s">
        <v>275</v>
      </c>
      <c r="D23" s="122" t="s">
        <v>33</v>
      </c>
      <c r="E23" s="109">
        <v>30</v>
      </c>
      <c r="F23" s="109">
        <v>30</v>
      </c>
      <c r="G23" s="109">
        <v>0</v>
      </c>
      <c r="H23" s="109">
        <f t="shared" si="1"/>
        <v>17851</v>
      </c>
      <c r="I23" s="109">
        <v>4520</v>
      </c>
      <c r="J23" s="109">
        <v>9050</v>
      </c>
      <c r="K23" s="109">
        <v>4281</v>
      </c>
      <c r="L23" s="110">
        <f t="shared" si="2"/>
        <v>1130.3810000000001</v>
      </c>
      <c r="M23" s="110">
        <f t="shared" si="3"/>
        <v>880.0542999999999</v>
      </c>
      <c r="N23" s="110">
        <f t="shared" si="4"/>
        <v>587.29790000000003</v>
      </c>
      <c r="O23" s="110">
        <f t="shared" si="5"/>
        <v>514.10879999999997</v>
      </c>
      <c r="P23" s="110">
        <f t="shared" si="43"/>
        <v>4520</v>
      </c>
      <c r="Q23" s="110">
        <f t="shared" si="44"/>
        <v>9050</v>
      </c>
      <c r="R23" s="110">
        <f t="shared" si="45"/>
        <v>4281</v>
      </c>
      <c r="S23" s="110">
        <f t="shared" si="46"/>
        <v>1130.3810000000001</v>
      </c>
      <c r="T23" s="110">
        <f t="shared" si="47"/>
        <v>880.0542999999999</v>
      </c>
      <c r="U23" s="110">
        <f t="shared" si="48"/>
        <v>587.29790000000003</v>
      </c>
      <c r="V23" s="110">
        <f t="shared" si="49"/>
        <v>514.10879999999997</v>
      </c>
      <c r="W23" s="110">
        <f t="shared" si="50"/>
        <v>0</v>
      </c>
      <c r="X23" s="143">
        <f t="shared" si="51"/>
        <v>20962.842000000004</v>
      </c>
      <c r="Y23" s="110">
        <f t="shared" si="52"/>
        <v>1628.3999999999999</v>
      </c>
      <c r="Z23" s="146">
        <f>(P23+Q23+R23)*0.75%</f>
        <v>133.88249999999999</v>
      </c>
      <c r="AA23" s="109">
        <f t="shared" si="22"/>
        <v>200</v>
      </c>
      <c r="AB23" s="109"/>
      <c r="AC23" s="110">
        <f t="shared" si="53"/>
        <v>1962.2824999999998</v>
      </c>
      <c r="AD23" s="143">
        <f t="shared" si="16"/>
        <v>19001</v>
      </c>
      <c r="AE23" s="110">
        <f t="shared" si="54"/>
        <v>1764.1000000000001</v>
      </c>
      <c r="AF23" s="110">
        <f>(P23+Q23+R23)*3.25%</f>
        <v>580.15750000000003</v>
      </c>
      <c r="AG23" s="110">
        <f t="shared" si="55"/>
        <v>23307.099500000004</v>
      </c>
      <c r="AH23" s="146">
        <v>24637</v>
      </c>
      <c r="AI23" s="146">
        <f t="shared" si="56"/>
        <v>1329.9004999999961</v>
      </c>
    </row>
    <row r="24" spans="1:37" ht="17.25" customHeight="1" x14ac:dyDescent="0.25">
      <c r="A24" s="133">
        <f t="shared" si="57"/>
        <v>18</v>
      </c>
      <c r="B24" s="104">
        <v>2</v>
      </c>
      <c r="C24" s="104" t="s">
        <v>311</v>
      </c>
      <c r="D24" s="122" t="s">
        <v>33</v>
      </c>
      <c r="E24" s="109">
        <v>30</v>
      </c>
      <c r="F24" s="109">
        <v>30</v>
      </c>
      <c r="G24" s="109">
        <v>0</v>
      </c>
      <c r="H24" s="109">
        <f t="shared" si="1"/>
        <v>18757</v>
      </c>
      <c r="I24" s="109">
        <v>4520</v>
      </c>
      <c r="J24" s="109">
        <v>9050</v>
      </c>
      <c r="K24" s="150">
        <v>5187</v>
      </c>
      <c r="L24" s="110">
        <f t="shared" si="2"/>
        <v>1130.3810000000001</v>
      </c>
      <c r="M24" s="110">
        <f t="shared" si="3"/>
        <v>924.72009999999989</v>
      </c>
      <c r="N24" s="110">
        <f t="shared" si="4"/>
        <v>617.10529999999994</v>
      </c>
      <c r="O24" s="110">
        <f t="shared" si="5"/>
        <v>540.20159999999998</v>
      </c>
      <c r="P24" s="110">
        <f t="shared" si="43"/>
        <v>4520</v>
      </c>
      <c r="Q24" s="110">
        <f t="shared" si="44"/>
        <v>9050</v>
      </c>
      <c r="R24" s="110">
        <f t="shared" si="45"/>
        <v>5187</v>
      </c>
      <c r="S24" s="110">
        <f t="shared" si="46"/>
        <v>1130.3810000000001</v>
      </c>
      <c r="T24" s="110">
        <f t="shared" si="47"/>
        <v>924.72009999999989</v>
      </c>
      <c r="U24" s="110">
        <f t="shared" si="48"/>
        <v>617.10529999999994</v>
      </c>
      <c r="V24" s="110">
        <f t="shared" si="49"/>
        <v>540.20159999999998</v>
      </c>
      <c r="W24" s="110">
        <f t="shared" si="50"/>
        <v>0</v>
      </c>
      <c r="X24" s="143">
        <f t="shared" si="51"/>
        <v>21969.407999999999</v>
      </c>
      <c r="Y24" s="110">
        <f t="shared" si="52"/>
        <v>1628.3999999999999</v>
      </c>
      <c r="Z24" s="146">
        <f>(P24+Q24+R24)*0.75%</f>
        <v>140.67749999999998</v>
      </c>
      <c r="AA24" s="109">
        <f t="shared" si="22"/>
        <v>200</v>
      </c>
      <c r="AB24" s="109"/>
      <c r="AC24" s="110">
        <f t="shared" si="53"/>
        <v>1969.0774999999999</v>
      </c>
      <c r="AD24" s="143">
        <f t="shared" si="16"/>
        <v>20000</v>
      </c>
      <c r="AE24" s="110">
        <f t="shared" si="54"/>
        <v>1764.1000000000001</v>
      </c>
      <c r="AF24" s="110">
        <f>(P24+Q24+R24)*3.25%</f>
        <v>609.60250000000008</v>
      </c>
      <c r="AG24" s="110">
        <f t="shared" si="55"/>
        <v>24343.110499999999</v>
      </c>
      <c r="AH24" s="146">
        <v>24637</v>
      </c>
      <c r="AI24" s="146">
        <f t="shared" si="56"/>
        <v>293.88950000000114</v>
      </c>
    </row>
    <row r="25" spans="1:37" s="14" customFormat="1" ht="17.25" x14ac:dyDescent="0.25">
      <c r="A25" s="133">
        <f t="shared" si="57"/>
        <v>19</v>
      </c>
      <c r="B25" s="122">
        <v>11313</v>
      </c>
      <c r="C25" s="122" t="s">
        <v>276</v>
      </c>
      <c r="D25" s="122" t="s">
        <v>33</v>
      </c>
      <c r="E25" s="109">
        <v>30</v>
      </c>
      <c r="F25" s="109">
        <v>30</v>
      </c>
      <c r="G25" s="109">
        <v>0</v>
      </c>
      <c r="H25" s="113">
        <f t="shared" si="1"/>
        <v>16899</v>
      </c>
      <c r="I25" s="113">
        <v>4520</v>
      </c>
      <c r="J25" s="109">
        <v>9050</v>
      </c>
      <c r="K25" s="113">
        <v>3329</v>
      </c>
      <c r="L25" s="114">
        <f t="shared" si="2"/>
        <v>1130.3810000000001</v>
      </c>
      <c r="M25" s="114">
        <f t="shared" si="3"/>
        <v>833.12069999999994</v>
      </c>
      <c r="N25" s="114">
        <f t="shared" si="4"/>
        <v>555.97709999999995</v>
      </c>
      <c r="O25" s="114">
        <f t="shared" si="5"/>
        <v>486.69119999999998</v>
      </c>
      <c r="P25" s="110">
        <f t="shared" si="43"/>
        <v>4520</v>
      </c>
      <c r="Q25" s="110">
        <f t="shared" si="44"/>
        <v>9050</v>
      </c>
      <c r="R25" s="110">
        <f t="shared" si="45"/>
        <v>3329</v>
      </c>
      <c r="S25" s="110">
        <f t="shared" si="46"/>
        <v>1130.3810000000001</v>
      </c>
      <c r="T25" s="110">
        <f t="shared" si="47"/>
        <v>833.12069999999994</v>
      </c>
      <c r="U25" s="110">
        <f t="shared" si="48"/>
        <v>555.97709999999995</v>
      </c>
      <c r="V25" s="110">
        <f t="shared" si="49"/>
        <v>486.69120000000004</v>
      </c>
      <c r="W25" s="110">
        <f t="shared" si="50"/>
        <v>0</v>
      </c>
      <c r="X25" s="110">
        <f t="shared" si="51"/>
        <v>19905.170000000002</v>
      </c>
      <c r="Y25" s="110">
        <f t="shared" si="52"/>
        <v>1628.3999999999999</v>
      </c>
      <c r="Z25" s="110">
        <f t="shared" ref="Z25" si="58">(P25+Q25+R25)*0.75%</f>
        <v>126.74249999999999</v>
      </c>
      <c r="AA25" s="113">
        <f t="shared" si="22"/>
        <v>150</v>
      </c>
      <c r="AB25" s="109"/>
      <c r="AC25" s="110">
        <f t="shared" si="53"/>
        <v>1905.1424999999999</v>
      </c>
      <c r="AD25" s="110">
        <f t="shared" si="16"/>
        <v>18000</v>
      </c>
      <c r="AE25" s="110">
        <f t="shared" si="54"/>
        <v>1764.1000000000001</v>
      </c>
      <c r="AF25" s="110">
        <f t="shared" ref="AF25" si="59">(P25+Q25+R25)*3.25%</f>
        <v>549.21749999999997</v>
      </c>
      <c r="AG25" s="110">
        <f t="shared" si="55"/>
        <v>22218.487499999999</v>
      </c>
      <c r="AH25" s="146">
        <v>24637</v>
      </c>
      <c r="AI25" s="146">
        <f t="shared" si="56"/>
        <v>2418.5125000000007</v>
      </c>
    </row>
    <row r="26" spans="1:37" ht="17.25" customHeight="1" x14ac:dyDescent="0.25">
      <c r="A26" s="133"/>
      <c r="B26" s="122"/>
      <c r="C26" s="139" t="s">
        <v>33</v>
      </c>
      <c r="D26" s="122"/>
      <c r="E26" s="112">
        <f>SUM(E18:E25)</f>
        <v>240</v>
      </c>
      <c r="F26" s="112">
        <f t="shared" ref="F26:AG26" si="60">SUM(F18:F25)</f>
        <v>240</v>
      </c>
      <c r="G26" s="112">
        <f t="shared" si="60"/>
        <v>0</v>
      </c>
      <c r="H26" s="112">
        <f t="shared" si="60"/>
        <v>145403</v>
      </c>
      <c r="I26" s="112">
        <f t="shared" si="60"/>
        <v>36160</v>
      </c>
      <c r="J26" s="112">
        <f t="shared" si="60"/>
        <v>72400</v>
      </c>
      <c r="K26" s="112">
        <f t="shared" si="60"/>
        <v>36843</v>
      </c>
      <c r="L26" s="112">
        <f t="shared" si="60"/>
        <v>9043.0480000000007</v>
      </c>
      <c r="M26" s="112">
        <f t="shared" si="60"/>
        <v>7168.3678999999993</v>
      </c>
      <c r="N26" s="112">
        <f t="shared" si="60"/>
        <v>4783.7587000000003</v>
      </c>
      <c r="O26" s="112">
        <f t="shared" si="60"/>
        <v>4187.6063999999997</v>
      </c>
      <c r="P26" s="112">
        <f t="shared" si="60"/>
        <v>36160</v>
      </c>
      <c r="Q26" s="112">
        <f t="shared" si="60"/>
        <v>72400</v>
      </c>
      <c r="R26" s="112">
        <f t="shared" si="60"/>
        <v>36843</v>
      </c>
      <c r="S26" s="112">
        <f t="shared" si="60"/>
        <v>9043.0480000000007</v>
      </c>
      <c r="T26" s="112">
        <f t="shared" si="60"/>
        <v>7168.3678999999993</v>
      </c>
      <c r="U26" s="112">
        <f t="shared" si="60"/>
        <v>4783.7587000000003</v>
      </c>
      <c r="V26" s="112">
        <f t="shared" si="60"/>
        <v>4187.6063999999997</v>
      </c>
      <c r="W26" s="112">
        <f t="shared" si="60"/>
        <v>0</v>
      </c>
      <c r="X26" s="112">
        <f t="shared" si="60"/>
        <v>170585.78100000005</v>
      </c>
      <c r="Y26" s="112">
        <f t="shared" si="60"/>
        <v>13027.199999999999</v>
      </c>
      <c r="Z26" s="112">
        <f t="shared" si="60"/>
        <v>658.52249999999992</v>
      </c>
      <c r="AA26" s="112">
        <f t="shared" si="60"/>
        <v>1500</v>
      </c>
      <c r="AB26" s="112">
        <f t="shared" si="60"/>
        <v>0</v>
      </c>
      <c r="AC26" s="112">
        <f t="shared" si="60"/>
        <v>15185.722499999998</v>
      </c>
      <c r="AD26" s="112">
        <f t="shared" si="60"/>
        <v>155401</v>
      </c>
      <c r="AE26" s="112">
        <f t="shared" si="60"/>
        <v>14112.800000000001</v>
      </c>
      <c r="AF26" s="112">
        <f t="shared" si="60"/>
        <v>5253.5974999999999</v>
      </c>
      <c r="AG26" s="112">
        <f t="shared" si="60"/>
        <v>189952.17850000001</v>
      </c>
      <c r="AH26" s="146">
        <f>SUM(AH18:AH23)</f>
        <v>147822</v>
      </c>
      <c r="AI26" s="11">
        <f>AH26-AG26</f>
        <v>-42130.178500000009</v>
      </c>
    </row>
    <row r="27" spans="1:37" ht="17.25" customHeight="1" x14ac:dyDescent="0.25">
      <c r="A27" s="133">
        <v>20</v>
      </c>
      <c r="B27" s="122">
        <v>11022</v>
      </c>
      <c r="C27" s="122" t="s">
        <v>37</v>
      </c>
      <c r="D27" s="122" t="s">
        <v>38</v>
      </c>
      <c r="E27" s="109">
        <v>30</v>
      </c>
      <c r="F27" s="109">
        <v>30</v>
      </c>
      <c r="G27" s="109">
        <v>0</v>
      </c>
      <c r="H27" s="109">
        <f t="shared" si="1"/>
        <v>19980</v>
      </c>
      <c r="I27" s="109">
        <v>4520</v>
      </c>
      <c r="J27" s="109">
        <v>9050</v>
      </c>
      <c r="K27" s="109">
        <v>6410</v>
      </c>
      <c r="L27" s="110">
        <f t="shared" si="2"/>
        <v>1130.3810000000001</v>
      </c>
      <c r="M27" s="110">
        <f t="shared" si="3"/>
        <v>985.0139999999999</v>
      </c>
      <c r="N27" s="110">
        <f t="shared" si="4"/>
        <v>657.34199999999998</v>
      </c>
      <c r="O27" s="110">
        <f t="shared" si="5"/>
        <v>575.42399999999998</v>
      </c>
      <c r="P27" s="110">
        <f t="shared" ref="P27:P30" si="61">I27/E27*F27</f>
        <v>4520</v>
      </c>
      <c r="Q27" s="110">
        <f t="shared" ref="Q27:Q30" si="62">J27/E27*F27</f>
        <v>9050</v>
      </c>
      <c r="R27" s="110">
        <f t="shared" ref="R27:R30" si="63">K27/E27*F27</f>
        <v>6410</v>
      </c>
      <c r="S27" s="110">
        <f t="shared" ref="S27:S30" si="64">L27/E27*F27</f>
        <v>1130.3810000000001</v>
      </c>
      <c r="T27" s="110">
        <f t="shared" ref="T27:T30" si="65">M27/E27*F27</f>
        <v>985.0139999999999</v>
      </c>
      <c r="U27" s="110">
        <f t="shared" ref="U27:U30" si="66">N27/E27*F27</f>
        <v>657.34199999999998</v>
      </c>
      <c r="V27" s="110">
        <f t="shared" ref="V27:V30" si="67">O27/E27*F27</f>
        <v>575.42399999999998</v>
      </c>
      <c r="W27" s="110">
        <f t="shared" si="50"/>
        <v>0</v>
      </c>
      <c r="X27" s="110">
        <f t="shared" ref="X27:X30" si="68">P27+Q27+R27+S27+T27+U27+V27+W27</f>
        <v>23328.161</v>
      </c>
      <c r="Y27" s="110">
        <f t="shared" ref="Y27:Y30" si="69">(P27+Q27)*12%</f>
        <v>1628.3999999999999</v>
      </c>
      <c r="Z27" s="110">
        <v>0</v>
      </c>
      <c r="AA27" s="109">
        <f t="shared" si="22"/>
        <v>200</v>
      </c>
      <c r="AB27" s="109"/>
      <c r="AC27" s="110">
        <f t="shared" ref="AC27:AC30" si="70">Y27+Z27+AA27+AB27</f>
        <v>1828.3999999999999</v>
      </c>
      <c r="AD27" s="110">
        <f t="shared" si="16"/>
        <v>21500</v>
      </c>
      <c r="AE27" s="110">
        <f t="shared" ref="AE27:AE30" si="71">(P27+Q27)*13%</f>
        <v>1764.1000000000001</v>
      </c>
      <c r="AF27" s="110">
        <v>800</v>
      </c>
      <c r="AG27" s="110">
        <f t="shared" si="55"/>
        <v>25892.260999999999</v>
      </c>
      <c r="AH27" s="9">
        <v>24511</v>
      </c>
      <c r="AI27" s="146">
        <f>AH27-AG27</f>
        <v>-1381.2609999999986</v>
      </c>
    </row>
    <row r="28" spans="1:37" ht="17.25" customHeight="1" x14ac:dyDescent="0.25">
      <c r="A28" s="133">
        <f>A27+1</f>
        <v>21</v>
      </c>
      <c r="B28" s="122">
        <v>10990</v>
      </c>
      <c r="C28" s="122" t="s">
        <v>39</v>
      </c>
      <c r="D28" s="122" t="s">
        <v>38</v>
      </c>
      <c r="E28" s="109">
        <v>30</v>
      </c>
      <c r="F28" s="109">
        <v>30</v>
      </c>
      <c r="G28" s="109">
        <v>0</v>
      </c>
      <c r="H28" s="109">
        <f t="shared" si="1"/>
        <v>18180</v>
      </c>
      <c r="I28" s="109">
        <v>4520</v>
      </c>
      <c r="J28" s="109">
        <v>9050</v>
      </c>
      <c r="K28" s="109">
        <v>4610</v>
      </c>
      <c r="L28" s="110">
        <f t="shared" si="2"/>
        <v>1130.3810000000001</v>
      </c>
      <c r="M28" s="110">
        <f t="shared" si="3"/>
        <v>896.27399999999989</v>
      </c>
      <c r="N28" s="110">
        <f t="shared" si="4"/>
        <v>598.12199999999996</v>
      </c>
      <c r="O28" s="110">
        <f t="shared" si="5"/>
        <v>523.58399999999995</v>
      </c>
      <c r="P28" s="110">
        <f t="shared" si="61"/>
        <v>4520</v>
      </c>
      <c r="Q28" s="110">
        <f t="shared" si="62"/>
        <v>9050</v>
      </c>
      <c r="R28" s="110">
        <f t="shared" si="63"/>
        <v>4610</v>
      </c>
      <c r="S28" s="110">
        <f t="shared" si="64"/>
        <v>1130.3810000000001</v>
      </c>
      <c r="T28" s="110">
        <f t="shared" si="65"/>
        <v>896.27399999999989</v>
      </c>
      <c r="U28" s="110">
        <f t="shared" si="66"/>
        <v>598.12199999999996</v>
      </c>
      <c r="V28" s="110">
        <f t="shared" si="67"/>
        <v>523.58399999999995</v>
      </c>
      <c r="W28" s="110">
        <f t="shared" si="50"/>
        <v>0</v>
      </c>
      <c r="X28" s="110">
        <f t="shared" si="68"/>
        <v>21328.361000000001</v>
      </c>
      <c r="Y28" s="110">
        <f t="shared" si="69"/>
        <v>1628.3999999999999</v>
      </c>
      <c r="Z28" s="110">
        <v>0</v>
      </c>
      <c r="AA28" s="109">
        <f t="shared" si="22"/>
        <v>200</v>
      </c>
      <c r="AB28" s="109"/>
      <c r="AC28" s="110">
        <f t="shared" si="70"/>
        <v>1828.3999999999999</v>
      </c>
      <c r="AD28" s="110">
        <f t="shared" si="16"/>
        <v>19500</v>
      </c>
      <c r="AE28" s="110">
        <f t="shared" si="71"/>
        <v>1764.1000000000001</v>
      </c>
      <c r="AF28" s="110">
        <v>800</v>
      </c>
      <c r="AG28" s="110">
        <f t="shared" si="55"/>
        <v>23892.460999999999</v>
      </c>
      <c r="AH28" s="9">
        <v>24511</v>
      </c>
      <c r="AI28" s="146">
        <f t="shared" ref="AI28:AI30" si="72">AH28-AG28</f>
        <v>618.53900000000067</v>
      </c>
    </row>
    <row r="29" spans="1:37" ht="17.25" customHeight="1" x14ac:dyDescent="0.25">
      <c r="A29" s="133">
        <f t="shared" ref="A29:A30" si="73">A28+1</f>
        <v>22</v>
      </c>
      <c r="B29" s="122">
        <v>10981</v>
      </c>
      <c r="C29" s="122" t="s">
        <v>40</v>
      </c>
      <c r="D29" s="122" t="s">
        <v>38</v>
      </c>
      <c r="E29" s="109">
        <v>30</v>
      </c>
      <c r="F29" s="109">
        <v>30</v>
      </c>
      <c r="G29" s="109">
        <v>0</v>
      </c>
      <c r="H29" s="109">
        <f t="shared" si="1"/>
        <v>19080</v>
      </c>
      <c r="I29" s="109">
        <v>4520</v>
      </c>
      <c r="J29" s="109">
        <v>9050</v>
      </c>
      <c r="K29" s="109">
        <v>5510</v>
      </c>
      <c r="L29" s="110">
        <f t="shared" si="2"/>
        <v>1130.3810000000001</v>
      </c>
      <c r="M29" s="110">
        <f t="shared" si="3"/>
        <v>940.64399999999989</v>
      </c>
      <c r="N29" s="110">
        <f t="shared" si="4"/>
        <v>627.73199999999997</v>
      </c>
      <c r="O29" s="110">
        <f t="shared" si="5"/>
        <v>549.50400000000002</v>
      </c>
      <c r="P29" s="110">
        <f t="shared" si="61"/>
        <v>4520</v>
      </c>
      <c r="Q29" s="110">
        <f t="shared" si="62"/>
        <v>9050</v>
      </c>
      <c r="R29" s="110">
        <f t="shared" si="63"/>
        <v>5510</v>
      </c>
      <c r="S29" s="110">
        <f t="shared" si="64"/>
        <v>1130.3810000000001</v>
      </c>
      <c r="T29" s="110">
        <f t="shared" si="65"/>
        <v>940.64399999999989</v>
      </c>
      <c r="U29" s="110">
        <f t="shared" si="66"/>
        <v>627.73199999999997</v>
      </c>
      <c r="V29" s="110">
        <f t="shared" si="67"/>
        <v>549.50400000000002</v>
      </c>
      <c r="W29" s="110">
        <f t="shared" si="50"/>
        <v>0</v>
      </c>
      <c r="X29" s="110">
        <f t="shared" si="68"/>
        <v>22328.261000000002</v>
      </c>
      <c r="Y29" s="110">
        <f t="shared" si="69"/>
        <v>1628.3999999999999</v>
      </c>
      <c r="Z29" s="110">
        <v>0</v>
      </c>
      <c r="AA29" s="109">
        <f t="shared" si="22"/>
        <v>200</v>
      </c>
      <c r="AB29" s="109"/>
      <c r="AC29" s="110">
        <f t="shared" si="70"/>
        <v>1828.3999999999999</v>
      </c>
      <c r="AD29" s="110">
        <f t="shared" si="16"/>
        <v>20500</v>
      </c>
      <c r="AE29" s="110">
        <f t="shared" si="71"/>
        <v>1764.1000000000001</v>
      </c>
      <c r="AF29" s="110">
        <v>800</v>
      </c>
      <c r="AG29" s="110">
        <f t="shared" si="55"/>
        <v>24892.361000000001</v>
      </c>
      <c r="AH29" s="9">
        <v>24511</v>
      </c>
      <c r="AI29" s="146">
        <f t="shared" si="72"/>
        <v>-381.36100000000079</v>
      </c>
    </row>
    <row r="30" spans="1:37" ht="17.25" x14ac:dyDescent="0.25">
      <c r="A30" s="133">
        <f t="shared" si="73"/>
        <v>23</v>
      </c>
      <c r="B30" s="122">
        <v>11193</v>
      </c>
      <c r="C30" s="122" t="s">
        <v>241</v>
      </c>
      <c r="D30" s="122" t="s">
        <v>38</v>
      </c>
      <c r="E30" s="109">
        <v>30</v>
      </c>
      <c r="F30" s="109">
        <v>30</v>
      </c>
      <c r="G30" s="109">
        <v>0</v>
      </c>
      <c r="H30" s="109">
        <f t="shared" si="1"/>
        <v>17397</v>
      </c>
      <c r="I30" s="109">
        <v>4520</v>
      </c>
      <c r="J30" s="109">
        <v>9050</v>
      </c>
      <c r="K30" s="109">
        <v>3827</v>
      </c>
      <c r="L30" s="110">
        <f t="shared" si="2"/>
        <v>1130.3810000000001</v>
      </c>
      <c r="M30" s="110">
        <f t="shared" si="3"/>
        <v>857.67209999999989</v>
      </c>
      <c r="N30" s="110">
        <f t="shared" si="4"/>
        <v>572.36130000000003</v>
      </c>
      <c r="O30" s="110">
        <f t="shared" si="5"/>
        <v>501.03359999999998</v>
      </c>
      <c r="P30" s="110">
        <f t="shared" si="61"/>
        <v>4520</v>
      </c>
      <c r="Q30" s="110">
        <f t="shared" si="62"/>
        <v>9050</v>
      </c>
      <c r="R30" s="110">
        <f t="shared" si="63"/>
        <v>3827</v>
      </c>
      <c r="S30" s="110">
        <f t="shared" si="64"/>
        <v>1130.3810000000001</v>
      </c>
      <c r="T30" s="110">
        <f t="shared" si="65"/>
        <v>857.67209999999989</v>
      </c>
      <c r="U30" s="110">
        <f t="shared" si="66"/>
        <v>572.36130000000003</v>
      </c>
      <c r="V30" s="110">
        <f t="shared" si="67"/>
        <v>501.03359999999998</v>
      </c>
      <c r="W30" s="110">
        <f t="shared" si="50"/>
        <v>0</v>
      </c>
      <c r="X30" s="143">
        <f t="shared" si="68"/>
        <v>20458.448</v>
      </c>
      <c r="Y30" s="110">
        <f t="shared" si="69"/>
        <v>1628.3999999999999</v>
      </c>
      <c r="Z30" s="146">
        <f>(P30+Q30+R30)*0.75%</f>
        <v>130.47749999999999</v>
      </c>
      <c r="AA30" s="109">
        <f t="shared" si="22"/>
        <v>200</v>
      </c>
      <c r="AB30" s="109"/>
      <c r="AC30" s="110">
        <f t="shared" si="70"/>
        <v>1958.8774999999998</v>
      </c>
      <c r="AD30" s="143">
        <f>ROUND(X30-AC30,0)</f>
        <v>18500</v>
      </c>
      <c r="AE30" s="110">
        <f t="shared" si="71"/>
        <v>1764.1000000000001</v>
      </c>
      <c r="AF30" s="110">
        <f>(P30+Q30+R30)*3.25%</f>
        <v>565.40250000000003</v>
      </c>
      <c r="AG30" s="110">
        <f t="shared" si="55"/>
        <v>22787.950499999999</v>
      </c>
      <c r="AH30" s="9">
        <v>24511</v>
      </c>
      <c r="AI30" s="146">
        <f t="shared" si="72"/>
        <v>1723.049500000001</v>
      </c>
    </row>
    <row r="31" spans="1:37" ht="17.25" x14ac:dyDescent="0.25">
      <c r="A31" s="133"/>
      <c r="B31" s="122"/>
      <c r="C31" s="140" t="s">
        <v>154</v>
      </c>
      <c r="D31" s="122"/>
      <c r="E31" s="112">
        <f>SUM(E27:E30)</f>
        <v>120</v>
      </c>
      <c r="F31" s="112">
        <f t="shared" ref="F31:AG31" si="74">SUM(F27:F30)</f>
        <v>120</v>
      </c>
      <c r="G31" s="112">
        <f t="shared" si="74"/>
        <v>0</v>
      </c>
      <c r="H31" s="112">
        <f t="shared" si="74"/>
        <v>74637</v>
      </c>
      <c r="I31" s="112">
        <f t="shared" si="74"/>
        <v>18080</v>
      </c>
      <c r="J31" s="112">
        <f t="shared" si="74"/>
        <v>36200</v>
      </c>
      <c r="K31" s="112">
        <f t="shared" si="74"/>
        <v>20357</v>
      </c>
      <c r="L31" s="112">
        <f t="shared" si="74"/>
        <v>4521.5240000000003</v>
      </c>
      <c r="M31" s="112">
        <f t="shared" si="74"/>
        <v>3679.6040999999996</v>
      </c>
      <c r="N31" s="112">
        <f t="shared" si="74"/>
        <v>2455.5572999999999</v>
      </c>
      <c r="O31" s="112">
        <f t="shared" si="74"/>
        <v>2149.5455999999995</v>
      </c>
      <c r="P31" s="112">
        <f t="shared" si="74"/>
        <v>18080</v>
      </c>
      <c r="Q31" s="112">
        <f t="shared" si="74"/>
        <v>36200</v>
      </c>
      <c r="R31" s="112">
        <f t="shared" si="74"/>
        <v>20357</v>
      </c>
      <c r="S31" s="112">
        <f t="shared" si="74"/>
        <v>4521.5240000000003</v>
      </c>
      <c r="T31" s="112">
        <f t="shared" si="74"/>
        <v>3679.6040999999996</v>
      </c>
      <c r="U31" s="112">
        <f t="shared" si="74"/>
        <v>2455.5572999999999</v>
      </c>
      <c r="V31" s="112">
        <f t="shared" si="74"/>
        <v>2149.5455999999995</v>
      </c>
      <c r="W31" s="112">
        <f t="shared" si="74"/>
        <v>0</v>
      </c>
      <c r="X31" s="112">
        <f t="shared" si="74"/>
        <v>87443.231</v>
      </c>
      <c r="Y31" s="112">
        <f t="shared" si="74"/>
        <v>6513.5999999999995</v>
      </c>
      <c r="Z31" s="112">
        <f t="shared" si="74"/>
        <v>130.47749999999999</v>
      </c>
      <c r="AA31" s="112">
        <f t="shared" si="74"/>
        <v>800</v>
      </c>
      <c r="AB31" s="112">
        <f t="shared" si="74"/>
        <v>0</v>
      </c>
      <c r="AC31" s="112">
        <f t="shared" si="74"/>
        <v>7444.0774999999994</v>
      </c>
      <c r="AD31" s="112">
        <f t="shared" si="74"/>
        <v>80000</v>
      </c>
      <c r="AE31" s="112">
        <f t="shared" si="74"/>
        <v>7056.4000000000005</v>
      </c>
      <c r="AF31" s="112">
        <f t="shared" si="74"/>
        <v>2965.4025000000001</v>
      </c>
      <c r="AG31" s="112">
        <f t="shared" si="74"/>
        <v>97465.03349999999</v>
      </c>
      <c r="AH31" s="9">
        <f>SUM(AH27:AH30)</f>
        <v>98044</v>
      </c>
      <c r="AI31" s="11">
        <f>AH31-AG31</f>
        <v>578.96650000000955</v>
      </c>
    </row>
    <row r="32" spans="1:37" ht="17.25" x14ac:dyDescent="0.25">
      <c r="A32" s="133">
        <f>A30+1</f>
        <v>24</v>
      </c>
      <c r="B32" s="122">
        <v>11000</v>
      </c>
      <c r="C32" s="122" t="s">
        <v>44</v>
      </c>
      <c r="D32" s="122" t="s">
        <v>43</v>
      </c>
      <c r="E32" s="109">
        <v>30</v>
      </c>
      <c r="F32" s="109">
        <v>30</v>
      </c>
      <c r="G32" s="109">
        <v>0</v>
      </c>
      <c r="H32" s="109">
        <f>I32+J32+K32</f>
        <v>22050</v>
      </c>
      <c r="I32" s="109">
        <v>4520</v>
      </c>
      <c r="J32" s="109">
        <v>9050</v>
      </c>
      <c r="K32" s="109">
        <v>8480</v>
      </c>
      <c r="L32" s="110">
        <f>(I32+J32)*8.33%</f>
        <v>1130.3810000000001</v>
      </c>
      <c r="M32" s="110">
        <f>H32*4.93%</f>
        <v>1087.0649999999998</v>
      </c>
      <c r="N32" s="110">
        <f>H32*3.29%</f>
        <v>725.44499999999994</v>
      </c>
      <c r="O32" s="110">
        <f>H32*2.88%</f>
        <v>635.04</v>
      </c>
      <c r="P32" s="110">
        <f t="shared" ref="P32:P35" si="75">I32/E32*F32</f>
        <v>4520</v>
      </c>
      <c r="Q32" s="110">
        <f t="shared" ref="Q32:Q35" si="76">J32/E32*F32</f>
        <v>9050</v>
      </c>
      <c r="R32" s="110">
        <f t="shared" ref="R32:R35" si="77">K32/E32*F32</f>
        <v>8480</v>
      </c>
      <c r="S32" s="110">
        <f t="shared" ref="S32:S35" si="78">L32/E32*F32</f>
        <v>1130.3810000000001</v>
      </c>
      <c r="T32" s="110">
        <f t="shared" ref="T32:T35" si="79">M32/E32*F32</f>
        <v>1087.0649999999998</v>
      </c>
      <c r="U32" s="110">
        <f t="shared" ref="U32:U35" si="80">N32/E32*F32</f>
        <v>725.44499999999994</v>
      </c>
      <c r="V32" s="110">
        <f t="shared" ref="V32:V35" si="81">O32/E32*F32</f>
        <v>635.04</v>
      </c>
      <c r="W32" s="110">
        <f t="shared" si="50"/>
        <v>0</v>
      </c>
      <c r="X32" s="110">
        <f t="shared" ref="X32:X35" si="82">P32+Q32+R32+S32+T32+U32+V32+W32</f>
        <v>25627.931</v>
      </c>
      <c r="Y32" s="110">
        <f t="shared" ref="Y32:Y35" si="83">(P32+Q32)*12%</f>
        <v>1628.3999999999999</v>
      </c>
      <c r="Z32" s="110">
        <v>0</v>
      </c>
      <c r="AA32" s="109">
        <f>IF(X32&gt;20000,200,IF(X32&gt;15000,150,0))</f>
        <v>200</v>
      </c>
      <c r="AB32" s="109"/>
      <c r="AC32" s="110">
        <f t="shared" ref="AC32:AC33" si="84">Y32+Z32+AA32+AB32</f>
        <v>1828.3999999999999</v>
      </c>
      <c r="AD32" s="110">
        <f>ROUND(X32-AC32,0)</f>
        <v>23800</v>
      </c>
      <c r="AE32" s="110">
        <f t="shared" ref="AE32:AE35" si="85">(P32+Q32)*13%</f>
        <v>1764.1000000000001</v>
      </c>
      <c r="AF32" s="110">
        <v>800</v>
      </c>
      <c r="AG32" s="110">
        <f>X32+AE32+AF32</f>
        <v>28192.030999999999</v>
      </c>
      <c r="AH32" s="9">
        <v>24511</v>
      </c>
      <c r="AI32" s="146">
        <f>AH32-AG32</f>
        <v>-3681.030999999999</v>
      </c>
    </row>
    <row r="33" spans="1:37" ht="17.25" x14ac:dyDescent="0.25">
      <c r="A33" s="133">
        <f t="shared" ref="A33:A35" si="86">A32+1</f>
        <v>25</v>
      </c>
      <c r="B33" s="122">
        <v>11026</v>
      </c>
      <c r="C33" s="122" t="s">
        <v>45</v>
      </c>
      <c r="D33" s="122" t="s">
        <v>43</v>
      </c>
      <c r="E33" s="109">
        <v>30</v>
      </c>
      <c r="F33" s="109">
        <v>30</v>
      </c>
      <c r="G33" s="109">
        <v>0</v>
      </c>
      <c r="H33" s="109">
        <f>I33+J33+K33</f>
        <v>18180</v>
      </c>
      <c r="I33" s="109">
        <v>4520</v>
      </c>
      <c r="J33" s="109">
        <v>9050</v>
      </c>
      <c r="K33" s="109">
        <v>4610</v>
      </c>
      <c r="L33" s="110">
        <f>(I33+J33)*8.33%</f>
        <v>1130.3810000000001</v>
      </c>
      <c r="M33" s="110">
        <f>H33*4.93%</f>
        <v>896.27399999999989</v>
      </c>
      <c r="N33" s="110">
        <f>H33*3.29%</f>
        <v>598.12199999999996</v>
      </c>
      <c r="O33" s="110">
        <f>H33*2.88%</f>
        <v>523.58399999999995</v>
      </c>
      <c r="P33" s="110">
        <f t="shared" si="75"/>
        <v>4520</v>
      </c>
      <c r="Q33" s="110">
        <f t="shared" si="76"/>
        <v>9050</v>
      </c>
      <c r="R33" s="110">
        <f t="shared" si="77"/>
        <v>4610</v>
      </c>
      <c r="S33" s="110">
        <f t="shared" si="78"/>
        <v>1130.3810000000001</v>
      </c>
      <c r="T33" s="110">
        <f t="shared" si="79"/>
        <v>896.27399999999989</v>
      </c>
      <c r="U33" s="110">
        <f t="shared" si="80"/>
        <v>598.12199999999996</v>
      </c>
      <c r="V33" s="110">
        <f t="shared" si="81"/>
        <v>523.58399999999995</v>
      </c>
      <c r="W33" s="110">
        <f t="shared" si="50"/>
        <v>0</v>
      </c>
      <c r="X33" s="110">
        <f t="shared" si="82"/>
        <v>21328.361000000001</v>
      </c>
      <c r="Y33" s="110">
        <f t="shared" si="83"/>
        <v>1628.3999999999999</v>
      </c>
      <c r="Z33" s="110">
        <v>0</v>
      </c>
      <c r="AA33" s="109">
        <f>IF(X33&gt;20000,200,IF(X33&gt;15000,150,0))</f>
        <v>200</v>
      </c>
      <c r="AB33" s="109"/>
      <c r="AC33" s="110">
        <f t="shared" si="84"/>
        <v>1828.3999999999999</v>
      </c>
      <c r="AD33" s="110">
        <f>ROUND(X33-AC33,0)</f>
        <v>19500</v>
      </c>
      <c r="AE33" s="110">
        <f t="shared" si="85"/>
        <v>1764.1000000000001</v>
      </c>
      <c r="AF33" s="110">
        <v>800</v>
      </c>
      <c r="AG33" s="110">
        <f>X33+AE33+AF33</f>
        <v>23892.460999999999</v>
      </c>
      <c r="AH33" s="9">
        <v>24511</v>
      </c>
      <c r="AI33" s="146">
        <f t="shared" ref="AI33:AI35" si="87">AH33-AG33</f>
        <v>618.53900000000067</v>
      </c>
    </row>
    <row r="34" spans="1:37" s="14" customFormat="1" ht="17.25" x14ac:dyDescent="0.25">
      <c r="A34" s="133">
        <f t="shared" si="86"/>
        <v>26</v>
      </c>
      <c r="B34" s="122">
        <v>11049</v>
      </c>
      <c r="C34" s="122" t="s">
        <v>214</v>
      </c>
      <c r="D34" s="122" t="s">
        <v>43</v>
      </c>
      <c r="E34" s="109">
        <v>30</v>
      </c>
      <c r="F34" s="109">
        <v>30</v>
      </c>
      <c r="G34" s="109">
        <v>0</v>
      </c>
      <c r="H34" s="113">
        <f t="shared" ref="H34" si="88">I34+J34+K34</f>
        <v>17851</v>
      </c>
      <c r="I34" s="113">
        <v>4520</v>
      </c>
      <c r="J34" s="109">
        <v>9050</v>
      </c>
      <c r="K34" s="109">
        <v>4281</v>
      </c>
      <c r="L34" s="114">
        <f t="shared" ref="L34" si="89">(I34+J34)*8.33%</f>
        <v>1130.3810000000001</v>
      </c>
      <c r="M34" s="114">
        <f t="shared" ref="M34" si="90">H34*4.93%</f>
        <v>880.0542999999999</v>
      </c>
      <c r="N34" s="114">
        <f t="shared" ref="N34" si="91">H34*3.29%</f>
        <v>587.29790000000003</v>
      </c>
      <c r="O34" s="114">
        <f t="shared" ref="O34" si="92">H34*2.88%</f>
        <v>514.10879999999997</v>
      </c>
      <c r="P34" s="110">
        <f t="shared" si="75"/>
        <v>4520</v>
      </c>
      <c r="Q34" s="110">
        <f t="shared" si="76"/>
        <v>9050</v>
      </c>
      <c r="R34" s="110">
        <f t="shared" si="77"/>
        <v>4281</v>
      </c>
      <c r="S34" s="110">
        <f t="shared" si="78"/>
        <v>1130.3810000000001</v>
      </c>
      <c r="T34" s="110">
        <f t="shared" si="79"/>
        <v>880.0542999999999</v>
      </c>
      <c r="U34" s="110">
        <f t="shared" si="80"/>
        <v>587.29790000000003</v>
      </c>
      <c r="V34" s="110">
        <f t="shared" si="81"/>
        <v>514.10879999999997</v>
      </c>
      <c r="W34" s="110">
        <f>(H34+L34+M34+N34+O34)/E34*G34</f>
        <v>0</v>
      </c>
      <c r="X34" s="143">
        <f t="shared" si="82"/>
        <v>20962.842000000004</v>
      </c>
      <c r="Y34" s="110">
        <f t="shared" si="83"/>
        <v>1628.3999999999999</v>
      </c>
      <c r="Z34" s="146">
        <f>(P34+Q34+R34)*0.75%</f>
        <v>133.88249999999999</v>
      </c>
      <c r="AA34" s="113">
        <f t="shared" ref="AA34" si="93">IF(X34&gt;20000,200,IF(X34&gt;15000,150,0))</f>
        <v>200</v>
      </c>
      <c r="AB34" s="109"/>
      <c r="AC34" s="110">
        <f>Y34+Z34+AA34+AB34</f>
        <v>1962.2824999999998</v>
      </c>
      <c r="AD34" s="143">
        <f t="shared" ref="AD34" si="94">ROUND(X34-AC34,0)</f>
        <v>19001</v>
      </c>
      <c r="AE34" s="110">
        <f t="shared" si="85"/>
        <v>1764.1000000000001</v>
      </c>
      <c r="AF34" s="110">
        <f>(P34+Q34+R34)*3.25%</f>
        <v>580.15750000000003</v>
      </c>
      <c r="AG34" s="110">
        <f t="shared" ref="AG34" si="95">X34+AE34+AF34</f>
        <v>23307.099500000004</v>
      </c>
      <c r="AH34" s="146">
        <v>24637</v>
      </c>
      <c r="AI34" s="146">
        <f>AH34-AG34</f>
        <v>1329.9004999999961</v>
      </c>
    </row>
    <row r="35" spans="1:37" ht="17.25" customHeight="1" x14ac:dyDescent="0.25">
      <c r="A35" s="133">
        <f t="shared" si="86"/>
        <v>27</v>
      </c>
      <c r="B35" s="122">
        <v>11273</v>
      </c>
      <c r="C35" s="122" t="s">
        <v>270</v>
      </c>
      <c r="D35" s="122" t="s">
        <v>43</v>
      </c>
      <c r="E35" s="109">
        <v>30</v>
      </c>
      <c r="F35" s="109">
        <v>30</v>
      </c>
      <c r="G35" s="109">
        <v>0</v>
      </c>
      <c r="H35" s="109">
        <f>I35+J35+K35</f>
        <v>18180</v>
      </c>
      <c r="I35" s="9">
        <v>4520</v>
      </c>
      <c r="J35" s="109">
        <v>9050</v>
      </c>
      <c r="K35" s="9">
        <v>4610</v>
      </c>
      <c r="L35" s="110">
        <f>(I35+J35)*8.33%</f>
        <v>1130.3810000000001</v>
      </c>
      <c r="M35" s="110">
        <f>H35*4.93%</f>
        <v>896.27399999999989</v>
      </c>
      <c r="N35" s="110">
        <f>H35*3.29%</f>
        <v>598.12199999999996</v>
      </c>
      <c r="O35" s="110">
        <f>H35*2.88%</f>
        <v>523.58399999999995</v>
      </c>
      <c r="P35" s="110">
        <f t="shared" si="75"/>
        <v>4520</v>
      </c>
      <c r="Q35" s="110">
        <f t="shared" si="76"/>
        <v>9050</v>
      </c>
      <c r="R35" s="110">
        <f t="shared" si="77"/>
        <v>4610</v>
      </c>
      <c r="S35" s="110">
        <f t="shared" si="78"/>
        <v>1130.3810000000001</v>
      </c>
      <c r="T35" s="110">
        <f t="shared" si="79"/>
        <v>896.27399999999989</v>
      </c>
      <c r="U35" s="110">
        <f t="shared" si="80"/>
        <v>598.12199999999996</v>
      </c>
      <c r="V35" s="110">
        <f t="shared" si="81"/>
        <v>523.58399999999995</v>
      </c>
      <c r="W35" s="110">
        <f t="shared" ref="W35" si="96">(H35+L35+M35+N35+O35)/E35*G35</f>
        <v>0</v>
      </c>
      <c r="X35" s="110">
        <f t="shared" si="82"/>
        <v>21328.361000000001</v>
      </c>
      <c r="Y35" s="110">
        <f t="shared" si="83"/>
        <v>1628.3999999999999</v>
      </c>
      <c r="Z35" s="110">
        <v>0</v>
      </c>
      <c r="AA35" s="109">
        <f>IF(X35&gt;20000,200,IF(X35&gt;15000,150,0))</f>
        <v>200</v>
      </c>
      <c r="AB35" s="109"/>
      <c r="AC35" s="110">
        <f t="shared" ref="AC35" si="97">Y35+Z35+AA35+AB35</f>
        <v>1828.3999999999999</v>
      </c>
      <c r="AD35" s="110">
        <f>ROUND(X35-AC35,0)</f>
        <v>19500</v>
      </c>
      <c r="AE35" s="110">
        <f t="shared" si="85"/>
        <v>1764.1000000000001</v>
      </c>
      <c r="AF35" s="110">
        <v>800</v>
      </c>
      <c r="AG35" s="110">
        <f>X35+AE35+AF35</f>
        <v>23892.460999999999</v>
      </c>
      <c r="AH35" s="9">
        <v>24511</v>
      </c>
      <c r="AI35" s="146">
        <f t="shared" si="87"/>
        <v>618.53900000000067</v>
      </c>
    </row>
    <row r="36" spans="1:37" ht="17.25" customHeight="1" x14ac:dyDescent="0.25">
      <c r="A36" s="133"/>
      <c r="B36" s="122"/>
      <c r="C36" s="139" t="s">
        <v>43</v>
      </c>
      <c r="D36" s="122"/>
      <c r="E36" s="112">
        <f>SUM(E32:E35)</f>
        <v>120</v>
      </c>
      <c r="F36" s="112">
        <f t="shared" ref="F36:AG36" si="98">SUM(F32:F35)</f>
        <v>120</v>
      </c>
      <c r="G36" s="112">
        <f t="shared" si="98"/>
        <v>0</v>
      </c>
      <c r="H36" s="112">
        <f t="shared" si="98"/>
        <v>76261</v>
      </c>
      <c r="I36" s="112">
        <f t="shared" si="98"/>
        <v>18080</v>
      </c>
      <c r="J36" s="112">
        <f t="shared" si="98"/>
        <v>36200</v>
      </c>
      <c r="K36" s="112">
        <f t="shared" si="98"/>
        <v>21981</v>
      </c>
      <c r="L36" s="112">
        <f t="shared" si="98"/>
        <v>4521.5240000000003</v>
      </c>
      <c r="M36" s="112">
        <f t="shared" si="98"/>
        <v>3759.6672999999996</v>
      </c>
      <c r="N36" s="112">
        <f t="shared" si="98"/>
        <v>2508.9868999999999</v>
      </c>
      <c r="O36" s="112">
        <f t="shared" si="98"/>
        <v>2196.3167999999996</v>
      </c>
      <c r="P36" s="112">
        <f t="shared" si="98"/>
        <v>18080</v>
      </c>
      <c r="Q36" s="112">
        <f t="shared" si="98"/>
        <v>36200</v>
      </c>
      <c r="R36" s="112">
        <f t="shared" si="98"/>
        <v>21981</v>
      </c>
      <c r="S36" s="112">
        <f t="shared" si="98"/>
        <v>4521.5240000000003</v>
      </c>
      <c r="T36" s="112">
        <f t="shared" si="98"/>
        <v>3759.6672999999996</v>
      </c>
      <c r="U36" s="112">
        <f t="shared" si="98"/>
        <v>2508.9868999999999</v>
      </c>
      <c r="V36" s="112">
        <f t="shared" si="98"/>
        <v>2196.3167999999996</v>
      </c>
      <c r="W36" s="112">
        <f t="shared" si="98"/>
        <v>0</v>
      </c>
      <c r="X36" s="112">
        <f t="shared" si="98"/>
        <v>89247.49500000001</v>
      </c>
      <c r="Y36" s="112">
        <f t="shared" si="98"/>
        <v>6513.5999999999995</v>
      </c>
      <c r="Z36" s="112">
        <f t="shared" si="98"/>
        <v>133.88249999999999</v>
      </c>
      <c r="AA36" s="112">
        <f t="shared" si="98"/>
        <v>800</v>
      </c>
      <c r="AB36" s="112">
        <f t="shared" si="98"/>
        <v>0</v>
      </c>
      <c r="AC36" s="112">
        <f t="shared" si="98"/>
        <v>7447.4824999999992</v>
      </c>
      <c r="AD36" s="112">
        <f t="shared" si="98"/>
        <v>81801</v>
      </c>
      <c r="AE36" s="112">
        <f t="shared" si="98"/>
        <v>7056.4000000000005</v>
      </c>
      <c r="AF36" s="112">
        <f t="shared" si="98"/>
        <v>2980.1575000000003</v>
      </c>
      <c r="AG36" s="112">
        <f t="shared" si="98"/>
        <v>99284.052500000005</v>
      </c>
      <c r="AH36" s="9">
        <f>SUM(AH32:AH35)</f>
        <v>98170</v>
      </c>
      <c r="AI36" s="11">
        <f>SUM(AI32:AI35)</f>
        <v>-1114.0525000000016</v>
      </c>
    </row>
    <row r="37" spans="1:37" ht="17.25" x14ac:dyDescent="0.25">
      <c r="A37" s="133">
        <f>A35+1</f>
        <v>28</v>
      </c>
      <c r="B37" s="122">
        <v>10991</v>
      </c>
      <c r="C37" s="122" t="s">
        <v>47</v>
      </c>
      <c r="D37" s="122" t="s">
        <v>48</v>
      </c>
      <c r="E37" s="109">
        <v>30</v>
      </c>
      <c r="F37" s="109">
        <v>30</v>
      </c>
      <c r="G37" s="109">
        <v>0</v>
      </c>
      <c r="H37" s="109">
        <f t="shared" si="1"/>
        <v>22230</v>
      </c>
      <c r="I37" s="109">
        <v>4520</v>
      </c>
      <c r="J37" s="109">
        <v>9050</v>
      </c>
      <c r="K37" s="109">
        <v>8660</v>
      </c>
      <c r="L37" s="110">
        <f t="shared" si="2"/>
        <v>1130.3810000000001</v>
      </c>
      <c r="M37" s="110">
        <f t="shared" si="3"/>
        <v>1095.9389999999999</v>
      </c>
      <c r="N37" s="110">
        <f t="shared" si="4"/>
        <v>731.36699999999996</v>
      </c>
      <c r="O37" s="110">
        <f t="shared" si="5"/>
        <v>640.22399999999993</v>
      </c>
      <c r="P37" s="110">
        <f t="shared" ref="P37" si="99">I37/E37*F37</f>
        <v>4520</v>
      </c>
      <c r="Q37" s="110">
        <f t="shared" ref="Q37" si="100">J37/E37*F37</f>
        <v>9050</v>
      </c>
      <c r="R37" s="110">
        <f t="shared" ref="R37" si="101">K37/E37*F37</f>
        <v>8660</v>
      </c>
      <c r="S37" s="110">
        <f t="shared" ref="S37" si="102">L37/E37*F37</f>
        <v>1130.3810000000001</v>
      </c>
      <c r="T37" s="110">
        <f t="shared" ref="T37" si="103">M37/E37*F37</f>
        <v>1095.9389999999999</v>
      </c>
      <c r="U37" s="110">
        <f t="shared" ref="U37" si="104">N37/E37*F37</f>
        <v>731.36699999999996</v>
      </c>
      <c r="V37" s="110">
        <f t="shared" ref="V37" si="105">O37/E37*F37</f>
        <v>640.22399999999993</v>
      </c>
      <c r="W37" s="110">
        <f t="shared" si="50"/>
        <v>0</v>
      </c>
      <c r="X37" s="110">
        <f t="shared" ref="X37" si="106">P37+Q37+R37+S37+T37+U37+V37+W37</f>
        <v>25827.910999999996</v>
      </c>
      <c r="Y37" s="110">
        <f t="shared" ref="Y37" si="107">(P37+Q37)*12%</f>
        <v>1628.3999999999999</v>
      </c>
      <c r="Z37" s="110">
        <v>0</v>
      </c>
      <c r="AA37" s="109">
        <f t="shared" si="22"/>
        <v>200</v>
      </c>
      <c r="AB37" s="109"/>
      <c r="AC37" s="110">
        <f t="shared" ref="AC37" si="108">Y37+Z37+AA37+AB37</f>
        <v>1828.3999999999999</v>
      </c>
      <c r="AD37" s="110">
        <f t="shared" si="16"/>
        <v>24000</v>
      </c>
      <c r="AE37" s="110">
        <f t="shared" ref="AE37" si="109">(P37+Q37)*13%</f>
        <v>1764.1000000000001</v>
      </c>
      <c r="AF37" s="110">
        <v>800</v>
      </c>
      <c r="AG37" s="110">
        <f t="shared" ref="AG37:AG48" si="110">X37+AE37+AF37</f>
        <v>28392.010999999995</v>
      </c>
      <c r="AH37" s="9">
        <v>24586</v>
      </c>
      <c r="AI37" s="146">
        <f>AG37-AH37</f>
        <v>3806.010999999995</v>
      </c>
    </row>
    <row r="38" spans="1:37" ht="17.25" x14ac:dyDescent="0.25">
      <c r="A38" s="133">
        <f>A37+1</f>
        <v>29</v>
      </c>
      <c r="B38" s="122">
        <v>10998</v>
      </c>
      <c r="C38" s="122" t="s">
        <v>49</v>
      </c>
      <c r="D38" s="122" t="s">
        <v>48</v>
      </c>
      <c r="E38" s="109">
        <v>30</v>
      </c>
      <c r="F38" s="109">
        <v>30</v>
      </c>
      <c r="G38" s="109">
        <v>0</v>
      </c>
      <c r="H38" s="109">
        <f>I38+J38+K38</f>
        <v>19530</v>
      </c>
      <c r="I38" s="109">
        <v>4520</v>
      </c>
      <c r="J38" s="109">
        <v>9050</v>
      </c>
      <c r="K38" s="109">
        <v>5960</v>
      </c>
      <c r="L38" s="110">
        <f>(I38+J38)*8.33%</f>
        <v>1130.3810000000001</v>
      </c>
      <c r="M38" s="110">
        <f>H38*4.93%</f>
        <v>962.82899999999995</v>
      </c>
      <c r="N38" s="110">
        <f>H38*3.29%</f>
        <v>642.53699999999992</v>
      </c>
      <c r="O38" s="110">
        <f>H38*2.88%</f>
        <v>562.46399999999994</v>
      </c>
      <c r="P38" s="110">
        <f>I38/E38*F38</f>
        <v>4520</v>
      </c>
      <c r="Q38" s="110">
        <f>J38/E38*F38</f>
        <v>9050</v>
      </c>
      <c r="R38" s="110">
        <f>K38/E38*F38</f>
        <v>5960</v>
      </c>
      <c r="S38" s="110">
        <f>L38/E38*F38</f>
        <v>1130.3810000000001</v>
      </c>
      <c r="T38" s="110">
        <f>M38/E38*F38</f>
        <v>962.82899999999995</v>
      </c>
      <c r="U38" s="110">
        <f>N38/E38*F38</f>
        <v>642.53699999999992</v>
      </c>
      <c r="V38" s="110">
        <f>O38/E38*F38</f>
        <v>562.46399999999994</v>
      </c>
      <c r="W38" s="110">
        <f>(H38+L38+M38+N38+O38)/E38*G38</f>
        <v>0</v>
      </c>
      <c r="X38" s="110">
        <f>P38+Q38+R38+S38+T38+U38+V38+W38</f>
        <v>22828.211000000003</v>
      </c>
      <c r="Y38" s="110">
        <f>(P38+Q38)*12%</f>
        <v>1628.3999999999999</v>
      </c>
      <c r="Z38" s="110">
        <v>0</v>
      </c>
      <c r="AA38" s="109">
        <f>IF(X38&gt;20000,200,IF(X38&gt;15000,150,0))</f>
        <v>200</v>
      </c>
      <c r="AB38" s="109"/>
      <c r="AC38" s="110">
        <f>Y38+Z38+AA38+AB38</f>
        <v>1828.3999999999999</v>
      </c>
      <c r="AD38" s="110">
        <f>ROUND(X38-AC38,0)</f>
        <v>21000</v>
      </c>
      <c r="AE38" s="110">
        <f>(P38+Q38)*13%</f>
        <v>1764.1000000000001</v>
      </c>
      <c r="AF38" s="110">
        <v>800</v>
      </c>
      <c r="AG38" s="110">
        <f>X38+AE38+AF38</f>
        <v>25392.311000000002</v>
      </c>
      <c r="AH38" s="9">
        <v>24586</v>
      </c>
      <c r="AI38" s="146">
        <f t="shared" ref="AI38:AI43" si="111">AG38-AH38</f>
        <v>806.31100000000151</v>
      </c>
    </row>
    <row r="39" spans="1:37" ht="17.25" x14ac:dyDescent="0.25">
      <c r="A39" s="133">
        <f t="shared" ref="A39:A43" si="112">A38+1</f>
        <v>30</v>
      </c>
      <c r="B39" s="122">
        <v>10997</v>
      </c>
      <c r="C39" s="122" t="s">
        <v>60</v>
      </c>
      <c r="D39" s="122" t="s">
        <v>48</v>
      </c>
      <c r="E39" s="109">
        <v>30</v>
      </c>
      <c r="F39" s="109">
        <v>30</v>
      </c>
      <c r="G39" s="109">
        <v>0</v>
      </c>
      <c r="H39" s="109">
        <f>I39+J39+K39</f>
        <v>19080</v>
      </c>
      <c r="I39" s="109">
        <v>4520</v>
      </c>
      <c r="J39" s="109">
        <v>9050</v>
      </c>
      <c r="K39" s="109">
        <v>5510</v>
      </c>
      <c r="L39" s="110">
        <f>(I39+J39)*8.33%</f>
        <v>1130.3810000000001</v>
      </c>
      <c r="M39" s="110">
        <f>H39*4.93%</f>
        <v>940.64399999999989</v>
      </c>
      <c r="N39" s="110">
        <f>H39*3.29%</f>
        <v>627.73199999999997</v>
      </c>
      <c r="O39" s="110">
        <f>H39*2.88%</f>
        <v>549.50400000000002</v>
      </c>
      <c r="P39" s="110">
        <f>I39/E39*F39</f>
        <v>4520</v>
      </c>
      <c r="Q39" s="110">
        <f>J39/E39*F39</f>
        <v>9050</v>
      </c>
      <c r="R39" s="110">
        <f>K39/E39*F39</f>
        <v>5510</v>
      </c>
      <c r="S39" s="110">
        <f>L39/E39*F39</f>
        <v>1130.3810000000001</v>
      </c>
      <c r="T39" s="110">
        <f>M39/E39*F39</f>
        <v>940.64399999999989</v>
      </c>
      <c r="U39" s="110">
        <f>N39/E39*F39</f>
        <v>627.73199999999997</v>
      </c>
      <c r="V39" s="110">
        <f>O39/E39*F39</f>
        <v>549.50400000000002</v>
      </c>
      <c r="W39" s="110">
        <f>(H39+L39+M39+N39+O39)/E39*G39</f>
        <v>0</v>
      </c>
      <c r="X39" s="110">
        <f>P39+Q39+R39+S39+T39+U39+V39+W39</f>
        <v>22328.261000000002</v>
      </c>
      <c r="Y39" s="110">
        <f>(P39+Q39)*12%</f>
        <v>1628.3999999999999</v>
      </c>
      <c r="Z39" s="110">
        <v>0</v>
      </c>
      <c r="AA39" s="109">
        <f>IF(X39&gt;20000,200,IF(X39&gt;15000,150,0))</f>
        <v>200</v>
      </c>
      <c r="AB39" s="109"/>
      <c r="AC39" s="110">
        <f>Y39+Z39+AA39+AB39</f>
        <v>1828.3999999999999</v>
      </c>
      <c r="AD39" s="110">
        <f>ROUND(X39-AC39,0)</f>
        <v>20500</v>
      </c>
      <c r="AE39" s="110">
        <f>(P39+Q39)*13%</f>
        <v>1764.1000000000001</v>
      </c>
      <c r="AF39" s="110">
        <v>800</v>
      </c>
      <c r="AG39" s="110">
        <f>X39+AE39+AF39</f>
        <v>24892.361000000001</v>
      </c>
      <c r="AH39" s="9">
        <v>24586</v>
      </c>
      <c r="AI39" s="146">
        <f t="shared" si="111"/>
        <v>306.36100000000079</v>
      </c>
      <c r="AK39" s="12"/>
    </row>
    <row r="40" spans="1:37" ht="17.25" x14ac:dyDescent="0.25">
      <c r="A40" s="133">
        <f t="shared" si="112"/>
        <v>31</v>
      </c>
      <c r="B40" s="122">
        <v>11341</v>
      </c>
      <c r="C40" s="104" t="s">
        <v>300</v>
      </c>
      <c r="D40" s="104" t="s">
        <v>48</v>
      </c>
      <c r="E40" s="109">
        <v>30</v>
      </c>
      <c r="F40" s="109">
        <v>30</v>
      </c>
      <c r="G40" s="109">
        <v>0</v>
      </c>
      <c r="H40" s="109">
        <f>I40+J40+K40</f>
        <v>16899</v>
      </c>
      <c r="I40" s="109">
        <v>4520</v>
      </c>
      <c r="J40" s="109">
        <v>9050</v>
      </c>
      <c r="K40" s="113">
        <v>3329</v>
      </c>
      <c r="L40" s="110">
        <f>(I40+J40)*8.33%</f>
        <v>1130.3810000000001</v>
      </c>
      <c r="M40" s="110">
        <f>H40*4.93%</f>
        <v>833.12069999999994</v>
      </c>
      <c r="N40" s="110">
        <f>H40*3.29%</f>
        <v>555.97709999999995</v>
      </c>
      <c r="O40" s="110">
        <f>H40*2.88%</f>
        <v>486.69119999999998</v>
      </c>
      <c r="P40" s="110">
        <f>I40/E40*F40</f>
        <v>4520</v>
      </c>
      <c r="Q40" s="110">
        <f>J40/E40*F40</f>
        <v>9050</v>
      </c>
      <c r="R40" s="110">
        <f>K40/E40*F40</f>
        <v>3329</v>
      </c>
      <c r="S40" s="110">
        <f>L40/E40*F40</f>
        <v>1130.3810000000001</v>
      </c>
      <c r="T40" s="110">
        <f>M40/E40*F40</f>
        <v>833.12069999999994</v>
      </c>
      <c r="U40" s="110">
        <f>N40/E40*F40</f>
        <v>555.97709999999995</v>
      </c>
      <c r="V40" s="110">
        <f>O40/E40*F40</f>
        <v>486.69120000000004</v>
      </c>
      <c r="W40" s="110">
        <f>(H40+L40+M40+N40+O40)/E40*G40</f>
        <v>0</v>
      </c>
      <c r="X40" s="143">
        <f>P40+Q40+R40+S40+T40+U40+V40+W40</f>
        <v>19905.170000000002</v>
      </c>
      <c r="Y40" s="110">
        <f>(P40+Q40)*12%</f>
        <v>1628.3999999999999</v>
      </c>
      <c r="Z40" s="146">
        <f t="shared" ref="Z40:Z41" si="113">(P40+Q40+R40)*0.75%</f>
        <v>126.74249999999999</v>
      </c>
      <c r="AA40" s="109">
        <f>IF(X40&gt;20000,200,IF(X40&gt;15000,150,0))</f>
        <v>150</v>
      </c>
      <c r="AB40" s="109"/>
      <c r="AC40" s="110">
        <f>Y40+Z40+AA40+AB40</f>
        <v>1905.1424999999999</v>
      </c>
      <c r="AD40" s="143">
        <f>ROUND(X40-AC40,0)</f>
        <v>18000</v>
      </c>
      <c r="AE40" s="110">
        <f>(P40+Q40)*13%</f>
        <v>1764.1000000000001</v>
      </c>
      <c r="AF40" s="110">
        <f>(P40+Q40+R40)*3.25%</f>
        <v>549.21749999999997</v>
      </c>
      <c r="AG40" s="110">
        <f>X40+AE40+AF40</f>
        <v>22218.487499999999</v>
      </c>
      <c r="AH40" s="9">
        <v>24586</v>
      </c>
      <c r="AI40" s="146">
        <f t="shared" si="111"/>
        <v>-2367.5125000000007</v>
      </c>
    </row>
    <row r="41" spans="1:37" ht="17.25" x14ac:dyDescent="0.25">
      <c r="A41" s="133">
        <f t="shared" si="112"/>
        <v>32</v>
      </c>
      <c r="B41" s="122">
        <v>11241</v>
      </c>
      <c r="C41" s="104" t="s">
        <v>265</v>
      </c>
      <c r="D41" s="104" t="s">
        <v>48</v>
      </c>
      <c r="E41" s="109">
        <v>30</v>
      </c>
      <c r="F41" s="109">
        <v>30</v>
      </c>
      <c r="G41" s="109">
        <v>0</v>
      </c>
      <c r="H41" s="113">
        <f t="shared" ref="H41:H43" si="114">I41+J41+K41</f>
        <v>17397</v>
      </c>
      <c r="I41" s="113">
        <v>4520</v>
      </c>
      <c r="J41" s="109">
        <v>9050</v>
      </c>
      <c r="K41" s="113">
        <v>3827</v>
      </c>
      <c r="L41" s="114">
        <f t="shared" ref="L41:L43" si="115">(I41+J41)*8.33%</f>
        <v>1130.3810000000001</v>
      </c>
      <c r="M41" s="114">
        <f t="shared" ref="M41:M43" si="116">H41*4.93%</f>
        <v>857.67209999999989</v>
      </c>
      <c r="N41" s="114">
        <f t="shared" ref="N41:N43" si="117">H41*3.29%</f>
        <v>572.36130000000003</v>
      </c>
      <c r="O41" s="114">
        <f t="shared" ref="O41:O43" si="118">H41*2.88%</f>
        <v>501.03359999999998</v>
      </c>
      <c r="P41" s="114">
        <f t="shared" ref="P41:P43" si="119">I41/E41*F41</f>
        <v>4520</v>
      </c>
      <c r="Q41" s="114">
        <f t="shared" ref="Q41:Q43" si="120">J41/E41*F41</f>
        <v>9050</v>
      </c>
      <c r="R41" s="114">
        <f t="shared" ref="R41:R43" si="121">K41/E41*F41</f>
        <v>3827</v>
      </c>
      <c r="S41" s="114">
        <f t="shared" ref="S41:S43" si="122">L41/E41*F41</f>
        <v>1130.3810000000001</v>
      </c>
      <c r="T41" s="114">
        <f t="shared" ref="T41:T43" si="123">M41/E41*F41</f>
        <v>857.67209999999989</v>
      </c>
      <c r="U41" s="114">
        <f t="shared" ref="U41:U43" si="124">N41/E41*F41</f>
        <v>572.36130000000003</v>
      </c>
      <c r="V41" s="114">
        <f t="shared" ref="V41:V43" si="125">O41/E41*F41</f>
        <v>501.03359999999998</v>
      </c>
      <c r="W41" s="114">
        <f t="shared" ref="W41:W43" si="126">(H41+L41+M41+N41+O41)/E41*G41</f>
        <v>0</v>
      </c>
      <c r="X41" s="143">
        <f t="shared" ref="X41:X43" si="127">P41+Q41+R41+S41+T41+U41+V41+W41</f>
        <v>20458.448</v>
      </c>
      <c r="Y41" s="114">
        <f t="shared" ref="Y41:Y43" si="128">(P41+Q41)*12%</f>
        <v>1628.3999999999999</v>
      </c>
      <c r="Z41" s="146">
        <f t="shared" si="113"/>
        <v>130.47749999999999</v>
      </c>
      <c r="AA41" s="113">
        <f t="shared" ref="AA41:AA43" si="129">IF(X41&gt;20000,200,IF(X41&gt;15000,150,0))</f>
        <v>200</v>
      </c>
      <c r="AB41" s="109"/>
      <c r="AC41" s="114">
        <f t="shared" ref="AC41:AC43" si="130">Y41+Z41+AA41+AB41</f>
        <v>1958.8774999999998</v>
      </c>
      <c r="AD41" s="143">
        <f t="shared" ref="AD41:AD43" si="131">ROUND(X41-AC41,0)</f>
        <v>18500</v>
      </c>
      <c r="AE41" s="114">
        <f t="shared" ref="AE41:AE43" si="132">(P41+Q41)*13%</f>
        <v>1764.1000000000001</v>
      </c>
      <c r="AF41" s="110">
        <f>(P41+Q41+R41)*3.25%</f>
        <v>565.40250000000003</v>
      </c>
      <c r="AG41" s="114">
        <f t="shared" ref="AG41:AG43" si="133">X41+AE41+AF41</f>
        <v>22787.950499999999</v>
      </c>
      <c r="AH41" s="9">
        <v>24586</v>
      </c>
      <c r="AI41" s="146">
        <f t="shared" si="111"/>
        <v>-1798.049500000001</v>
      </c>
    </row>
    <row r="42" spans="1:37" ht="17.25" x14ac:dyDescent="0.25">
      <c r="A42" s="133">
        <f t="shared" si="112"/>
        <v>33</v>
      </c>
      <c r="B42" s="122">
        <v>11389</v>
      </c>
      <c r="C42" s="104" t="s">
        <v>313</v>
      </c>
      <c r="D42" s="104" t="s">
        <v>48</v>
      </c>
      <c r="E42" s="109">
        <v>30</v>
      </c>
      <c r="F42" s="109">
        <v>30</v>
      </c>
      <c r="G42" s="109">
        <v>0</v>
      </c>
      <c r="H42" s="113">
        <f t="shared" si="114"/>
        <v>19080</v>
      </c>
      <c r="I42" s="113">
        <v>4520</v>
      </c>
      <c r="J42" s="109">
        <v>9050</v>
      </c>
      <c r="K42" s="109">
        <v>5510</v>
      </c>
      <c r="L42" s="114">
        <f t="shared" si="115"/>
        <v>1130.3810000000001</v>
      </c>
      <c r="M42" s="114">
        <f t="shared" si="116"/>
        <v>940.64399999999989</v>
      </c>
      <c r="N42" s="114">
        <f t="shared" si="117"/>
        <v>627.73199999999997</v>
      </c>
      <c r="O42" s="114">
        <f t="shared" si="118"/>
        <v>549.50400000000002</v>
      </c>
      <c r="P42" s="114">
        <f t="shared" si="119"/>
        <v>4520</v>
      </c>
      <c r="Q42" s="114">
        <f t="shared" si="120"/>
        <v>9050</v>
      </c>
      <c r="R42" s="114">
        <f t="shared" si="121"/>
        <v>5510</v>
      </c>
      <c r="S42" s="114">
        <f t="shared" si="122"/>
        <v>1130.3810000000001</v>
      </c>
      <c r="T42" s="114">
        <f t="shared" si="123"/>
        <v>940.64399999999989</v>
      </c>
      <c r="U42" s="114">
        <f t="shared" si="124"/>
        <v>627.73199999999997</v>
      </c>
      <c r="V42" s="114">
        <f t="shared" si="125"/>
        <v>549.50400000000002</v>
      </c>
      <c r="W42" s="114">
        <f t="shared" si="126"/>
        <v>0</v>
      </c>
      <c r="X42" s="114">
        <f t="shared" si="127"/>
        <v>22328.261000000002</v>
      </c>
      <c r="Y42" s="114">
        <f t="shared" si="128"/>
        <v>1628.3999999999999</v>
      </c>
      <c r="Z42" s="110">
        <v>0</v>
      </c>
      <c r="AA42" s="113">
        <f t="shared" si="129"/>
        <v>200</v>
      </c>
      <c r="AB42" s="109"/>
      <c r="AC42" s="114">
        <f t="shared" si="130"/>
        <v>1828.3999999999999</v>
      </c>
      <c r="AD42" s="114">
        <f t="shared" si="131"/>
        <v>20500</v>
      </c>
      <c r="AE42" s="114">
        <f t="shared" si="132"/>
        <v>1764.1000000000001</v>
      </c>
      <c r="AF42" s="110">
        <v>800</v>
      </c>
      <c r="AG42" s="114">
        <f t="shared" si="133"/>
        <v>24892.361000000001</v>
      </c>
      <c r="AH42" s="9">
        <v>24586</v>
      </c>
      <c r="AI42" s="146">
        <f t="shared" si="111"/>
        <v>306.36100000000079</v>
      </c>
    </row>
    <row r="43" spans="1:37" ht="17.25" x14ac:dyDescent="0.25">
      <c r="A43" s="133">
        <f t="shared" si="112"/>
        <v>34</v>
      </c>
      <c r="B43" s="122">
        <v>1</v>
      </c>
      <c r="C43" s="104" t="s">
        <v>314</v>
      </c>
      <c r="D43" s="104" t="s">
        <v>48</v>
      </c>
      <c r="E43" s="109">
        <v>30</v>
      </c>
      <c r="F43" s="109">
        <v>30</v>
      </c>
      <c r="G43" s="109">
        <v>0</v>
      </c>
      <c r="H43" s="113">
        <f t="shared" si="114"/>
        <v>18630</v>
      </c>
      <c r="I43" s="113">
        <v>4520</v>
      </c>
      <c r="J43" s="109">
        <v>9050</v>
      </c>
      <c r="K43" s="109">
        <v>5060</v>
      </c>
      <c r="L43" s="114">
        <f t="shared" si="115"/>
        <v>1130.3810000000001</v>
      </c>
      <c r="M43" s="114">
        <f t="shared" si="116"/>
        <v>918.45899999999995</v>
      </c>
      <c r="N43" s="114">
        <f t="shared" si="117"/>
        <v>612.92700000000002</v>
      </c>
      <c r="O43" s="114">
        <f t="shared" si="118"/>
        <v>536.54399999999998</v>
      </c>
      <c r="P43" s="114">
        <f t="shared" si="119"/>
        <v>4520</v>
      </c>
      <c r="Q43" s="114">
        <f t="shared" si="120"/>
        <v>9050</v>
      </c>
      <c r="R43" s="114">
        <f t="shared" si="121"/>
        <v>5060</v>
      </c>
      <c r="S43" s="114">
        <f t="shared" si="122"/>
        <v>1130.3810000000001</v>
      </c>
      <c r="T43" s="114">
        <f t="shared" si="123"/>
        <v>918.45899999999995</v>
      </c>
      <c r="U43" s="114">
        <f t="shared" si="124"/>
        <v>612.92700000000002</v>
      </c>
      <c r="V43" s="114">
        <f t="shared" si="125"/>
        <v>536.54399999999998</v>
      </c>
      <c r="W43" s="114">
        <f t="shared" si="126"/>
        <v>0</v>
      </c>
      <c r="X43" s="114">
        <f t="shared" si="127"/>
        <v>21828.311000000002</v>
      </c>
      <c r="Y43" s="114">
        <f t="shared" si="128"/>
        <v>1628.3999999999999</v>
      </c>
      <c r="Z43" s="110">
        <v>0</v>
      </c>
      <c r="AA43" s="113">
        <f t="shared" si="129"/>
        <v>200</v>
      </c>
      <c r="AB43" s="109"/>
      <c r="AC43" s="114">
        <f t="shared" si="130"/>
        <v>1828.3999999999999</v>
      </c>
      <c r="AD43" s="114">
        <f t="shared" si="131"/>
        <v>20000</v>
      </c>
      <c r="AE43" s="114">
        <f t="shared" si="132"/>
        <v>1764.1000000000001</v>
      </c>
      <c r="AF43" s="110">
        <v>800</v>
      </c>
      <c r="AG43" s="114">
        <f t="shared" si="133"/>
        <v>24392.411</v>
      </c>
      <c r="AH43" s="9">
        <v>24586</v>
      </c>
      <c r="AI43" s="146">
        <f t="shared" si="111"/>
        <v>-193.58899999999994</v>
      </c>
    </row>
    <row r="44" spans="1:37" ht="17.25" x14ac:dyDescent="0.25">
      <c r="A44" s="133"/>
      <c r="B44" s="122"/>
      <c r="C44" s="140" t="s">
        <v>153</v>
      </c>
      <c r="D44" s="122"/>
      <c r="E44" s="112">
        <f>SUM(E37:E43)</f>
        <v>210</v>
      </c>
      <c r="F44" s="112">
        <f t="shared" ref="F44:AG44" si="134">SUM(F37:F43)</f>
        <v>210</v>
      </c>
      <c r="G44" s="112">
        <f t="shared" si="134"/>
        <v>0</v>
      </c>
      <c r="H44" s="112">
        <f t="shared" si="134"/>
        <v>132846</v>
      </c>
      <c r="I44" s="112">
        <f t="shared" si="134"/>
        <v>31640</v>
      </c>
      <c r="J44" s="112">
        <f t="shared" si="134"/>
        <v>63350</v>
      </c>
      <c r="K44" s="112">
        <f t="shared" si="134"/>
        <v>37856</v>
      </c>
      <c r="L44" s="112">
        <f t="shared" si="134"/>
        <v>7912.6670000000013</v>
      </c>
      <c r="M44" s="112">
        <f t="shared" si="134"/>
        <v>6549.3077999999996</v>
      </c>
      <c r="N44" s="112">
        <f t="shared" si="134"/>
        <v>4370.6333999999997</v>
      </c>
      <c r="O44" s="112">
        <f t="shared" si="134"/>
        <v>3825.9647999999997</v>
      </c>
      <c r="P44" s="112">
        <f t="shared" si="134"/>
        <v>31640</v>
      </c>
      <c r="Q44" s="112">
        <f t="shared" si="134"/>
        <v>63350</v>
      </c>
      <c r="R44" s="112">
        <f t="shared" si="134"/>
        <v>37856</v>
      </c>
      <c r="S44" s="112">
        <f t="shared" si="134"/>
        <v>7912.6670000000013</v>
      </c>
      <c r="T44" s="112">
        <f t="shared" si="134"/>
        <v>6549.3077999999996</v>
      </c>
      <c r="U44" s="112">
        <f t="shared" si="134"/>
        <v>4370.6333999999997</v>
      </c>
      <c r="V44" s="112">
        <f t="shared" si="134"/>
        <v>3825.9647999999997</v>
      </c>
      <c r="W44" s="112">
        <f t="shared" si="134"/>
        <v>0</v>
      </c>
      <c r="X44" s="112">
        <f t="shared" si="134"/>
        <v>155504.57300000003</v>
      </c>
      <c r="Y44" s="112">
        <f t="shared" si="134"/>
        <v>11398.8</v>
      </c>
      <c r="Z44" s="112">
        <f t="shared" si="134"/>
        <v>257.21999999999997</v>
      </c>
      <c r="AA44" s="112">
        <f t="shared" si="134"/>
        <v>1350</v>
      </c>
      <c r="AB44" s="112">
        <f t="shared" si="134"/>
        <v>0</v>
      </c>
      <c r="AC44" s="112">
        <f t="shared" si="134"/>
        <v>13006.019999999999</v>
      </c>
      <c r="AD44" s="112">
        <f t="shared" si="134"/>
        <v>142500</v>
      </c>
      <c r="AE44" s="112">
        <f t="shared" si="134"/>
        <v>12348.7</v>
      </c>
      <c r="AF44" s="112">
        <f t="shared" si="134"/>
        <v>5114.62</v>
      </c>
      <c r="AG44" s="112">
        <f t="shared" si="134"/>
        <v>172967.89300000001</v>
      </c>
      <c r="AH44" s="9">
        <f>SUM(AH37:AH41)</f>
        <v>122930</v>
      </c>
      <c r="AI44" s="11">
        <f>SUM(AI37:AI43)</f>
        <v>865.89299999999639</v>
      </c>
    </row>
    <row r="45" spans="1:37" ht="17.25" x14ac:dyDescent="0.25">
      <c r="A45" s="133">
        <v>35</v>
      </c>
      <c r="B45" s="122">
        <v>10980</v>
      </c>
      <c r="C45" s="122" t="s">
        <v>51</v>
      </c>
      <c r="D45" s="122" t="s">
        <v>52</v>
      </c>
      <c r="E45" s="109">
        <v>30</v>
      </c>
      <c r="F45" s="109">
        <v>30</v>
      </c>
      <c r="G45" s="109">
        <v>0</v>
      </c>
      <c r="H45" s="109">
        <f t="shared" ref="H45:H48" si="135">I45+J45+K45</f>
        <v>22951</v>
      </c>
      <c r="I45" s="109">
        <v>4520</v>
      </c>
      <c r="J45" s="109">
        <v>9050</v>
      </c>
      <c r="K45" s="109">
        <v>9381</v>
      </c>
      <c r="L45" s="110">
        <f>(I45+J45)*8.33%</f>
        <v>1130.3810000000001</v>
      </c>
      <c r="M45" s="110">
        <f>H45*4.93%</f>
        <v>1131.4842999999998</v>
      </c>
      <c r="N45" s="110">
        <f>H45*3.29%</f>
        <v>755.08789999999999</v>
      </c>
      <c r="O45" s="110">
        <f>H45*2.88%</f>
        <v>660.98879999999997</v>
      </c>
      <c r="P45" s="110">
        <f t="shared" ref="P45:P52" si="136">I45/E45*F45</f>
        <v>4520</v>
      </c>
      <c r="Q45" s="110">
        <f t="shared" ref="Q45:Q52" si="137">J45/E45*F45</f>
        <v>9050</v>
      </c>
      <c r="R45" s="110">
        <f t="shared" ref="R45:R52" si="138">K45/E45*F45</f>
        <v>9381</v>
      </c>
      <c r="S45" s="110">
        <f t="shared" ref="S45:S52" si="139">L45/E45*F45</f>
        <v>1130.3810000000001</v>
      </c>
      <c r="T45" s="110">
        <f t="shared" ref="T45:T52" si="140">M45/E45*F45</f>
        <v>1131.4842999999998</v>
      </c>
      <c r="U45" s="110">
        <f t="shared" ref="U45:U52" si="141">N45/E45*F45</f>
        <v>755.08789999999999</v>
      </c>
      <c r="V45" s="110">
        <f t="shared" ref="V45:V52" si="142">O45/E45*F45</f>
        <v>660.98879999999997</v>
      </c>
      <c r="W45" s="110">
        <f t="shared" si="50"/>
        <v>0</v>
      </c>
      <c r="X45" s="110">
        <f t="shared" ref="X45:X52" si="143">P45+Q45+R45+S45+T45+U45+V45+W45</f>
        <v>26628.941999999999</v>
      </c>
      <c r="Y45" s="110">
        <f t="shared" ref="Y45:Y52" si="144">(P45+Q45)*12%</f>
        <v>1628.3999999999999</v>
      </c>
      <c r="Z45" s="110">
        <v>0</v>
      </c>
      <c r="AA45" s="109">
        <f>IF(X45&gt;20000,200,IF(X45&gt;15000,150,0))</f>
        <v>200</v>
      </c>
      <c r="AB45" s="109"/>
      <c r="AC45" s="110">
        <f t="shared" ref="AC45:AC52" si="145">Y45+Z45+AA45+AB45</f>
        <v>1828.3999999999999</v>
      </c>
      <c r="AD45" s="110">
        <f>ROUND(X45-AC45,0)</f>
        <v>24801</v>
      </c>
      <c r="AE45" s="110">
        <f t="shared" ref="AE45:AE52" si="146">(P45+Q45)*13%</f>
        <v>1764.1000000000001</v>
      </c>
      <c r="AF45" s="110">
        <v>800</v>
      </c>
      <c r="AG45" s="110">
        <f t="shared" si="110"/>
        <v>29193.041999999998</v>
      </c>
      <c r="AH45" s="9">
        <v>24962</v>
      </c>
      <c r="AI45" s="146">
        <f>AH45-AG45</f>
        <v>-4231.0419999999976</v>
      </c>
    </row>
    <row r="46" spans="1:37" ht="17.25" x14ac:dyDescent="0.25">
      <c r="A46" s="133">
        <f>A45+1</f>
        <v>36</v>
      </c>
      <c r="B46" s="122">
        <v>10978</v>
      </c>
      <c r="C46" s="122" t="s">
        <v>53</v>
      </c>
      <c r="D46" s="122" t="s">
        <v>52</v>
      </c>
      <c r="E46" s="109">
        <v>30</v>
      </c>
      <c r="F46" s="109">
        <v>30</v>
      </c>
      <c r="G46" s="109">
        <v>0</v>
      </c>
      <c r="H46" s="109">
        <f t="shared" si="135"/>
        <v>20430</v>
      </c>
      <c r="I46" s="109">
        <v>4520</v>
      </c>
      <c r="J46" s="109">
        <v>9050</v>
      </c>
      <c r="K46" s="109">
        <v>6860</v>
      </c>
      <c r="L46" s="110">
        <f>(I46+J46)*8.33%</f>
        <v>1130.3810000000001</v>
      </c>
      <c r="M46" s="110">
        <f>H46*4.93%</f>
        <v>1007.199</v>
      </c>
      <c r="N46" s="110">
        <f>H46*3.29%</f>
        <v>672.14699999999993</v>
      </c>
      <c r="O46" s="110">
        <f>H46*2.88%</f>
        <v>588.38400000000001</v>
      </c>
      <c r="P46" s="110">
        <f t="shared" si="136"/>
        <v>4520</v>
      </c>
      <c r="Q46" s="110">
        <f t="shared" si="137"/>
        <v>9050</v>
      </c>
      <c r="R46" s="110">
        <f t="shared" si="138"/>
        <v>6860</v>
      </c>
      <c r="S46" s="110">
        <f t="shared" si="139"/>
        <v>1130.3810000000001</v>
      </c>
      <c r="T46" s="110">
        <f t="shared" si="140"/>
        <v>1007.1989999999998</v>
      </c>
      <c r="U46" s="110">
        <f t="shared" si="141"/>
        <v>672.14699999999993</v>
      </c>
      <c r="V46" s="110">
        <f t="shared" si="142"/>
        <v>588.38400000000001</v>
      </c>
      <c r="W46" s="110">
        <f t="shared" si="50"/>
        <v>0</v>
      </c>
      <c r="X46" s="110">
        <f t="shared" si="143"/>
        <v>23828.111000000004</v>
      </c>
      <c r="Y46" s="110">
        <f t="shared" si="144"/>
        <v>1628.3999999999999</v>
      </c>
      <c r="Z46" s="110">
        <v>0</v>
      </c>
      <c r="AA46" s="109">
        <f>IF(X46&gt;20000,200,IF(X46&gt;15000,150,0))</f>
        <v>200</v>
      </c>
      <c r="AB46" s="109"/>
      <c r="AC46" s="110">
        <f t="shared" si="145"/>
        <v>1828.3999999999999</v>
      </c>
      <c r="AD46" s="110">
        <f>ROUND(X46-AC46,0)</f>
        <v>22000</v>
      </c>
      <c r="AE46" s="110">
        <f t="shared" si="146"/>
        <v>1764.1000000000001</v>
      </c>
      <c r="AF46" s="110">
        <v>800</v>
      </c>
      <c r="AG46" s="110">
        <f t="shared" si="110"/>
        <v>26392.211000000003</v>
      </c>
      <c r="AH46" s="9">
        <v>24962</v>
      </c>
      <c r="AI46" s="146">
        <f t="shared" ref="AI46:AI52" si="147">AH46-AG46</f>
        <v>-1430.211000000003</v>
      </c>
    </row>
    <row r="47" spans="1:37" ht="17.25" x14ac:dyDescent="0.25">
      <c r="A47" s="133">
        <f>A46+1</f>
        <v>37</v>
      </c>
      <c r="B47" s="141">
        <v>10492</v>
      </c>
      <c r="C47" s="141" t="s">
        <v>56</v>
      </c>
      <c r="D47" s="141" t="s">
        <v>52</v>
      </c>
      <c r="E47" s="109">
        <v>30</v>
      </c>
      <c r="F47" s="109">
        <v>30</v>
      </c>
      <c r="G47" s="109">
        <v>0</v>
      </c>
      <c r="H47" s="118">
        <f>I47+J47+K47</f>
        <v>17851</v>
      </c>
      <c r="I47" s="118">
        <v>4520</v>
      </c>
      <c r="J47" s="109">
        <v>9050</v>
      </c>
      <c r="K47" s="109">
        <v>4281</v>
      </c>
      <c r="L47" s="119">
        <f>(I47+J47)*8.33%</f>
        <v>1130.3810000000001</v>
      </c>
      <c r="M47" s="119">
        <f>H47*4.93%</f>
        <v>880.0542999999999</v>
      </c>
      <c r="N47" s="119">
        <f>H47*3.29%</f>
        <v>587.29790000000003</v>
      </c>
      <c r="O47" s="119">
        <f>H47*2.88%</f>
        <v>514.10879999999997</v>
      </c>
      <c r="P47" s="119">
        <f>I47/E47*F47</f>
        <v>4520</v>
      </c>
      <c r="Q47" s="119">
        <f>J47/E47*F47</f>
        <v>9050</v>
      </c>
      <c r="R47" s="119">
        <f>K47/E47*F47</f>
        <v>4281</v>
      </c>
      <c r="S47" s="119">
        <f>L47/E47*F47</f>
        <v>1130.3810000000001</v>
      </c>
      <c r="T47" s="119">
        <f>M47/E47*F47</f>
        <v>880.0542999999999</v>
      </c>
      <c r="U47" s="119">
        <f>N47/E47*F47</f>
        <v>587.29790000000003</v>
      </c>
      <c r="V47" s="119">
        <f>O47/E47*F47</f>
        <v>514.10879999999997</v>
      </c>
      <c r="W47" s="119">
        <f>(H47+L47+M47+N47+O47)/E47*G47</f>
        <v>0</v>
      </c>
      <c r="X47" s="144">
        <f>P47+Q47+R47+S47+T47+U47+V47+W47</f>
        <v>20962.842000000004</v>
      </c>
      <c r="Y47" s="119">
        <f>(P47+Q47)*12%</f>
        <v>1628.3999999999999</v>
      </c>
      <c r="Z47" s="146">
        <f t="shared" ref="Z47" si="148">(P47+Q47+R47)*0.75%</f>
        <v>133.88249999999999</v>
      </c>
      <c r="AA47" s="118">
        <f>IF(X47&gt;20000,200,IF(X47&gt;15000,150,0))</f>
        <v>200</v>
      </c>
      <c r="AB47" s="109"/>
      <c r="AC47" s="119">
        <f>Y47+Z47+AA47+AB47</f>
        <v>1962.2824999999998</v>
      </c>
      <c r="AD47" s="144">
        <f>ROUND(X47-AC47,0)</f>
        <v>19001</v>
      </c>
      <c r="AE47" s="119">
        <f>(P47+Q47)*13%</f>
        <v>1764.1000000000001</v>
      </c>
      <c r="AF47" s="110">
        <f>(P47+Q47+R47)*3.25%</f>
        <v>580.15750000000003</v>
      </c>
      <c r="AG47" s="119">
        <f>X47+AE47+AF47</f>
        <v>23307.099500000004</v>
      </c>
      <c r="AH47" s="9">
        <v>24962</v>
      </c>
      <c r="AI47" s="146">
        <f t="shared" si="147"/>
        <v>1654.9004999999961</v>
      </c>
    </row>
    <row r="48" spans="1:37" ht="17.25" x14ac:dyDescent="0.25">
      <c r="A48" s="133">
        <f t="shared" ref="A48:A52" si="149">A47+1</f>
        <v>38</v>
      </c>
      <c r="B48" s="122">
        <v>10974</v>
      </c>
      <c r="C48" s="122" t="s">
        <v>55</v>
      </c>
      <c r="D48" s="122" t="s">
        <v>52</v>
      </c>
      <c r="E48" s="109">
        <v>30</v>
      </c>
      <c r="F48" s="109">
        <v>30</v>
      </c>
      <c r="G48" s="109">
        <v>0</v>
      </c>
      <c r="H48" s="109">
        <f t="shared" si="135"/>
        <v>18630</v>
      </c>
      <c r="I48" s="109">
        <v>4520</v>
      </c>
      <c r="J48" s="109">
        <v>9050</v>
      </c>
      <c r="K48" s="109">
        <v>5060</v>
      </c>
      <c r="L48" s="110">
        <f>(I48+J48)*8.33%</f>
        <v>1130.3810000000001</v>
      </c>
      <c r="M48" s="110">
        <f>H48*4.93%</f>
        <v>918.45899999999995</v>
      </c>
      <c r="N48" s="110">
        <f>H48*3.29%</f>
        <v>612.92700000000002</v>
      </c>
      <c r="O48" s="110">
        <f>H48*2.88%</f>
        <v>536.54399999999998</v>
      </c>
      <c r="P48" s="110">
        <f t="shared" si="136"/>
        <v>4520</v>
      </c>
      <c r="Q48" s="110">
        <f t="shared" si="137"/>
        <v>9050</v>
      </c>
      <c r="R48" s="110">
        <f t="shared" si="138"/>
        <v>5060</v>
      </c>
      <c r="S48" s="110">
        <f t="shared" si="139"/>
        <v>1130.3810000000001</v>
      </c>
      <c r="T48" s="110">
        <f t="shared" si="140"/>
        <v>918.45899999999995</v>
      </c>
      <c r="U48" s="110">
        <f t="shared" si="141"/>
        <v>612.92700000000002</v>
      </c>
      <c r="V48" s="110">
        <f t="shared" si="142"/>
        <v>536.54399999999998</v>
      </c>
      <c r="W48" s="110">
        <f t="shared" si="50"/>
        <v>0</v>
      </c>
      <c r="X48" s="110">
        <f t="shared" si="143"/>
        <v>21828.311000000002</v>
      </c>
      <c r="Y48" s="110">
        <f t="shared" si="144"/>
        <v>1628.3999999999999</v>
      </c>
      <c r="Z48" s="110">
        <v>0</v>
      </c>
      <c r="AA48" s="109">
        <f>IF(X48&gt;20000,200,IF(X48&gt;15000,150,0))</f>
        <v>200</v>
      </c>
      <c r="AB48" s="109"/>
      <c r="AC48" s="110">
        <f t="shared" si="145"/>
        <v>1828.3999999999999</v>
      </c>
      <c r="AD48" s="110">
        <f>ROUND(X48-AC48,0)</f>
        <v>20000</v>
      </c>
      <c r="AE48" s="110">
        <f t="shared" si="146"/>
        <v>1764.1000000000001</v>
      </c>
      <c r="AF48" s="110">
        <v>800</v>
      </c>
      <c r="AG48" s="110">
        <f t="shared" si="110"/>
        <v>24392.411</v>
      </c>
      <c r="AH48" s="9">
        <v>24962</v>
      </c>
      <c r="AI48" s="146">
        <f t="shared" si="147"/>
        <v>569.58899999999994</v>
      </c>
    </row>
    <row r="49" spans="1:37" ht="18.75" customHeight="1" x14ac:dyDescent="0.25">
      <c r="A49" s="133">
        <f t="shared" si="149"/>
        <v>39</v>
      </c>
      <c r="B49" s="122">
        <v>10983</v>
      </c>
      <c r="C49" s="122" t="s">
        <v>57</v>
      </c>
      <c r="D49" s="122" t="s">
        <v>52</v>
      </c>
      <c r="E49" s="109">
        <v>30</v>
      </c>
      <c r="F49" s="109">
        <v>30</v>
      </c>
      <c r="G49" s="109">
        <v>0</v>
      </c>
      <c r="H49" s="109">
        <f t="shared" si="1"/>
        <v>18180</v>
      </c>
      <c r="I49" s="109">
        <v>4520</v>
      </c>
      <c r="J49" s="109">
        <v>9050</v>
      </c>
      <c r="K49" s="109">
        <v>4610</v>
      </c>
      <c r="L49" s="110">
        <f t="shared" si="2"/>
        <v>1130.3810000000001</v>
      </c>
      <c r="M49" s="110">
        <f t="shared" si="3"/>
        <v>896.27399999999989</v>
      </c>
      <c r="N49" s="110">
        <f t="shared" si="4"/>
        <v>598.12199999999996</v>
      </c>
      <c r="O49" s="110">
        <f t="shared" si="5"/>
        <v>523.58399999999995</v>
      </c>
      <c r="P49" s="110">
        <f t="shared" si="136"/>
        <v>4520</v>
      </c>
      <c r="Q49" s="110">
        <f t="shared" si="137"/>
        <v>9050</v>
      </c>
      <c r="R49" s="110">
        <f t="shared" si="138"/>
        <v>4610</v>
      </c>
      <c r="S49" s="110">
        <f t="shared" si="139"/>
        <v>1130.3810000000001</v>
      </c>
      <c r="T49" s="110">
        <f t="shared" si="140"/>
        <v>896.27399999999989</v>
      </c>
      <c r="U49" s="110">
        <f t="shared" si="141"/>
        <v>598.12199999999996</v>
      </c>
      <c r="V49" s="110">
        <f t="shared" si="142"/>
        <v>523.58399999999995</v>
      </c>
      <c r="W49" s="110">
        <f t="shared" si="50"/>
        <v>0</v>
      </c>
      <c r="X49" s="110">
        <f t="shared" si="143"/>
        <v>21328.361000000001</v>
      </c>
      <c r="Y49" s="110">
        <f t="shared" si="144"/>
        <v>1628.3999999999999</v>
      </c>
      <c r="Z49" s="110">
        <v>0</v>
      </c>
      <c r="AA49" s="109">
        <f t="shared" si="22"/>
        <v>200</v>
      </c>
      <c r="AB49" s="109"/>
      <c r="AC49" s="110">
        <f t="shared" si="145"/>
        <v>1828.3999999999999</v>
      </c>
      <c r="AD49" s="110">
        <f t="shared" si="16"/>
        <v>19500</v>
      </c>
      <c r="AE49" s="110">
        <f t="shared" si="146"/>
        <v>1764.1000000000001</v>
      </c>
      <c r="AF49" s="110">
        <v>800</v>
      </c>
      <c r="AG49" s="110">
        <f>X49+AE49+AF49</f>
        <v>23892.460999999999</v>
      </c>
      <c r="AH49" s="9">
        <v>24962</v>
      </c>
      <c r="AI49" s="146">
        <f t="shared" si="147"/>
        <v>1069.5390000000007</v>
      </c>
    </row>
    <row r="50" spans="1:37" ht="18.75" customHeight="1" x14ac:dyDescent="0.25">
      <c r="A50" s="133">
        <f t="shared" si="149"/>
        <v>40</v>
      </c>
      <c r="B50" s="122">
        <v>11158</v>
      </c>
      <c r="C50" s="122" t="s">
        <v>238</v>
      </c>
      <c r="D50" s="122" t="s">
        <v>52</v>
      </c>
      <c r="E50" s="109">
        <v>30</v>
      </c>
      <c r="F50" s="109">
        <v>30</v>
      </c>
      <c r="G50" s="109">
        <v>0</v>
      </c>
      <c r="H50" s="109">
        <f t="shared" si="1"/>
        <v>17851</v>
      </c>
      <c r="I50" s="109">
        <v>4520</v>
      </c>
      <c r="J50" s="109">
        <v>9050</v>
      </c>
      <c r="K50" s="109">
        <v>4281</v>
      </c>
      <c r="L50" s="110">
        <f t="shared" si="2"/>
        <v>1130.3810000000001</v>
      </c>
      <c r="M50" s="110">
        <f t="shared" si="3"/>
        <v>880.0542999999999</v>
      </c>
      <c r="N50" s="110">
        <f t="shared" si="4"/>
        <v>587.29790000000003</v>
      </c>
      <c r="O50" s="110">
        <f t="shared" si="5"/>
        <v>514.10879999999997</v>
      </c>
      <c r="P50" s="110">
        <f t="shared" si="136"/>
        <v>4520</v>
      </c>
      <c r="Q50" s="110">
        <f t="shared" si="137"/>
        <v>9050</v>
      </c>
      <c r="R50" s="110">
        <f t="shared" si="138"/>
        <v>4281</v>
      </c>
      <c r="S50" s="110">
        <f t="shared" si="139"/>
        <v>1130.3810000000001</v>
      </c>
      <c r="T50" s="110">
        <f t="shared" si="140"/>
        <v>880.0542999999999</v>
      </c>
      <c r="U50" s="110">
        <f t="shared" si="141"/>
        <v>587.29790000000003</v>
      </c>
      <c r="V50" s="110">
        <f t="shared" si="142"/>
        <v>514.10879999999997</v>
      </c>
      <c r="W50" s="110">
        <f t="shared" si="50"/>
        <v>0</v>
      </c>
      <c r="X50" s="143">
        <f t="shared" si="143"/>
        <v>20962.842000000004</v>
      </c>
      <c r="Y50" s="110">
        <f t="shared" si="144"/>
        <v>1628.3999999999999</v>
      </c>
      <c r="Z50" s="146">
        <f t="shared" ref="Z50:Z51" si="150">(P50+Q50+R50)*0.75%</f>
        <v>133.88249999999999</v>
      </c>
      <c r="AA50" s="109">
        <f t="shared" si="22"/>
        <v>200</v>
      </c>
      <c r="AB50" s="109"/>
      <c r="AC50" s="110">
        <f t="shared" si="145"/>
        <v>1962.2824999999998</v>
      </c>
      <c r="AD50" s="143">
        <f t="shared" si="16"/>
        <v>19001</v>
      </c>
      <c r="AE50" s="110">
        <f t="shared" si="146"/>
        <v>1764.1000000000001</v>
      </c>
      <c r="AF50" s="110">
        <f>(P50+Q50+R50)*3.25%</f>
        <v>580.15750000000003</v>
      </c>
      <c r="AG50" s="110">
        <f>X50+AE50+AF50</f>
        <v>23307.099500000004</v>
      </c>
      <c r="AH50" s="9">
        <v>24962</v>
      </c>
      <c r="AI50" s="146">
        <f t="shared" si="147"/>
        <v>1654.9004999999961</v>
      </c>
    </row>
    <row r="51" spans="1:37" ht="18.75" customHeight="1" x14ac:dyDescent="0.25">
      <c r="A51" s="133">
        <f t="shared" si="149"/>
        <v>41</v>
      </c>
      <c r="B51" s="122">
        <v>11203</v>
      </c>
      <c r="C51" s="122" t="s">
        <v>248</v>
      </c>
      <c r="D51" s="122" t="s">
        <v>52</v>
      </c>
      <c r="E51" s="109">
        <v>30</v>
      </c>
      <c r="F51" s="109">
        <v>30</v>
      </c>
      <c r="G51" s="109">
        <v>0</v>
      </c>
      <c r="H51" s="109">
        <f t="shared" si="1"/>
        <v>17851</v>
      </c>
      <c r="I51" s="109">
        <v>4520</v>
      </c>
      <c r="J51" s="109">
        <v>9050</v>
      </c>
      <c r="K51" s="109">
        <v>4281</v>
      </c>
      <c r="L51" s="110">
        <f t="shared" si="2"/>
        <v>1130.3810000000001</v>
      </c>
      <c r="M51" s="110">
        <f t="shared" si="3"/>
        <v>880.0542999999999</v>
      </c>
      <c r="N51" s="110">
        <f t="shared" si="4"/>
        <v>587.29790000000003</v>
      </c>
      <c r="O51" s="110">
        <f t="shared" si="5"/>
        <v>514.10879999999997</v>
      </c>
      <c r="P51" s="110">
        <f t="shared" si="136"/>
        <v>4520</v>
      </c>
      <c r="Q51" s="110">
        <f t="shared" si="137"/>
        <v>9050</v>
      </c>
      <c r="R51" s="110">
        <f t="shared" si="138"/>
        <v>4281</v>
      </c>
      <c r="S51" s="110">
        <f t="shared" si="139"/>
        <v>1130.3810000000001</v>
      </c>
      <c r="T51" s="110">
        <f t="shared" si="140"/>
        <v>880.0542999999999</v>
      </c>
      <c r="U51" s="110">
        <f t="shared" si="141"/>
        <v>587.29790000000003</v>
      </c>
      <c r="V51" s="110">
        <f t="shared" si="142"/>
        <v>514.10879999999997</v>
      </c>
      <c r="W51" s="110">
        <f t="shared" si="50"/>
        <v>0</v>
      </c>
      <c r="X51" s="143">
        <f t="shared" si="143"/>
        <v>20962.842000000004</v>
      </c>
      <c r="Y51" s="110">
        <f t="shared" si="144"/>
        <v>1628.3999999999999</v>
      </c>
      <c r="Z51" s="146">
        <f t="shared" si="150"/>
        <v>133.88249999999999</v>
      </c>
      <c r="AA51" s="109">
        <f t="shared" si="22"/>
        <v>200</v>
      </c>
      <c r="AB51" s="109"/>
      <c r="AC51" s="110">
        <f t="shared" si="145"/>
        <v>1962.2824999999998</v>
      </c>
      <c r="AD51" s="143">
        <f t="shared" si="16"/>
        <v>19001</v>
      </c>
      <c r="AE51" s="110">
        <f t="shared" si="146"/>
        <v>1764.1000000000001</v>
      </c>
      <c r="AF51" s="110">
        <f>(P51+Q51+R51)*3.25%</f>
        <v>580.15750000000003</v>
      </c>
      <c r="AG51" s="110">
        <f>X51+AE51+AF51</f>
        <v>23307.099500000004</v>
      </c>
      <c r="AH51" s="9">
        <v>24962</v>
      </c>
      <c r="AI51" s="146">
        <f t="shared" si="147"/>
        <v>1654.9004999999961</v>
      </c>
    </row>
    <row r="52" spans="1:37" ht="18.75" customHeight="1" x14ac:dyDescent="0.25">
      <c r="A52" s="133">
        <f t="shared" si="149"/>
        <v>42</v>
      </c>
      <c r="B52" s="122">
        <v>11276</v>
      </c>
      <c r="C52" s="122" t="s">
        <v>269</v>
      </c>
      <c r="D52" s="122" t="s">
        <v>52</v>
      </c>
      <c r="E52" s="109">
        <v>30</v>
      </c>
      <c r="F52" s="109">
        <v>30</v>
      </c>
      <c r="G52" s="109">
        <v>0</v>
      </c>
      <c r="H52" s="109">
        <f t="shared" si="1"/>
        <v>18630</v>
      </c>
      <c r="I52" s="109">
        <v>4520</v>
      </c>
      <c r="J52" s="109">
        <v>9050</v>
      </c>
      <c r="K52" s="109">
        <v>5060</v>
      </c>
      <c r="L52" s="110">
        <f t="shared" si="2"/>
        <v>1130.3810000000001</v>
      </c>
      <c r="M52" s="110">
        <f t="shared" si="3"/>
        <v>918.45899999999995</v>
      </c>
      <c r="N52" s="110">
        <f t="shared" si="4"/>
        <v>612.92700000000002</v>
      </c>
      <c r="O52" s="110">
        <f t="shared" si="5"/>
        <v>536.54399999999998</v>
      </c>
      <c r="P52" s="110">
        <f t="shared" si="136"/>
        <v>4520</v>
      </c>
      <c r="Q52" s="110">
        <f t="shared" si="137"/>
        <v>9050</v>
      </c>
      <c r="R52" s="110">
        <f t="shared" si="138"/>
        <v>5060</v>
      </c>
      <c r="S52" s="110">
        <f t="shared" si="139"/>
        <v>1130.3810000000001</v>
      </c>
      <c r="T52" s="110">
        <f t="shared" si="140"/>
        <v>918.45899999999995</v>
      </c>
      <c r="U52" s="110">
        <f t="shared" si="141"/>
        <v>612.92700000000002</v>
      </c>
      <c r="V52" s="110">
        <f t="shared" si="142"/>
        <v>536.54399999999998</v>
      </c>
      <c r="W52" s="110">
        <f t="shared" si="50"/>
        <v>0</v>
      </c>
      <c r="X52" s="110">
        <f t="shared" si="143"/>
        <v>21828.311000000002</v>
      </c>
      <c r="Y52" s="110">
        <f t="shared" si="144"/>
        <v>1628.3999999999999</v>
      </c>
      <c r="Z52" s="110">
        <v>0</v>
      </c>
      <c r="AA52" s="109">
        <f t="shared" si="22"/>
        <v>200</v>
      </c>
      <c r="AB52" s="109"/>
      <c r="AC52" s="110">
        <f t="shared" si="145"/>
        <v>1828.3999999999999</v>
      </c>
      <c r="AD52" s="110">
        <f t="shared" si="16"/>
        <v>20000</v>
      </c>
      <c r="AE52" s="110">
        <f t="shared" si="146"/>
        <v>1764.1000000000001</v>
      </c>
      <c r="AF52" s="110">
        <v>800</v>
      </c>
      <c r="AG52" s="110">
        <f>X52+AE52+AF52</f>
        <v>24392.411</v>
      </c>
      <c r="AH52" s="9">
        <v>24962</v>
      </c>
      <c r="AI52" s="146">
        <f t="shared" si="147"/>
        <v>569.58899999999994</v>
      </c>
    </row>
    <row r="53" spans="1:37" ht="18.75" customHeight="1" x14ac:dyDescent="0.25">
      <c r="A53" s="133"/>
      <c r="B53" s="122"/>
      <c r="C53" s="140" t="s">
        <v>156</v>
      </c>
      <c r="D53" s="122"/>
      <c r="E53" s="112">
        <f>SUM(E45:E52)</f>
        <v>240</v>
      </c>
      <c r="F53" s="112">
        <f t="shared" ref="F53:AG53" si="151">SUM(F45:F52)</f>
        <v>240</v>
      </c>
      <c r="G53" s="112">
        <f t="shared" si="151"/>
        <v>0</v>
      </c>
      <c r="H53" s="112">
        <f t="shared" si="151"/>
        <v>152374</v>
      </c>
      <c r="I53" s="112">
        <f t="shared" si="151"/>
        <v>36160</v>
      </c>
      <c r="J53" s="112">
        <f t="shared" si="151"/>
        <v>72400</v>
      </c>
      <c r="K53" s="112">
        <f t="shared" si="151"/>
        <v>43814</v>
      </c>
      <c r="L53" s="112">
        <f t="shared" si="151"/>
        <v>9043.0480000000007</v>
      </c>
      <c r="M53" s="112">
        <f t="shared" si="151"/>
        <v>7512.0381999999981</v>
      </c>
      <c r="N53" s="112">
        <f t="shared" si="151"/>
        <v>5013.1045999999997</v>
      </c>
      <c r="O53" s="112">
        <f t="shared" si="151"/>
        <v>4388.3711999999996</v>
      </c>
      <c r="P53" s="112">
        <f t="shared" si="151"/>
        <v>36160</v>
      </c>
      <c r="Q53" s="112">
        <f t="shared" si="151"/>
        <v>72400</v>
      </c>
      <c r="R53" s="112">
        <f t="shared" si="151"/>
        <v>43814</v>
      </c>
      <c r="S53" s="112">
        <f t="shared" si="151"/>
        <v>9043.0480000000007</v>
      </c>
      <c r="T53" s="112">
        <f t="shared" si="151"/>
        <v>7512.0381999999981</v>
      </c>
      <c r="U53" s="112">
        <f t="shared" si="151"/>
        <v>5013.1045999999997</v>
      </c>
      <c r="V53" s="112">
        <f t="shared" si="151"/>
        <v>4388.3711999999996</v>
      </c>
      <c r="W53" s="112">
        <f t="shared" si="151"/>
        <v>0</v>
      </c>
      <c r="X53" s="112">
        <f t="shared" si="151"/>
        <v>178330.56200000003</v>
      </c>
      <c r="Y53" s="112">
        <f t="shared" si="151"/>
        <v>13027.199999999999</v>
      </c>
      <c r="Z53" s="112">
        <f t="shared" si="151"/>
        <v>401.64749999999998</v>
      </c>
      <c r="AA53" s="112">
        <f t="shared" si="151"/>
        <v>1600</v>
      </c>
      <c r="AB53" s="112">
        <f t="shared" si="151"/>
        <v>0</v>
      </c>
      <c r="AC53" s="112">
        <f t="shared" si="151"/>
        <v>15028.847499999998</v>
      </c>
      <c r="AD53" s="112">
        <f t="shared" si="151"/>
        <v>163304</v>
      </c>
      <c r="AE53" s="112">
        <f t="shared" si="151"/>
        <v>14112.800000000001</v>
      </c>
      <c r="AF53" s="112">
        <f t="shared" si="151"/>
        <v>5740.4725000000008</v>
      </c>
      <c r="AG53" s="112">
        <f t="shared" si="151"/>
        <v>198183.8345</v>
      </c>
      <c r="AH53" s="9">
        <f>SUM(AH45:AH52)</f>
        <v>199696</v>
      </c>
      <c r="AI53" s="11">
        <f>SUM(AI45:AI52)</f>
        <v>1512.1654999999882</v>
      </c>
    </row>
    <row r="54" spans="1:37" ht="17.25" x14ac:dyDescent="0.25">
      <c r="A54" s="133">
        <f>A52+1</f>
        <v>43</v>
      </c>
      <c r="B54" s="122">
        <v>10993</v>
      </c>
      <c r="C54" s="122" t="s">
        <v>111</v>
      </c>
      <c r="D54" s="122" t="s">
        <v>59</v>
      </c>
      <c r="E54" s="109">
        <v>30</v>
      </c>
      <c r="F54" s="109">
        <v>30</v>
      </c>
      <c r="G54" s="109">
        <v>0</v>
      </c>
      <c r="H54" s="109">
        <f t="shared" ref="H54" si="152">I54+J54+K54</f>
        <v>19293</v>
      </c>
      <c r="I54" s="109">
        <v>4520</v>
      </c>
      <c r="J54" s="109">
        <v>9050</v>
      </c>
      <c r="K54" s="109">
        <v>5723</v>
      </c>
      <c r="L54" s="110">
        <f t="shared" ref="L54" si="153">(I54+J54)*8.33%</f>
        <v>1130.3810000000001</v>
      </c>
      <c r="M54" s="110">
        <f t="shared" ref="M54" si="154">H54*4.93%</f>
        <v>951.14489999999989</v>
      </c>
      <c r="N54" s="110">
        <f t="shared" ref="N54" si="155">H54*3.29%</f>
        <v>634.73969999999997</v>
      </c>
      <c r="O54" s="110">
        <f t="shared" ref="O54" si="156">H54*2.88%</f>
        <v>555.63839999999993</v>
      </c>
      <c r="P54" s="110">
        <f>I54/E54*F54</f>
        <v>4520</v>
      </c>
      <c r="Q54" s="110">
        <f>J54/E54*F54</f>
        <v>9050</v>
      </c>
      <c r="R54" s="110">
        <f>K54/E54*F54</f>
        <v>5723</v>
      </c>
      <c r="S54" s="110">
        <f>L54/E54*F54</f>
        <v>1130.3810000000001</v>
      </c>
      <c r="T54" s="110">
        <f>M54/E54*F54</f>
        <v>951.14489999999989</v>
      </c>
      <c r="U54" s="110">
        <f>N54/E54*F54</f>
        <v>634.73969999999997</v>
      </c>
      <c r="V54" s="110">
        <f>O54/E54*F54</f>
        <v>555.63839999999993</v>
      </c>
      <c r="W54" s="110">
        <f t="shared" si="50"/>
        <v>0</v>
      </c>
      <c r="X54" s="110">
        <f>P54+Q54+R54+S54+T54+U54+V54+W54</f>
        <v>22564.903999999999</v>
      </c>
      <c r="Y54" s="110">
        <f>(P54+Q54)*12%</f>
        <v>1628.3999999999999</v>
      </c>
      <c r="Z54" s="110">
        <v>0</v>
      </c>
      <c r="AA54" s="109">
        <f t="shared" ref="AA54" si="157">IF(X54&gt;20000,200,IF(X54&gt;15000,150,0))</f>
        <v>200</v>
      </c>
      <c r="AB54" s="109"/>
      <c r="AC54" s="110">
        <f>Y54+Z54+AA54+AB54</f>
        <v>1828.3999999999999</v>
      </c>
      <c r="AD54" s="110">
        <f t="shared" ref="AD54" si="158">ROUND(X54-AC54,0)</f>
        <v>20737</v>
      </c>
      <c r="AE54" s="110">
        <f>(P54+Q54)*13%</f>
        <v>1764.1000000000001</v>
      </c>
      <c r="AF54" s="110">
        <v>800</v>
      </c>
      <c r="AG54" s="110">
        <f>X54+AE54+AF54</f>
        <v>25129.003999999997</v>
      </c>
      <c r="AH54" s="9">
        <v>25129</v>
      </c>
      <c r="AI54" s="146">
        <f>AH54-AG54</f>
        <v>-3.9999999971769284E-3</v>
      </c>
    </row>
    <row r="55" spans="1:37" ht="17.25" x14ac:dyDescent="0.25">
      <c r="A55" s="133"/>
      <c r="B55" s="122"/>
      <c r="C55" s="139" t="s">
        <v>59</v>
      </c>
      <c r="D55" s="122"/>
      <c r="E55" s="112">
        <f>SUM(E54)</f>
        <v>30</v>
      </c>
      <c r="F55" s="112">
        <f t="shared" ref="F55:AG55" si="159">SUM(F54)</f>
        <v>30</v>
      </c>
      <c r="G55" s="112">
        <f t="shared" si="159"/>
        <v>0</v>
      </c>
      <c r="H55" s="112">
        <f t="shared" si="159"/>
        <v>19293</v>
      </c>
      <c r="I55" s="112">
        <f t="shared" si="159"/>
        <v>4520</v>
      </c>
      <c r="J55" s="112">
        <f t="shared" si="159"/>
        <v>9050</v>
      </c>
      <c r="K55" s="112">
        <f t="shared" si="159"/>
        <v>5723</v>
      </c>
      <c r="L55" s="112">
        <f t="shared" si="159"/>
        <v>1130.3810000000001</v>
      </c>
      <c r="M55" s="112">
        <f t="shared" si="159"/>
        <v>951.14489999999989</v>
      </c>
      <c r="N55" s="112">
        <f t="shared" si="159"/>
        <v>634.73969999999997</v>
      </c>
      <c r="O55" s="112">
        <f t="shared" si="159"/>
        <v>555.63839999999993</v>
      </c>
      <c r="P55" s="112">
        <f t="shared" si="159"/>
        <v>4520</v>
      </c>
      <c r="Q55" s="112">
        <f t="shared" si="159"/>
        <v>9050</v>
      </c>
      <c r="R55" s="112">
        <f t="shared" si="159"/>
        <v>5723</v>
      </c>
      <c r="S55" s="112">
        <f t="shared" si="159"/>
        <v>1130.3810000000001</v>
      </c>
      <c r="T55" s="112">
        <f t="shared" si="159"/>
        <v>951.14489999999989</v>
      </c>
      <c r="U55" s="112">
        <f t="shared" si="159"/>
        <v>634.73969999999997</v>
      </c>
      <c r="V55" s="112">
        <f t="shared" si="159"/>
        <v>555.63839999999993</v>
      </c>
      <c r="W55" s="112">
        <f t="shared" si="159"/>
        <v>0</v>
      </c>
      <c r="X55" s="112">
        <f t="shared" si="159"/>
        <v>22564.903999999999</v>
      </c>
      <c r="Y55" s="112">
        <f t="shared" si="159"/>
        <v>1628.3999999999999</v>
      </c>
      <c r="Z55" s="112">
        <f t="shared" si="159"/>
        <v>0</v>
      </c>
      <c r="AA55" s="112">
        <f t="shared" si="159"/>
        <v>200</v>
      </c>
      <c r="AB55" s="112">
        <f t="shared" si="159"/>
        <v>0</v>
      </c>
      <c r="AC55" s="112">
        <f t="shared" si="159"/>
        <v>1828.3999999999999</v>
      </c>
      <c r="AD55" s="112">
        <f t="shared" si="159"/>
        <v>20737</v>
      </c>
      <c r="AE55" s="112">
        <f t="shared" si="159"/>
        <v>1764.1000000000001</v>
      </c>
      <c r="AF55" s="112">
        <f t="shared" si="159"/>
        <v>800</v>
      </c>
      <c r="AG55" s="112">
        <f t="shared" si="159"/>
        <v>25129.003999999997</v>
      </c>
      <c r="AH55" s="112">
        <f>SUM(AH54)</f>
        <v>25129</v>
      </c>
      <c r="AI55" s="112">
        <f>SUM(AI54)</f>
        <v>-3.9999999971769284E-3</v>
      </c>
    </row>
    <row r="56" spans="1:37" s="14" customFormat="1" ht="17.25" x14ac:dyDescent="0.25">
      <c r="A56" s="133">
        <v>44</v>
      </c>
      <c r="B56" s="122">
        <v>11028</v>
      </c>
      <c r="C56" s="122" t="s">
        <v>46</v>
      </c>
      <c r="D56" s="122" t="s">
        <v>61</v>
      </c>
      <c r="E56" s="109">
        <v>30</v>
      </c>
      <c r="F56" s="109">
        <v>30</v>
      </c>
      <c r="G56" s="109">
        <v>0</v>
      </c>
      <c r="H56" s="113">
        <f>I56+J56+K56</f>
        <v>19293</v>
      </c>
      <c r="I56" s="113">
        <v>4520</v>
      </c>
      <c r="J56" s="113">
        <v>9050</v>
      </c>
      <c r="K56" s="113">
        <v>5723</v>
      </c>
      <c r="L56" s="114">
        <f>(I56+J56)*8.33%</f>
        <v>1130.3810000000001</v>
      </c>
      <c r="M56" s="114">
        <f>H56*4.93%</f>
        <v>951.14489999999989</v>
      </c>
      <c r="N56" s="114">
        <f>H56*3.29%</f>
        <v>634.73969999999997</v>
      </c>
      <c r="O56" s="114">
        <f>H56*2.88%</f>
        <v>555.63839999999993</v>
      </c>
      <c r="P56" s="114">
        <f>I56/E56*F56</f>
        <v>4520</v>
      </c>
      <c r="Q56" s="114">
        <f>J56/E56*F56</f>
        <v>9050</v>
      </c>
      <c r="R56" s="114">
        <f>K56/E56*F56</f>
        <v>5723</v>
      </c>
      <c r="S56" s="114">
        <f>L56/E56*F56</f>
        <v>1130.3810000000001</v>
      </c>
      <c r="T56" s="114">
        <f>M56/E56*F56</f>
        <v>951.14489999999989</v>
      </c>
      <c r="U56" s="114">
        <f>N56/E56*F56</f>
        <v>634.73969999999997</v>
      </c>
      <c r="V56" s="114">
        <f>O56/E56*F56</f>
        <v>555.63839999999993</v>
      </c>
      <c r="W56" s="114">
        <f>(H56+L56+M56+N56+O56)/E56*G56</f>
        <v>0</v>
      </c>
      <c r="X56" s="114">
        <f>P56+Q56+R56+S56+T56+U56+V56+W56</f>
        <v>22564.903999999999</v>
      </c>
      <c r="Y56" s="114">
        <f>(P56+Q56)*12%</f>
        <v>1628.3999999999999</v>
      </c>
      <c r="Z56" s="114">
        <v>0</v>
      </c>
      <c r="AA56" s="113">
        <f t="shared" ref="AA56" si="160">IF(X56&gt;20000,200,IF(X56&gt;15000,150,0))</f>
        <v>200</v>
      </c>
      <c r="AB56" s="113"/>
      <c r="AC56" s="114">
        <f>Y56+Z56+AA56+AB56</f>
        <v>1828.3999999999999</v>
      </c>
      <c r="AD56" s="114">
        <f t="shared" ref="AD56" si="161">ROUND(X56-AC56,0)</f>
        <v>20737</v>
      </c>
      <c r="AE56" s="114">
        <f>(P56+Q56)*13%</f>
        <v>1764.1000000000001</v>
      </c>
      <c r="AF56" s="114">
        <v>800</v>
      </c>
      <c r="AG56" s="114">
        <f>X56+AE56+AF56</f>
        <v>25129.003999999997</v>
      </c>
      <c r="AH56" s="127">
        <v>25129</v>
      </c>
      <c r="AI56" s="147">
        <f>AH56-AG56</f>
        <v>-3.9999999971769284E-3</v>
      </c>
    </row>
    <row r="57" spans="1:37" ht="17.25" x14ac:dyDescent="0.25">
      <c r="A57" s="133"/>
      <c r="B57" s="122"/>
      <c r="C57" s="139" t="s">
        <v>61</v>
      </c>
      <c r="D57" s="122"/>
      <c r="E57" s="115">
        <f>SUM(E56)</f>
        <v>30</v>
      </c>
      <c r="F57" s="115">
        <f t="shared" ref="F57:AG57" si="162">SUM(F56)</f>
        <v>30</v>
      </c>
      <c r="G57" s="115">
        <f t="shared" si="162"/>
        <v>0</v>
      </c>
      <c r="H57" s="115">
        <f t="shared" si="162"/>
        <v>19293</v>
      </c>
      <c r="I57" s="115">
        <f t="shared" si="162"/>
        <v>4520</v>
      </c>
      <c r="J57" s="115">
        <f t="shared" si="162"/>
        <v>9050</v>
      </c>
      <c r="K57" s="115">
        <f t="shared" si="162"/>
        <v>5723</v>
      </c>
      <c r="L57" s="112">
        <f t="shared" si="162"/>
        <v>1130.3810000000001</v>
      </c>
      <c r="M57" s="112">
        <f t="shared" si="162"/>
        <v>951.14489999999989</v>
      </c>
      <c r="N57" s="112">
        <f t="shared" si="162"/>
        <v>634.73969999999997</v>
      </c>
      <c r="O57" s="112">
        <f t="shared" si="162"/>
        <v>555.63839999999993</v>
      </c>
      <c r="P57" s="112">
        <f t="shared" si="162"/>
        <v>4520</v>
      </c>
      <c r="Q57" s="112">
        <f t="shared" si="162"/>
        <v>9050</v>
      </c>
      <c r="R57" s="112">
        <f t="shared" si="162"/>
        <v>5723</v>
      </c>
      <c r="S57" s="112">
        <f t="shared" si="162"/>
        <v>1130.3810000000001</v>
      </c>
      <c r="T57" s="112">
        <f t="shared" si="162"/>
        <v>951.14489999999989</v>
      </c>
      <c r="U57" s="112">
        <f t="shared" si="162"/>
        <v>634.73969999999997</v>
      </c>
      <c r="V57" s="112">
        <f t="shared" si="162"/>
        <v>555.63839999999993</v>
      </c>
      <c r="W57" s="112">
        <f t="shared" si="162"/>
        <v>0</v>
      </c>
      <c r="X57" s="112">
        <f t="shared" si="162"/>
        <v>22564.903999999999</v>
      </c>
      <c r="Y57" s="112">
        <f t="shared" si="162"/>
        <v>1628.3999999999999</v>
      </c>
      <c r="Z57" s="112">
        <f t="shared" si="162"/>
        <v>0</v>
      </c>
      <c r="AA57" s="112">
        <f t="shared" si="162"/>
        <v>200</v>
      </c>
      <c r="AB57" s="112">
        <f t="shared" si="162"/>
        <v>0</v>
      </c>
      <c r="AC57" s="112">
        <f t="shared" si="162"/>
        <v>1828.3999999999999</v>
      </c>
      <c r="AD57" s="112">
        <f t="shared" si="162"/>
        <v>20737</v>
      </c>
      <c r="AE57" s="112">
        <f t="shared" si="162"/>
        <v>1764.1000000000001</v>
      </c>
      <c r="AF57" s="112">
        <f t="shared" si="162"/>
        <v>800</v>
      </c>
      <c r="AG57" s="112">
        <f t="shared" si="162"/>
        <v>25129.003999999997</v>
      </c>
      <c r="AH57" s="112">
        <f>SUM(AH56)</f>
        <v>25129</v>
      </c>
      <c r="AI57" s="112">
        <f>SUM(AI56)</f>
        <v>-3.9999999971769284E-3</v>
      </c>
      <c r="AK57" s="10"/>
    </row>
    <row r="58" spans="1:37" ht="17.25" x14ac:dyDescent="0.25">
      <c r="A58" s="133">
        <v>45</v>
      </c>
      <c r="B58" s="122">
        <v>11214</v>
      </c>
      <c r="C58" s="122" t="s">
        <v>249</v>
      </c>
      <c r="D58" s="122" t="s">
        <v>62</v>
      </c>
      <c r="E58" s="109">
        <v>30</v>
      </c>
      <c r="F58" s="109">
        <v>30</v>
      </c>
      <c r="G58" s="109">
        <v>0</v>
      </c>
      <c r="H58" s="110">
        <f t="shared" ref="H58" si="163">I58+J58+K58</f>
        <v>19293</v>
      </c>
      <c r="I58" s="110">
        <v>4520</v>
      </c>
      <c r="J58" s="109">
        <v>9050</v>
      </c>
      <c r="K58" s="109">
        <v>5723</v>
      </c>
      <c r="L58" s="110">
        <f t="shared" ref="L58" si="164">(I58+J58)*8.33%</f>
        <v>1130.3810000000001</v>
      </c>
      <c r="M58" s="110">
        <f t="shared" ref="M58" si="165">H58*4.93%</f>
        <v>951.14489999999989</v>
      </c>
      <c r="N58" s="110">
        <f t="shared" ref="N58" si="166">H58*3.29%</f>
        <v>634.73969999999997</v>
      </c>
      <c r="O58" s="110">
        <f t="shared" ref="O58" si="167">H58*2.88%</f>
        <v>555.63839999999993</v>
      </c>
      <c r="P58" s="110">
        <f>I58/E58*F58</f>
        <v>4520</v>
      </c>
      <c r="Q58" s="110">
        <f>J58/E58*F58</f>
        <v>9050</v>
      </c>
      <c r="R58" s="110">
        <f>K58/E58*F58</f>
        <v>5723</v>
      </c>
      <c r="S58" s="110">
        <f>L58/E58*F58</f>
        <v>1130.3810000000001</v>
      </c>
      <c r="T58" s="110">
        <f>M58/E58*F58</f>
        <v>951.14489999999989</v>
      </c>
      <c r="U58" s="110">
        <f>N58/E58*F58</f>
        <v>634.73969999999997</v>
      </c>
      <c r="V58" s="110">
        <f>O58/E58*F58</f>
        <v>555.63839999999993</v>
      </c>
      <c r="W58" s="110">
        <f t="shared" ref="W58" si="168">(H58+L58+M58+N58+O58)/E58*G58</f>
        <v>0</v>
      </c>
      <c r="X58" s="110">
        <f>P58+Q58+R58+S58+T58+U58+V58+W58</f>
        <v>22564.903999999999</v>
      </c>
      <c r="Y58" s="110">
        <f>(P58+Q58)*12%</f>
        <v>1628.3999999999999</v>
      </c>
      <c r="Z58" s="110">
        <v>0</v>
      </c>
      <c r="AA58" s="110">
        <f t="shared" ref="AA58" si="169">IF(X58&gt;20000,200,IF(X58&gt;15000,150,0))</f>
        <v>200</v>
      </c>
      <c r="AB58" s="110"/>
      <c r="AC58" s="110">
        <f>Y58+Z58+AA58+AB58</f>
        <v>1828.3999999999999</v>
      </c>
      <c r="AD58" s="110">
        <f t="shared" ref="AD58" si="170">ROUND(X58-AC58,0)</f>
        <v>20737</v>
      </c>
      <c r="AE58" s="110">
        <f>(P58+Q58)*13%</f>
        <v>1764.1000000000001</v>
      </c>
      <c r="AF58" s="110">
        <v>800</v>
      </c>
      <c r="AG58" s="110">
        <f>X58+AE58+AF58</f>
        <v>25129.003999999997</v>
      </c>
      <c r="AH58" s="146">
        <v>25129</v>
      </c>
      <c r="AI58" s="146">
        <f>AH58-AG58</f>
        <v>-3.9999999971769284E-3</v>
      </c>
    </row>
    <row r="59" spans="1:37" ht="17.25" x14ac:dyDescent="0.25">
      <c r="A59" s="133"/>
      <c r="B59" s="122"/>
      <c r="C59" s="139" t="s">
        <v>159</v>
      </c>
      <c r="D59" s="122"/>
      <c r="E59" s="115">
        <f>SUM(E58)</f>
        <v>30</v>
      </c>
      <c r="F59" s="115">
        <f t="shared" ref="F59:AG59" si="171">SUM(F58)</f>
        <v>30</v>
      </c>
      <c r="G59" s="115">
        <f t="shared" si="171"/>
        <v>0</v>
      </c>
      <c r="H59" s="115">
        <f t="shared" si="171"/>
        <v>19293</v>
      </c>
      <c r="I59" s="115">
        <f t="shared" si="171"/>
        <v>4520</v>
      </c>
      <c r="J59" s="115">
        <f t="shared" si="171"/>
        <v>9050</v>
      </c>
      <c r="K59" s="115">
        <f t="shared" si="171"/>
        <v>5723</v>
      </c>
      <c r="L59" s="112">
        <f t="shared" si="171"/>
        <v>1130.3810000000001</v>
      </c>
      <c r="M59" s="112">
        <f t="shared" si="171"/>
        <v>951.14489999999989</v>
      </c>
      <c r="N59" s="112">
        <f t="shared" si="171"/>
        <v>634.73969999999997</v>
      </c>
      <c r="O59" s="112">
        <f t="shared" si="171"/>
        <v>555.63839999999993</v>
      </c>
      <c r="P59" s="112">
        <f t="shared" si="171"/>
        <v>4520</v>
      </c>
      <c r="Q59" s="112">
        <f t="shared" si="171"/>
        <v>9050</v>
      </c>
      <c r="R59" s="112">
        <f t="shared" si="171"/>
        <v>5723</v>
      </c>
      <c r="S59" s="112">
        <f t="shared" si="171"/>
        <v>1130.3810000000001</v>
      </c>
      <c r="T59" s="112">
        <f t="shared" si="171"/>
        <v>951.14489999999989</v>
      </c>
      <c r="U59" s="112">
        <f t="shared" si="171"/>
        <v>634.73969999999997</v>
      </c>
      <c r="V59" s="112">
        <f t="shared" si="171"/>
        <v>555.63839999999993</v>
      </c>
      <c r="W59" s="112">
        <f t="shared" si="171"/>
        <v>0</v>
      </c>
      <c r="X59" s="112">
        <f t="shared" si="171"/>
        <v>22564.903999999999</v>
      </c>
      <c r="Y59" s="112">
        <f t="shared" si="171"/>
        <v>1628.3999999999999</v>
      </c>
      <c r="Z59" s="112">
        <f t="shared" si="171"/>
        <v>0</v>
      </c>
      <c r="AA59" s="112">
        <f t="shared" si="171"/>
        <v>200</v>
      </c>
      <c r="AB59" s="112">
        <f t="shared" si="171"/>
        <v>0</v>
      </c>
      <c r="AC59" s="112">
        <f t="shared" si="171"/>
        <v>1828.3999999999999</v>
      </c>
      <c r="AD59" s="112">
        <f t="shared" si="171"/>
        <v>20737</v>
      </c>
      <c r="AE59" s="112">
        <f t="shared" si="171"/>
        <v>1764.1000000000001</v>
      </c>
      <c r="AF59" s="112">
        <f t="shared" si="171"/>
        <v>800</v>
      </c>
      <c r="AG59" s="112">
        <f t="shared" si="171"/>
        <v>25129.003999999997</v>
      </c>
      <c r="AH59" s="112">
        <f>SUM(AH58)</f>
        <v>25129</v>
      </c>
      <c r="AI59" s="112">
        <f>SUM(AI58)</f>
        <v>-3.9999999971769284E-3</v>
      </c>
    </row>
    <row r="60" spans="1:37" ht="17.25" x14ac:dyDescent="0.25">
      <c r="A60" s="133">
        <f>A58+1</f>
        <v>46</v>
      </c>
      <c r="B60" s="122">
        <v>11058</v>
      </c>
      <c r="C60" s="122" t="s">
        <v>215</v>
      </c>
      <c r="D60" s="122" t="s">
        <v>157</v>
      </c>
      <c r="E60" s="109">
        <v>30</v>
      </c>
      <c r="F60" s="109">
        <v>30</v>
      </c>
      <c r="G60" s="109">
        <v>0</v>
      </c>
      <c r="H60" s="109">
        <f t="shared" ref="H60" si="172">I60+J60+K60</f>
        <v>19143</v>
      </c>
      <c r="I60" s="109">
        <v>4520</v>
      </c>
      <c r="J60" s="109">
        <v>9050</v>
      </c>
      <c r="K60" s="109">
        <v>5573</v>
      </c>
      <c r="L60" s="110">
        <f t="shared" ref="L60" si="173">(I60+J60)*8.33%</f>
        <v>1130.3810000000001</v>
      </c>
      <c r="M60" s="110">
        <f t="shared" ref="M60" si="174">H60*4.93%</f>
        <v>943.74989999999991</v>
      </c>
      <c r="N60" s="110">
        <f t="shared" ref="N60" si="175">H60*3.29%</f>
        <v>629.80470000000003</v>
      </c>
      <c r="O60" s="110">
        <f t="shared" ref="O60" si="176">H60*2.88%</f>
        <v>551.3184</v>
      </c>
      <c r="P60" s="110">
        <f>I60/E60*F60</f>
        <v>4520</v>
      </c>
      <c r="Q60" s="110">
        <f>J60/E60*F60</f>
        <v>9050</v>
      </c>
      <c r="R60" s="110">
        <f>K60/E60*F60</f>
        <v>5573</v>
      </c>
      <c r="S60" s="110">
        <f>L60/E60*F60</f>
        <v>1130.3810000000001</v>
      </c>
      <c r="T60" s="110">
        <f>M60/E60*F60</f>
        <v>943.74989999999991</v>
      </c>
      <c r="U60" s="110">
        <f>N60/E60*F60</f>
        <v>629.80470000000003</v>
      </c>
      <c r="V60" s="110">
        <f>O60/E60*F60</f>
        <v>551.3184</v>
      </c>
      <c r="W60" s="110">
        <f t="shared" si="50"/>
        <v>0</v>
      </c>
      <c r="X60" s="110">
        <f>P60+Q60+R60+S60+T60+U60+V60+W60</f>
        <v>22398.254000000001</v>
      </c>
      <c r="Y60" s="110">
        <f>(P60+Q60)*12%</f>
        <v>1628.3999999999999</v>
      </c>
      <c r="Z60" s="110">
        <v>0</v>
      </c>
      <c r="AA60" s="110">
        <f t="shared" ref="AA60" si="177">IF(X60&gt;20000,200,IF(X60&gt;15000,150,0))</f>
        <v>200</v>
      </c>
      <c r="AB60" s="110"/>
      <c r="AC60" s="110">
        <f>Y60+Z60+AA60+AB60</f>
        <v>1828.3999999999999</v>
      </c>
      <c r="AD60" s="110">
        <f t="shared" ref="AD60" si="178">ROUND(X60-AC60,0)</f>
        <v>20570</v>
      </c>
      <c r="AE60" s="110">
        <f>(P60+Q60)*13%</f>
        <v>1764.1000000000001</v>
      </c>
      <c r="AF60" s="110">
        <v>800</v>
      </c>
      <c r="AG60" s="110">
        <f>X60+AE60+AF60</f>
        <v>24962.353999999999</v>
      </c>
      <c r="AH60" s="146">
        <v>24962</v>
      </c>
      <c r="AI60" s="146">
        <f>AH60-AG60</f>
        <v>-0.35399999999935972</v>
      </c>
    </row>
    <row r="61" spans="1:37" ht="17.25" x14ac:dyDescent="0.25">
      <c r="A61" s="133"/>
      <c r="B61" s="122"/>
      <c r="C61" s="139" t="s">
        <v>157</v>
      </c>
      <c r="D61" s="122"/>
      <c r="E61" s="115">
        <f>SUM(E60)</f>
        <v>30</v>
      </c>
      <c r="F61" s="115">
        <f t="shared" ref="F61:AG61" si="179">SUM(F60)</f>
        <v>30</v>
      </c>
      <c r="G61" s="115">
        <f t="shared" si="179"/>
        <v>0</v>
      </c>
      <c r="H61" s="115">
        <f t="shared" si="179"/>
        <v>19143</v>
      </c>
      <c r="I61" s="115">
        <f t="shared" si="179"/>
        <v>4520</v>
      </c>
      <c r="J61" s="115">
        <f t="shared" si="179"/>
        <v>9050</v>
      </c>
      <c r="K61" s="115">
        <f t="shared" si="179"/>
        <v>5573</v>
      </c>
      <c r="L61" s="112">
        <f t="shared" si="179"/>
        <v>1130.3810000000001</v>
      </c>
      <c r="M61" s="112">
        <f t="shared" si="179"/>
        <v>943.74989999999991</v>
      </c>
      <c r="N61" s="112">
        <f t="shared" si="179"/>
        <v>629.80470000000003</v>
      </c>
      <c r="O61" s="112">
        <f t="shared" si="179"/>
        <v>551.3184</v>
      </c>
      <c r="P61" s="112">
        <f t="shared" si="179"/>
        <v>4520</v>
      </c>
      <c r="Q61" s="112">
        <f t="shared" si="179"/>
        <v>9050</v>
      </c>
      <c r="R61" s="112">
        <f t="shared" si="179"/>
        <v>5573</v>
      </c>
      <c r="S61" s="112">
        <f t="shared" si="179"/>
        <v>1130.3810000000001</v>
      </c>
      <c r="T61" s="112">
        <f t="shared" si="179"/>
        <v>943.74989999999991</v>
      </c>
      <c r="U61" s="112">
        <f t="shared" si="179"/>
        <v>629.80470000000003</v>
      </c>
      <c r="V61" s="112">
        <f t="shared" si="179"/>
        <v>551.3184</v>
      </c>
      <c r="W61" s="112">
        <f t="shared" si="179"/>
        <v>0</v>
      </c>
      <c r="X61" s="112">
        <f t="shared" si="179"/>
        <v>22398.254000000001</v>
      </c>
      <c r="Y61" s="112">
        <f t="shared" si="179"/>
        <v>1628.3999999999999</v>
      </c>
      <c r="Z61" s="112">
        <f t="shared" si="179"/>
        <v>0</v>
      </c>
      <c r="AA61" s="112">
        <f t="shared" si="179"/>
        <v>200</v>
      </c>
      <c r="AB61" s="112">
        <f t="shared" si="179"/>
        <v>0</v>
      </c>
      <c r="AC61" s="112">
        <f t="shared" si="179"/>
        <v>1828.3999999999999</v>
      </c>
      <c r="AD61" s="112">
        <f t="shared" si="179"/>
        <v>20570</v>
      </c>
      <c r="AE61" s="112">
        <f t="shared" si="179"/>
        <v>1764.1000000000001</v>
      </c>
      <c r="AF61" s="112">
        <f t="shared" si="179"/>
        <v>800</v>
      </c>
      <c r="AG61" s="112">
        <f t="shared" si="179"/>
        <v>24962.353999999999</v>
      </c>
      <c r="AH61" s="112">
        <f>SUM(AH60)</f>
        <v>24962</v>
      </c>
      <c r="AI61" s="112">
        <f>SUM(AI60)</f>
        <v>-0.35399999999935972</v>
      </c>
    </row>
    <row r="62" spans="1:37" ht="19.5" customHeight="1" x14ac:dyDescent="0.25">
      <c r="A62" s="142"/>
      <c r="B62" s="142"/>
      <c r="C62" s="142"/>
      <c r="D62" s="142"/>
      <c r="E62" s="102">
        <f t="shared" ref="E62:AI62" si="180">E59+E57+E55+E53+E44+E36+E31+E26+E17+E6+E61</f>
        <v>1380</v>
      </c>
      <c r="F62" s="102">
        <f t="shared" si="180"/>
        <v>1380</v>
      </c>
      <c r="G62" s="102">
        <f t="shared" si="180"/>
        <v>0</v>
      </c>
      <c r="H62" s="102">
        <f t="shared" si="180"/>
        <v>912504</v>
      </c>
      <c r="I62" s="102">
        <f t="shared" si="180"/>
        <v>210977</v>
      </c>
      <c r="J62" s="102">
        <f t="shared" si="180"/>
        <v>416300</v>
      </c>
      <c r="K62" s="102">
        <f t="shared" si="180"/>
        <v>285227</v>
      </c>
      <c r="L62" s="102">
        <f t="shared" si="180"/>
        <v>52252.174100000004</v>
      </c>
      <c r="M62" s="102">
        <f t="shared" si="180"/>
        <v>44986.447200000002</v>
      </c>
      <c r="N62" s="102">
        <f t="shared" si="180"/>
        <v>30021.381600000004</v>
      </c>
      <c r="O62" s="102">
        <f t="shared" si="180"/>
        <v>26280.115199999997</v>
      </c>
      <c r="P62" s="102">
        <f t="shared" si="180"/>
        <v>210977</v>
      </c>
      <c r="Q62" s="102">
        <f t="shared" si="180"/>
        <v>416300</v>
      </c>
      <c r="R62" s="102">
        <f t="shared" si="180"/>
        <v>285227</v>
      </c>
      <c r="S62" s="102">
        <f t="shared" si="180"/>
        <v>52252.174100000004</v>
      </c>
      <c r="T62" s="102">
        <f t="shared" si="180"/>
        <v>44986.447200000002</v>
      </c>
      <c r="U62" s="102">
        <f t="shared" si="180"/>
        <v>30021.381600000004</v>
      </c>
      <c r="V62" s="102">
        <f t="shared" si="180"/>
        <v>26280.115199999997</v>
      </c>
      <c r="W62" s="102">
        <f t="shared" si="180"/>
        <v>0</v>
      </c>
      <c r="X62" s="102">
        <f t="shared" si="180"/>
        <v>1066044.1181000001</v>
      </c>
      <c r="Y62" s="102">
        <f t="shared" si="180"/>
        <v>75273.239999999976</v>
      </c>
      <c r="Z62" s="102">
        <f t="shared" si="180"/>
        <v>1581.75</v>
      </c>
      <c r="AA62" s="102">
        <f t="shared" si="180"/>
        <v>9050</v>
      </c>
      <c r="AB62" s="102">
        <f t="shared" si="180"/>
        <v>0</v>
      </c>
      <c r="AC62" s="102">
        <f t="shared" si="180"/>
        <v>85904.989999999976</v>
      </c>
      <c r="AD62" s="102">
        <f>AD59+AD57+AD55+AD53+AD44+AD36+AD31+AD26+AD17+AD6+AD61</f>
        <v>980148</v>
      </c>
      <c r="AE62" s="102">
        <f t="shared" si="180"/>
        <v>81546.010000000024</v>
      </c>
      <c r="AF62" s="102">
        <f t="shared" si="180"/>
        <v>34054.25</v>
      </c>
      <c r="AG62" s="102">
        <f t="shared" si="180"/>
        <v>1181644.3781000001</v>
      </c>
      <c r="AH62" s="102">
        <f t="shared" si="180"/>
        <v>1093145</v>
      </c>
      <c r="AI62" s="102">
        <f t="shared" si="180"/>
        <v>-37595.592100000038</v>
      </c>
    </row>
    <row r="68" spans="20:32" x14ac:dyDescent="0.25">
      <c r="T68" s="345" t="str">
        <f>X4</f>
        <v>GROSS EARNINGS</v>
      </c>
      <c r="U68" s="346"/>
      <c r="V68" s="347"/>
      <c r="W68" s="9" t="s">
        <v>112</v>
      </c>
      <c r="X68" s="146">
        <f>X62</f>
        <v>1066044.1181000001</v>
      </c>
    </row>
    <row r="69" spans="20:32" x14ac:dyDescent="0.25">
      <c r="T69" s="345" t="s">
        <v>113</v>
      </c>
      <c r="U69" s="346"/>
      <c r="V69" s="347"/>
      <c r="W69" s="9" t="s">
        <v>112</v>
      </c>
      <c r="X69" s="146">
        <f>AE62</f>
        <v>81546.010000000024</v>
      </c>
    </row>
    <row r="70" spans="20:32" x14ac:dyDescent="0.25">
      <c r="T70" s="345" t="s">
        <v>23</v>
      </c>
      <c r="U70" s="346"/>
      <c r="V70" s="347"/>
      <c r="W70" s="9" t="s">
        <v>112</v>
      </c>
      <c r="X70" s="146">
        <f>AF62</f>
        <v>34054.25</v>
      </c>
    </row>
    <row r="71" spans="20:32" x14ac:dyDescent="0.25">
      <c r="T71" s="348" t="s">
        <v>114</v>
      </c>
      <c r="U71" s="349"/>
      <c r="V71" s="350"/>
      <c r="W71" s="1" t="s">
        <v>112</v>
      </c>
      <c r="X71" s="11">
        <f>SUM(X68:X70)</f>
        <v>1181644.3781000001</v>
      </c>
    </row>
    <row r="72" spans="20:32" x14ac:dyDescent="0.25">
      <c r="T72" s="345" t="s">
        <v>115</v>
      </c>
      <c r="U72" s="346"/>
      <c r="V72" s="347"/>
      <c r="W72" s="1" t="s">
        <v>112</v>
      </c>
      <c r="X72" s="146">
        <f>X71*8%</f>
        <v>94531.550248000014</v>
      </c>
    </row>
    <row r="73" spans="20:32" ht="15.75" x14ac:dyDescent="0.25">
      <c r="T73" s="348" t="s">
        <v>116</v>
      </c>
      <c r="U73" s="349"/>
      <c r="V73" s="350"/>
      <c r="W73" s="1" t="s">
        <v>112</v>
      </c>
      <c r="X73" s="11">
        <f>X71+X72</f>
        <v>1276175.9283480002</v>
      </c>
      <c r="AF73" s="123">
        <v>18500</v>
      </c>
    </row>
    <row r="74" spans="20:32" ht="15.75" x14ac:dyDescent="0.25">
      <c r="T74" s="148"/>
      <c r="U74" s="148"/>
      <c r="V74" s="148"/>
      <c r="W74" s="148"/>
      <c r="X74" s="13"/>
      <c r="AF74" s="123">
        <v>18000</v>
      </c>
    </row>
    <row r="75" spans="20:32" ht="15.75" x14ac:dyDescent="0.25">
      <c r="T75" s="148"/>
      <c r="U75" s="148"/>
      <c r="V75" s="148"/>
      <c r="W75" s="148"/>
      <c r="X75" s="13"/>
      <c r="AF75" s="111">
        <v>19000</v>
      </c>
    </row>
    <row r="76" spans="20:32" ht="15.75" x14ac:dyDescent="0.25">
      <c r="T76" s="148"/>
      <c r="U76" s="148"/>
      <c r="V76" s="148"/>
      <c r="W76" s="148"/>
      <c r="X76" s="13"/>
      <c r="AF76" s="110">
        <v>18501</v>
      </c>
    </row>
    <row r="77" spans="20:32" ht="15.75" x14ac:dyDescent="0.25">
      <c r="T77" s="148"/>
      <c r="U77" s="148"/>
      <c r="V77" s="148"/>
      <c r="W77" s="148"/>
      <c r="X77" s="13"/>
      <c r="AF77" s="111">
        <v>19000</v>
      </c>
    </row>
    <row r="78" spans="20:32" ht="15.75" x14ac:dyDescent="0.25">
      <c r="T78" s="148"/>
      <c r="U78" s="148"/>
      <c r="V78" s="148"/>
      <c r="W78" s="148"/>
      <c r="X78" s="13"/>
      <c r="AF78" s="111">
        <v>18000</v>
      </c>
    </row>
    <row r="79" spans="20:32" ht="15.75" x14ac:dyDescent="0.25">
      <c r="T79" s="148"/>
      <c r="U79" s="148"/>
      <c r="V79" s="148"/>
      <c r="W79" s="148"/>
      <c r="X79" s="13"/>
      <c r="AF79" s="114">
        <v>18500</v>
      </c>
    </row>
    <row r="80" spans="20:32" ht="15.75" x14ac:dyDescent="0.25">
      <c r="T80" s="148"/>
      <c r="U80" s="148"/>
      <c r="V80" s="148"/>
      <c r="W80" s="148"/>
      <c r="X80" s="13"/>
      <c r="AF80" s="120">
        <v>19000</v>
      </c>
    </row>
    <row r="81" spans="20:32" ht="15.75" x14ac:dyDescent="0.25">
      <c r="T81" s="148"/>
      <c r="U81" s="148"/>
      <c r="V81" s="148"/>
      <c r="W81" s="148"/>
      <c r="X81" s="13"/>
      <c r="AF81" s="111">
        <v>19000</v>
      </c>
    </row>
    <row r="82" spans="20:32" ht="15.75" x14ac:dyDescent="0.25">
      <c r="T82" s="148"/>
      <c r="U82" s="148"/>
      <c r="V82" s="148"/>
      <c r="W82" s="148"/>
      <c r="X82" s="13"/>
      <c r="AF82" s="111">
        <v>19000</v>
      </c>
    </row>
    <row r="83" spans="20:32" x14ac:dyDescent="0.25">
      <c r="T83" s="148"/>
      <c r="U83" s="148"/>
      <c r="V83" s="148"/>
      <c r="W83" s="148"/>
      <c r="X83" s="13"/>
    </row>
    <row r="84" spans="20:32" x14ac:dyDescent="0.25">
      <c r="T84" s="148"/>
      <c r="U84" s="148"/>
      <c r="V84" s="148"/>
      <c r="W84" s="148"/>
      <c r="X84" s="13"/>
    </row>
  </sheetData>
  <mergeCells count="10">
    <mergeCell ref="T72:V72"/>
    <mergeCell ref="T73:V73"/>
    <mergeCell ref="A3:G3"/>
    <mergeCell ref="H3:O3"/>
    <mergeCell ref="P3:X3"/>
    <mergeCell ref="Y3:AC3"/>
    <mergeCell ref="T68:V68"/>
    <mergeCell ref="T69:V69"/>
    <mergeCell ref="T70:V70"/>
    <mergeCell ref="T71:V7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3C5A-A892-4253-8EC4-8D8F0082B5FE}">
  <sheetPr>
    <pageSetUpPr fitToPage="1"/>
  </sheetPr>
  <dimension ref="D3:L76"/>
  <sheetViews>
    <sheetView showGridLines="0" tabSelected="1" topLeftCell="A55" zoomScale="98" zoomScaleNormal="98" workbookViewId="0">
      <selection activeCell="K68" sqref="K68"/>
    </sheetView>
  </sheetViews>
  <sheetFormatPr defaultColWidth="9.140625" defaultRowHeight="15.75" x14ac:dyDescent="0.25"/>
  <cols>
    <col min="1" max="4" width="9.140625" style="21"/>
    <col min="5" max="5" width="14.85546875" style="21" customWidth="1"/>
    <col min="6" max="6" width="48.42578125" style="21" customWidth="1"/>
    <col min="7" max="7" width="25.85546875" style="108" customWidth="1"/>
    <col min="8" max="8" width="16.7109375" style="108" customWidth="1"/>
    <col min="9" max="9" width="17.7109375" style="21" customWidth="1"/>
    <col min="10" max="10" width="15.140625" style="21" customWidth="1"/>
    <col min="11" max="13" width="9.140625" style="21"/>
    <col min="14" max="14" width="11.85546875" style="21" bestFit="1" customWidth="1"/>
    <col min="15" max="16384" width="9.140625" style="21"/>
  </cols>
  <sheetData>
    <row r="3" spans="4:9" ht="16.5" thickBot="1" x14ac:dyDescent="0.3"/>
    <row r="4" spans="4:9" ht="16.5" thickBot="1" x14ac:dyDescent="0.3">
      <c r="D4" s="219" t="s">
        <v>461</v>
      </c>
      <c r="E4" s="220"/>
      <c r="F4" s="220"/>
      <c r="G4" s="220"/>
      <c r="H4" s="220"/>
      <c r="I4" s="221"/>
    </row>
    <row r="5" spans="4:9" ht="16.5" thickBot="1" x14ac:dyDescent="0.3"/>
    <row r="6" spans="4:9" ht="16.5" thickBot="1" x14ac:dyDescent="0.3">
      <c r="D6" s="162" t="s">
        <v>80</v>
      </c>
      <c r="E6" s="163" t="s">
        <v>81</v>
      </c>
      <c r="F6" s="163" t="s">
        <v>82</v>
      </c>
      <c r="G6" s="163" t="s">
        <v>83</v>
      </c>
      <c r="H6" s="163" t="s">
        <v>84</v>
      </c>
      <c r="I6" s="164" t="s">
        <v>85</v>
      </c>
    </row>
    <row r="7" spans="4:9" x14ac:dyDescent="0.25">
      <c r="D7" s="25">
        <v>1</v>
      </c>
      <c r="E7" s="26">
        <v>11029</v>
      </c>
      <c r="F7" s="26" t="s">
        <v>25</v>
      </c>
      <c r="G7" s="135" t="s">
        <v>277</v>
      </c>
      <c r="H7" s="26" t="s">
        <v>91</v>
      </c>
      <c r="I7" s="25">
        <f>VLOOKUP(E7,PAYSHEET!$B$5:$AF$70,31,0)</f>
        <v>36000</v>
      </c>
    </row>
    <row r="8" spans="4:9" x14ac:dyDescent="0.25">
      <c r="D8" s="27">
        <f>D7+1</f>
        <v>2</v>
      </c>
      <c r="E8" s="26">
        <v>10984</v>
      </c>
      <c r="F8" s="26" t="s">
        <v>109</v>
      </c>
      <c r="G8" s="135" t="s">
        <v>278</v>
      </c>
      <c r="H8" s="26" t="s">
        <v>93</v>
      </c>
      <c r="I8" s="25">
        <f>VLOOKUP(E8,PAYSHEET!$B$5:$AF$70,31,0)</f>
        <v>26123</v>
      </c>
    </row>
    <row r="9" spans="4:9" x14ac:dyDescent="0.25">
      <c r="D9" s="27">
        <f t="shared" ref="D9:D58" si="0">D8+1</f>
        <v>3</v>
      </c>
      <c r="E9" s="26">
        <v>10976</v>
      </c>
      <c r="F9" s="26" t="s">
        <v>27</v>
      </c>
      <c r="G9" s="135" t="s">
        <v>279</v>
      </c>
      <c r="H9" s="26" t="s">
        <v>92</v>
      </c>
      <c r="I9" s="25">
        <f>VLOOKUP(E9,PAYSHEET!$B$5:$AF$70,31,0)</f>
        <v>27000</v>
      </c>
    </row>
    <row r="10" spans="4:9" x14ac:dyDescent="0.25">
      <c r="D10" s="27">
        <f t="shared" si="0"/>
        <v>4</v>
      </c>
      <c r="E10" s="26">
        <v>10986</v>
      </c>
      <c r="F10" s="26" t="s">
        <v>29</v>
      </c>
      <c r="G10" s="135" t="s">
        <v>297</v>
      </c>
      <c r="H10" s="26" t="s">
        <v>298</v>
      </c>
      <c r="I10" s="25">
        <f>VLOOKUP(E10,PAYSHEET!$B$5:$AF$70,31,0)</f>
        <v>13979</v>
      </c>
    </row>
    <row r="11" spans="4:9" x14ac:dyDescent="0.25">
      <c r="D11" s="27">
        <f t="shared" si="0"/>
        <v>5</v>
      </c>
      <c r="E11" s="26">
        <v>10981</v>
      </c>
      <c r="F11" s="26" t="s">
        <v>40</v>
      </c>
      <c r="G11" s="135" t="s">
        <v>285</v>
      </c>
      <c r="H11" s="26" t="s">
        <v>97</v>
      </c>
      <c r="I11" s="25">
        <f>VLOOKUP(E11,PAYSHEET!$B$5:$AF$70,31,0)</f>
        <v>20568</v>
      </c>
    </row>
    <row r="12" spans="4:9" x14ac:dyDescent="0.25">
      <c r="D12" s="27">
        <f t="shared" si="0"/>
        <v>6</v>
      </c>
      <c r="E12" s="26">
        <v>11000</v>
      </c>
      <c r="F12" s="26" t="s">
        <v>44</v>
      </c>
      <c r="G12" s="135" t="s">
        <v>286</v>
      </c>
      <c r="H12" s="26" t="s">
        <v>99</v>
      </c>
      <c r="I12" s="25">
        <f>VLOOKUP(E12,PAYSHEET!$B$5:$AF$70,31,0)</f>
        <v>25960</v>
      </c>
    </row>
    <row r="13" spans="4:9" x14ac:dyDescent="0.25">
      <c r="D13" s="27">
        <f t="shared" si="0"/>
        <v>7</v>
      </c>
      <c r="E13" s="26">
        <v>10991</v>
      </c>
      <c r="F13" s="26" t="s">
        <v>47</v>
      </c>
      <c r="G13" s="135" t="s">
        <v>117</v>
      </c>
      <c r="H13" s="26" t="s">
        <v>118</v>
      </c>
      <c r="I13" s="25">
        <f>VLOOKUP(E13,PAYSHEET!$B$5:$AF$70,31,0)</f>
        <v>26000</v>
      </c>
    </row>
    <row r="14" spans="4:9" x14ac:dyDescent="0.25">
      <c r="D14" s="27">
        <f t="shared" si="0"/>
        <v>8</v>
      </c>
      <c r="E14" s="26">
        <v>10980</v>
      </c>
      <c r="F14" s="26" t="s">
        <v>51</v>
      </c>
      <c r="G14" s="135" t="s">
        <v>373</v>
      </c>
      <c r="H14" s="26" t="s">
        <v>101</v>
      </c>
      <c r="I14" s="25">
        <f>VLOOKUP(E14,PAYSHEET!$B$5:$AF$70,31,0)</f>
        <v>4274</v>
      </c>
    </row>
    <row r="15" spans="4:9" x14ac:dyDescent="0.25">
      <c r="D15" s="27">
        <f t="shared" si="0"/>
        <v>9</v>
      </c>
      <c r="E15" s="26">
        <v>10978</v>
      </c>
      <c r="F15" s="26" t="s">
        <v>53</v>
      </c>
      <c r="G15" s="135" t="s">
        <v>374</v>
      </c>
      <c r="H15" s="26" t="s">
        <v>102</v>
      </c>
      <c r="I15" s="25">
        <f>VLOOKUP(E15,PAYSHEET!$B$5:$AF$70,31,0)</f>
        <v>24000</v>
      </c>
    </row>
    <row r="16" spans="4:9" x14ac:dyDescent="0.25">
      <c r="D16" s="27">
        <f t="shared" si="0"/>
        <v>10</v>
      </c>
      <c r="E16" s="26">
        <v>10974</v>
      </c>
      <c r="F16" s="26" t="s">
        <v>55</v>
      </c>
      <c r="G16" s="135" t="s">
        <v>375</v>
      </c>
      <c r="H16" s="26" t="s">
        <v>102</v>
      </c>
      <c r="I16" s="25">
        <f>VLOOKUP(E16,PAYSHEET!$B$5:$AF$70,31,0)</f>
        <v>22100</v>
      </c>
    </row>
    <row r="17" spans="4:9" x14ac:dyDescent="0.25">
      <c r="D17" s="27">
        <f t="shared" si="0"/>
        <v>11</v>
      </c>
      <c r="E17" s="26">
        <v>10983</v>
      </c>
      <c r="F17" s="26" t="s">
        <v>57</v>
      </c>
      <c r="G17" s="135" t="s">
        <v>376</v>
      </c>
      <c r="H17" s="26" t="s">
        <v>103</v>
      </c>
      <c r="I17" s="25">
        <f>VLOOKUP(E17,PAYSHEET!$B$5:$AF$70,31,0)</f>
        <v>4810</v>
      </c>
    </row>
    <row r="18" spans="4:9" x14ac:dyDescent="0.25">
      <c r="D18" s="27">
        <f t="shared" si="0"/>
        <v>12</v>
      </c>
      <c r="E18" s="26">
        <v>11032</v>
      </c>
      <c r="F18" s="26" t="s">
        <v>77</v>
      </c>
      <c r="G18" s="135" t="s">
        <v>217</v>
      </c>
      <c r="H18" s="26" t="s">
        <v>218</v>
      </c>
      <c r="I18" s="25">
        <f>VLOOKUP(E18,PAYSHEET!$B$5:$AF$70,31,0)</f>
        <v>22800</v>
      </c>
    </row>
    <row r="19" spans="4:9" x14ac:dyDescent="0.25">
      <c r="D19" s="27">
        <f t="shared" si="0"/>
        <v>13</v>
      </c>
      <c r="E19" s="26">
        <v>11158</v>
      </c>
      <c r="F19" s="26" t="s">
        <v>238</v>
      </c>
      <c r="G19" s="135" t="s">
        <v>244</v>
      </c>
      <c r="H19" s="26" t="s">
        <v>245</v>
      </c>
      <c r="I19" s="25">
        <f>VLOOKUP(E19,PAYSHEET!$B$5:$AF$70,31,0)</f>
        <v>21300</v>
      </c>
    </row>
    <row r="20" spans="4:9" x14ac:dyDescent="0.25">
      <c r="D20" s="27">
        <f t="shared" si="0"/>
        <v>14</v>
      </c>
      <c r="E20" s="26">
        <v>11203</v>
      </c>
      <c r="F20" s="26" t="s">
        <v>248</v>
      </c>
      <c r="G20" s="135" t="s">
        <v>252</v>
      </c>
      <c r="H20" s="26" t="s">
        <v>253</v>
      </c>
      <c r="I20" s="25">
        <f>VLOOKUP(E20,PAYSHEET!$B$5:$AF$70,31,0)</f>
        <v>15579</v>
      </c>
    </row>
    <row r="21" spans="4:9" x14ac:dyDescent="0.25">
      <c r="D21" s="27">
        <f t="shared" si="0"/>
        <v>15</v>
      </c>
      <c r="E21" s="26">
        <v>11214</v>
      </c>
      <c r="F21" s="26" t="s">
        <v>249</v>
      </c>
      <c r="G21" s="135" t="s">
        <v>258</v>
      </c>
      <c r="H21" s="26" t="s">
        <v>253</v>
      </c>
      <c r="I21" s="25">
        <f>VLOOKUP(E21,PAYSHEET!$B$5:$AF$70,31,0)</f>
        <v>22190</v>
      </c>
    </row>
    <row r="22" spans="4:9" x14ac:dyDescent="0.25">
      <c r="D22" s="27">
        <f t="shared" si="0"/>
        <v>16</v>
      </c>
      <c r="E22" s="26">
        <v>11273</v>
      </c>
      <c r="F22" s="26" t="s">
        <v>270</v>
      </c>
      <c r="G22" s="135" t="s">
        <v>271</v>
      </c>
      <c r="H22" s="26" t="s">
        <v>272</v>
      </c>
      <c r="I22" s="25">
        <f>VLOOKUP(E22,PAYSHEET!$B$5:$AF$70,31,0)</f>
        <v>21500</v>
      </c>
    </row>
    <row r="23" spans="4:9" x14ac:dyDescent="0.25">
      <c r="D23" s="27">
        <f t="shared" si="0"/>
        <v>17</v>
      </c>
      <c r="E23" s="26">
        <v>11276</v>
      </c>
      <c r="F23" s="26" t="s">
        <v>269</v>
      </c>
      <c r="G23" s="135" t="s">
        <v>273</v>
      </c>
      <c r="H23" s="26" t="s">
        <v>274</v>
      </c>
      <c r="I23" s="25">
        <f>VLOOKUP(E23,PAYSHEET!$B$5:$AF$70,31,0)</f>
        <v>22400</v>
      </c>
    </row>
    <row r="24" spans="4:9" x14ac:dyDescent="0.25">
      <c r="D24" s="27">
        <f t="shared" si="0"/>
        <v>18</v>
      </c>
      <c r="E24" s="26">
        <v>11311</v>
      </c>
      <c r="F24" s="26" t="s">
        <v>275</v>
      </c>
      <c r="G24" s="135" t="s">
        <v>289</v>
      </c>
      <c r="H24" s="26" t="s">
        <v>290</v>
      </c>
      <c r="I24" s="25">
        <f>VLOOKUP(E24,PAYSHEET!$B$5:$AF$70,31,0)</f>
        <v>20600</v>
      </c>
    </row>
    <row r="25" spans="4:9" x14ac:dyDescent="0.25">
      <c r="D25" s="27">
        <f t="shared" si="0"/>
        <v>19</v>
      </c>
      <c r="E25" s="26">
        <v>10989</v>
      </c>
      <c r="F25" s="26" t="s">
        <v>385</v>
      </c>
      <c r="G25" s="135" t="s">
        <v>280</v>
      </c>
      <c r="H25" s="26" t="s">
        <v>93</v>
      </c>
      <c r="I25" s="25">
        <f>VLOOKUP(E25,PAYSHEET!$B$5:$AF$70,31,0)</f>
        <v>27000</v>
      </c>
    </row>
    <row r="26" spans="4:9" x14ac:dyDescent="0.25">
      <c r="D26" s="27">
        <f t="shared" si="0"/>
        <v>20</v>
      </c>
      <c r="E26" s="26">
        <v>10982</v>
      </c>
      <c r="F26" s="26" t="s">
        <v>36</v>
      </c>
      <c r="G26" s="106" t="s">
        <v>282</v>
      </c>
      <c r="H26" s="16"/>
      <c r="I26" s="25">
        <f>VLOOKUP(E26,PAYSHEET!$B$5:$AF$70,31,0)</f>
        <v>25500</v>
      </c>
    </row>
    <row r="27" spans="4:9" x14ac:dyDescent="0.25">
      <c r="D27" s="27">
        <f t="shared" si="0"/>
        <v>21</v>
      </c>
      <c r="E27" s="26">
        <v>12076</v>
      </c>
      <c r="F27" s="26" t="s">
        <v>386</v>
      </c>
      <c r="G27" s="135" t="s">
        <v>397</v>
      </c>
      <c r="H27" s="26" t="s">
        <v>398</v>
      </c>
      <c r="I27" s="25">
        <f>VLOOKUP(E27,PAYSHEET!$B$5:$AF$70,31,0)</f>
        <v>25000</v>
      </c>
    </row>
    <row r="28" spans="4:9" x14ac:dyDescent="0.25">
      <c r="D28" s="27">
        <f t="shared" si="0"/>
        <v>22</v>
      </c>
      <c r="E28" s="26">
        <v>11376</v>
      </c>
      <c r="F28" s="26" t="s">
        <v>390</v>
      </c>
      <c r="G28" s="107" t="s">
        <v>400</v>
      </c>
      <c r="H28" s="16" t="s">
        <v>401</v>
      </c>
      <c r="I28" s="25">
        <f>VLOOKUP(E28,PAYSHEET!$B$5:$AF$70,31,0)</f>
        <v>22500</v>
      </c>
    </row>
    <row r="29" spans="4:9" x14ac:dyDescent="0.25">
      <c r="D29" s="27">
        <f t="shared" si="0"/>
        <v>23</v>
      </c>
      <c r="E29" s="26">
        <v>12035</v>
      </c>
      <c r="F29" s="26" t="s">
        <v>389</v>
      </c>
      <c r="G29" s="135" t="s">
        <v>402</v>
      </c>
      <c r="H29" s="26" t="s">
        <v>403</v>
      </c>
      <c r="I29" s="25">
        <f>VLOOKUP(E29,PAYSHEET!$B$5:$AF$70,31,0)</f>
        <v>21000</v>
      </c>
    </row>
    <row r="30" spans="4:9" x14ac:dyDescent="0.25">
      <c r="D30" s="27">
        <f t="shared" si="0"/>
        <v>24</v>
      </c>
      <c r="E30" s="26">
        <v>12141</v>
      </c>
      <c r="F30" s="26" t="s">
        <v>392</v>
      </c>
      <c r="G30" s="135" t="s">
        <v>404</v>
      </c>
      <c r="H30" s="26" t="s">
        <v>405</v>
      </c>
      <c r="I30" s="25">
        <f>VLOOKUP(E30,PAYSHEET!$B$5:$AF$70,31,0)</f>
        <v>19258</v>
      </c>
    </row>
    <row r="31" spans="4:9" x14ac:dyDescent="0.25">
      <c r="D31" s="27">
        <f t="shared" si="0"/>
        <v>25</v>
      </c>
      <c r="E31" s="26">
        <v>12057</v>
      </c>
      <c r="F31" s="26" t="s">
        <v>391</v>
      </c>
      <c r="G31" s="135" t="s">
        <v>406</v>
      </c>
      <c r="H31" s="26" t="s">
        <v>407</v>
      </c>
      <c r="I31" s="25">
        <f>VLOOKUP(E31,PAYSHEET!$B$5:$AF$70,31,0)</f>
        <v>22190</v>
      </c>
    </row>
    <row r="32" spans="4:9" x14ac:dyDescent="0.25">
      <c r="D32" s="27">
        <f t="shared" si="0"/>
        <v>26</v>
      </c>
      <c r="E32" s="26">
        <v>11572</v>
      </c>
      <c r="F32" s="26" t="s">
        <v>346</v>
      </c>
      <c r="G32" s="135" t="s">
        <v>347</v>
      </c>
      <c r="H32" s="26" t="s">
        <v>348</v>
      </c>
      <c r="I32" s="25">
        <f>VLOOKUP(E32,PAYSHEET!$B$5:$AF$70,31,0)</f>
        <v>22190</v>
      </c>
    </row>
    <row r="33" spans="4:10" x14ac:dyDescent="0.25">
      <c r="D33" s="27">
        <f t="shared" si="0"/>
        <v>27</v>
      </c>
      <c r="E33" s="26">
        <v>11439</v>
      </c>
      <c r="F33" s="26" t="s">
        <v>338</v>
      </c>
      <c r="G33" s="135" t="s">
        <v>341</v>
      </c>
      <c r="H33" s="26" t="s">
        <v>102</v>
      </c>
      <c r="I33" s="25">
        <f>VLOOKUP(E33,PAYSHEET!$B$5:$AF$70,31,0)</f>
        <v>10426</v>
      </c>
    </row>
    <row r="34" spans="4:10" x14ac:dyDescent="0.25">
      <c r="D34" s="27">
        <f t="shared" si="0"/>
        <v>28</v>
      </c>
      <c r="E34" s="26">
        <v>10013</v>
      </c>
      <c r="F34" s="26" t="s">
        <v>342</v>
      </c>
      <c r="G34" s="135" t="s">
        <v>349</v>
      </c>
      <c r="H34" s="26"/>
      <c r="I34" s="25">
        <f>VLOOKUP(E34,PAYSHEET!$B$5:$AF$70,31,0)</f>
        <v>26000</v>
      </c>
    </row>
    <row r="35" spans="4:10" x14ac:dyDescent="0.25">
      <c r="D35" s="27">
        <f t="shared" si="0"/>
        <v>29</v>
      </c>
      <c r="E35" s="26">
        <v>11377</v>
      </c>
      <c r="F35" s="26" t="s">
        <v>356</v>
      </c>
      <c r="G35" s="135" t="s">
        <v>357</v>
      </c>
      <c r="H35" s="26" t="s">
        <v>93</v>
      </c>
      <c r="I35" s="25">
        <f>VLOOKUP(E35,PAYSHEET!$B$5:$AF$70,31,0)</f>
        <v>17753</v>
      </c>
    </row>
    <row r="36" spans="4:10" x14ac:dyDescent="0.25">
      <c r="D36" s="27">
        <f t="shared" si="0"/>
        <v>30</v>
      </c>
      <c r="E36" s="26">
        <v>1</v>
      </c>
      <c r="F36" s="26" t="s">
        <v>416</v>
      </c>
      <c r="G36" s="135" t="s">
        <v>463</v>
      </c>
      <c r="H36" s="26" t="s">
        <v>464</v>
      </c>
      <c r="I36" s="25">
        <f>VLOOKUP(E36,PAYSHEET!$B$5:$AF$70,31,0)</f>
        <v>17192</v>
      </c>
      <c r="J36" s="165" t="s">
        <v>465</v>
      </c>
    </row>
    <row r="37" spans="4:10" x14ac:dyDescent="0.25">
      <c r="D37" s="27">
        <f t="shared" si="0"/>
        <v>31</v>
      </c>
      <c r="E37" s="26">
        <v>2</v>
      </c>
      <c r="F37" s="26" t="s">
        <v>417</v>
      </c>
      <c r="G37" s="135" t="s">
        <v>442</v>
      </c>
      <c r="H37" s="26" t="s">
        <v>443</v>
      </c>
      <c r="I37" s="25">
        <f>VLOOKUP(E37,PAYSHEET!$B$5:$AF$70,31,0)</f>
        <v>16572</v>
      </c>
    </row>
    <row r="38" spans="4:10" x14ac:dyDescent="0.25">
      <c r="D38" s="27">
        <f t="shared" si="0"/>
        <v>32</v>
      </c>
      <c r="E38" s="26">
        <v>3</v>
      </c>
      <c r="F38" s="26" t="s">
        <v>418</v>
      </c>
      <c r="G38" s="135" t="s">
        <v>444</v>
      </c>
      <c r="H38" s="26" t="s">
        <v>445</v>
      </c>
      <c r="I38" s="25">
        <f>VLOOKUP(E38,PAYSHEET!$B$5:$AF$70,31,0)</f>
        <v>17811</v>
      </c>
    </row>
    <row r="39" spans="4:10" x14ac:dyDescent="0.25">
      <c r="D39" s="27">
        <f t="shared" si="0"/>
        <v>33</v>
      </c>
      <c r="E39" s="26">
        <v>5</v>
      </c>
      <c r="F39" s="26" t="s">
        <v>420</v>
      </c>
      <c r="G39" s="135" t="s">
        <v>453</v>
      </c>
      <c r="H39" s="26" t="s">
        <v>454</v>
      </c>
      <c r="I39" s="25">
        <f>VLOOKUP(E39,PAYSHEET!$B$5:$AF$70,31,0)</f>
        <v>18095</v>
      </c>
    </row>
    <row r="40" spans="4:10" x14ac:dyDescent="0.25">
      <c r="D40" s="27">
        <f t="shared" si="0"/>
        <v>34</v>
      </c>
      <c r="E40" s="26">
        <v>6</v>
      </c>
      <c r="F40" s="26" t="s">
        <v>421</v>
      </c>
      <c r="G40" s="135" t="s">
        <v>446</v>
      </c>
      <c r="H40" s="26" t="s">
        <v>447</v>
      </c>
      <c r="I40" s="25">
        <f>VLOOKUP(E40,PAYSHEET!$B$5:$AF$70,31,0)</f>
        <v>14095</v>
      </c>
    </row>
    <row r="41" spans="4:10" x14ac:dyDescent="0.25">
      <c r="D41" s="27">
        <f t="shared" si="0"/>
        <v>35</v>
      </c>
      <c r="E41" s="26">
        <v>7</v>
      </c>
      <c r="F41" s="26" t="s">
        <v>422</v>
      </c>
      <c r="G41" s="135" t="s">
        <v>438</v>
      </c>
      <c r="H41" s="26" t="s">
        <v>439</v>
      </c>
      <c r="I41" s="25">
        <f>VLOOKUP(E41,PAYSHEET!$B$5:$AF$70,31,0)</f>
        <v>14714</v>
      </c>
    </row>
    <row r="42" spans="4:10" x14ac:dyDescent="0.25">
      <c r="D42" s="27">
        <f t="shared" si="0"/>
        <v>36</v>
      </c>
      <c r="E42" s="26">
        <v>8</v>
      </c>
      <c r="F42" s="26" t="s">
        <v>424</v>
      </c>
      <c r="G42" s="135" t="s">
        <v>448</v>
      </c>
      <c r="H42" s="26" t="s">
        <v>449</v>
      </c>
      <c r="I42" s="25">
        <f>VLOOKUP(E42,PAYSHEET!$B$5:$AF$70,31,0)</f>
        <v>6193</v>
      </c>
    </row>
    <row r="43" spans="4:10" x14ac:dyDescent="0.25">
      <c r="D43" s="27">
        <f t="shared" si="0"/>
        <v>37</v>
      </c>
      <c r="E43" s="26">
        <v>11</v>
      </c>
      <c r="F43" s="26" t="s">
        <v>432</v>
      </c>
      <c r="G43" s="135" t="s">
        <v>450</v>
      </c>
      <c r="H43" s="26" t="s">
        <v>451</v>
      </c>
      <c r="I43" s="25">
        <f>VLOOKUP(E43,PAYSHEET!$B$5:$AF$70,31,0)</f>
        <v>17643</v>
      </c>
    </row>
    <row r="44" spans="4:10" x14ac:dyDescent="0.25">
      <c r="D44" s="27">
        <f t="shared" si="0"/>
        <v>38</v>
      </c>
      <c r="E44" s="26">
        <v>11476</v>
      </c>
      <c r="F44" s="26" t="s">
        <v>337</v>
      </c>
      <c r="G44" s="135" t="s">
        <v>339</v>
      </c>
      <c r="H44" s="26" t="s">
        <v>340</v>
      </c>
      <c r="I44" s="25">
        <f>VLOOKUP(E44,PAYSHEET!$B$5:$AF$70,31,0)</f>
        <v>16061</v>
      </c>
    </row>
    <row r="45" spans="4:10" x14ac:dyDescent="0.25">
      <c r="D45" s="27">
        <f t="shared" si="0"/>
        <v>39</v>
      </c>
      <c r="E45" s="26">
        <v>11558</v>
      </c>
      <c r="F45" s="26" t="s">
        <v>426</v>
      </c>
      <c r="G45" s="135" t="s">
        <v>455</v>
      </c>
      <c r="H45" s="26" t="s">
        <v>456</v>
      </c>
      <c r="I45" s="25">
        <f>VLOOKUP(E45,PAYSHEET!$B$5:$AF$70,31,0)</f>
        <v>2052</v>
      </c>
    </row>
    <row r="46" spans="4:10" x14ac:dyDescent="0.25">
      <c r="D46" s="27">
        <f t="shared" si="0"/>
        <v>40</v>
      </c>
      <c r="E46" s="26">
        <v>9</v>
      </c>
      <c r="F46" s="26" t="s">
        <v>427</v>
      </c>
      <c r="G46" s="135" t="s">
        <v>440</v>
      </c>
      <c r="H46" s="26" t="s">
        <v>441</v>
      </c>
      <c r="I46" s="25">
        <f>VLOOKUP(E46,PAYSHEET!$B$5:$AF$70,31,0)</f>
        <v>15953</v>
      </c>
    </row>
    <row r="47" spans="4:10" x14ac:dyDescent="0.25">
      <c r="D47" s="27">
        <f t="shared" si="0"/>
        <v>41</v>
      </c>
      <c r="E47" s="26">
        <v>10</v>
      </c>
      <c r="F47" s="26" t="s">
        <v>428</v>
      </c>
      <c r="G47" s="135" t="s">
        <v>459</v>
      </c>
      <c r="H47" s="26" t="s">
        <v>460</v>
      </c>
      <c r="I47" s="25">
        <f>VLOOKUP(E47,PAYSHEET!$B$5:$AF$70,31,0)</f>
        <v>15333</v>
      </c>
    </row>
    <row r="48" spans="4:10" x14ac:dyDescent="0.25">
      <c r="D48" s="27">
        <f t="shared" si="0"/>
        <v>42</v>
      </c>
      <c r="E48" s="26">
        <v>12</v>
      </c>
      <c r="F48" s="26" t="s">
        <v>436</v>
      </c>
      <c r="G48" s="135" t="s">
        <v>452</v>
      </c>
      <c r="H48" s="26" t="s">
        <v>445</v>
      </c>
      <c r="I48" s="25">
        <f>VLOOKUP(E48,PAYSHEET!$B$5:$AF$70,31,0)</f>
        <v>6677</v>
      </c>
    </row>
    <row r="49" spans="4:12" x14ac:dyDescent="0.25">
      <c r="D49" s="27">
        <f t="shared" si="0"/>
        <v>43</v>
      </c>
      <c r="E49" s="26">
        <v>10985</v>
      </c>
      <c r="F49" s="26" t="s">
        <v>54</v>
      </c>
      <c r="G49" s="135" t="s">
        <v>457</v>
      </c>
      <c r="H49" s="26" t="s">
        <v>458</v>
      </c>
      <c r="I49" s="25">
        <f>VLOOKUP(E49,PAYSHEET!$B$5:$AF$70,31,0)</f>
        <v>2052</v>
      </c>
    </row>
    <row r="50" spans="4:12" x14ac:dyDescent="0.25">
      <c r="D50" s="27">
        <f t="shared" si="0"/>
        <v>44</v>
      </c>
      <c r="E50" s="26">
        <v>11640</v>
      </c>
      <c r="F50" s="26" t="s">
        <v>352</v>
      </c>
      <c r="G50" s="135" t="s">
        <v>354</v>
      </c>
      <c r="H50" s="26" t="s">
        <v>355</v>
      </c>
      <c r="I50" s="25">
        <f>VLOOKUP(E50,PAYSHEET!$B$5:$AF$70,31,0)</f>
        <v>21000</v>
      </c>
    </row>
    <row r="51" spans="4:12" x14ac:dyDescent="0.25">
      <c r="D51" s="27">
        <f t="shared" si="0"/>
        <v>45</v>
      </c>
      <c r="E51" s="26">
        <v>11365</v>
      </c>
      <c r="F51" s="26" t="s">
        <v>368</v>
      </c>
      <c r="G51" s="135" t="s">
        <v>369</v>
      </c>
      <c r="H51" s="26" t="s">
        <v>93</v>
      </c>
      <c r="I51" s="25">
        <f>VLOOKUP(E51,PAYSHEET!$B$5:$AF$70,31,0)</f>
        <v>25155</v>
      </c>
    </row>
    <row r="52" spans="4:12" x14ac:dyDescent="0.25">
      <c r="D52" s="27">
        <f t="shared" si="0"/>
        <v>46</v>
      </c>
      <c r="E52" s="26">
        <v>11862</v>
      </c>
      <c r="F52" s="26" t="s">
        <v>370</v>
      </c>
      <c r="G52" s="135" t="s">
        <v>371</v>
      </c>
      <c r="H52" s="26" t="s">
        <v>372</v>
      </c>
      <c r="I52" s="25">
        <f>VLOOKUP(E52,PAYSHEET!$B$5:$AF$70,31,0)</f>
        <v>19542</v>
      </c>
      <c r="L52" s="28"/>
    </row>
    <row r="53" spans="4:12" x14ac:dyDescent="0.25">
      <c r="D53" s="27">
        <f t="shared" si="0"/>
        <v>47</v>
      </c>
      <c r="E53" s="26">
        <v>11749</v>
      </c>
      <c r="F53" s="26" t="s">
        <v>365</v>
      </c>
      <c r="G53" s="135" t="s">
        <v>366</v>
      </c>
      <c r="H53" s="26" t="s">
        <v>367</v>
      </c>
      <c r="I53" s="25">
        <f>VLOOKUP(E53,PAYSHEET!$B$5:$AF$70,31,0)</f>
        <v>20500</v>
      </c>
      <c r="L53" s="28"/>
    </row>
    <row r="54" spans="4:12" x14ac:dyDescent="0.25">
      <c r="D54" s="27">
        <f t="shared" si="0"/>
        <v>48</v>
      </c>
      <c r="E54" s="26">
        <v>11551</v>
      </c>
      <c r="F54" s="26" t="s">
        <v>344</v>
      </c>
      <c r="G54" s="135" t="s">
        <v>350</v>
      </c>
      <c r="H54" s="26" t="s">
        <v>351</v>
      </c>
      <c r="I54" s="25">
        <f>VLOOKUP(E54,PAYSHEET!$B$5:$AF$70,31,0)</f>
        <v>20400</v>
      </c>
    </row>
    <row r="55" spans="4:12" x14ac:dyDescent="0.25">
      <c r="D55" s="27">
        <f t="shared" si="0"/>
        <v>49</v>
      </c>
      <c r="E55" s="26">
        <v>11907</v>
      </c>
      <c r="F55" s="26" t="s">
        <v>377</v>
      </c>
      <c r="G55" s="135" t="s">
        <v>378</v>
      </c>
      <c r="H55" s="26" t="s">
        <v>379</v>
      </c>
      <c r="I55" s="25">
        <f>VLOOKUP(E55,PAYSHEET!$B$5:$AF$70,31,0)</f>
        <v>19300</v>
      </c>
      <c r="J55" s="28"/>
      <c r="L55" s="28"/>
    </row>
    <row r="56" spans="4:12" x14ac:dyDescent="0.25">
      <c r="D56" s="27">
        <f>D69+1</f>
        <v>2</v>
      </c>
      <c r="E56" s="26">
        <v>4</v>
      </c>
      <c r="F56" s="26" t="s">
        <v>419</v>
      </c>
      <c r="G56" s="135" t="s">
        <v>369</v>
      </c>
      <c r="H56" s="26" t="s">
        <v>93</v>
      </c>
      <c r="I56" s="25">
        <f>VLOOKUP(E56,PAYSHEET!$B$5:$AF$70,31,0)</f>
        <v>6193</v>
      </c>
      <c r="J56" s="21" t="s">
        <v>465</v>
      </c>
    </row>
    <row r="57" spans="4:12" x14ac:dyDescent="0.25">
      <c r="D57" s="27">
        <f>D55+1</f>
        <v>50</v>
      </c>
      <c r="E57" s="26">
        <v>11954</v>
      </c>
      <c r="F57" s="26" t="s">
        <v>380</v>
      </c>
      <c r="G57" s="135" t="s">
        <v>382</v>
      </c>
      <c r="H57" s="26" t="s">
        <v>383</v>
      </c>
      <c r="I57" s="25">
        <f>VLOOKUP(E57,PAYSHEET!$B$5:$AF$70,31,0)</f>
        <v>19349</v>
      </c>
      <c r="J57" s="28"/>
      <c r="L57" s="28"/>
    </row>
    <row r="58" spans="4:12" x14ac:dyDescent="0.25">
      <c r="D58" s="27">
        <f t="shared" si="0"/>
        <v>51</v>
      </c>
      <c r="E58" s="26">
        <v>10990</v>
      </c>
      <c r="F58" s="26" t="s">
        <v>39</v>
      </c>
      <c r="G58" s="135" t="s">
        <v>284</v>
      </c>
      <c r="H58" s="26" t="s">
        <v>96</v>
      </c>
      <c r="I58" s="25">
        <f>VLOOKUP(E58,PAYSHEET!$B$5:$AF$70,31,0)</f>
        <v>1400</v>
      </c>
      <c r="J58" s="28"/>
      <c r="L58" s="28"/>
    </row>
    <row r="59" spans="4:12" x14ac:dyDescent="0.25">
      <c r="G59" s="21"/>
      <c r="I59" s="124">
        <f>SUM(I7:I58)</f>
        <v>949282</v>
      </c>
      <c r="K59" s="21">
        <f>I59</f>
        <v>949282</v>
      </c>
      <c r="L59" s="28"/>
    </row>
    <row r="60" spans="4:12" x14ac:dyDescent="0.25">
      <c r="G60" s="21"/>
      <c r="I60" s="126"/>
      <c r="J60" s="28"/>
      <c r="K60" s="28">
        <f>PAYSHEET!AF71</f>
        <v>953579</v>
      </c>
      <c r="L60" s="28"/>
    </row>
    <row r="61" spans="4:12" x14ac:dyDescent="0.25">
      <c r="I61" s="126"/>
      <c r="K61" s="28">
        <f>K59-K60</f>
        <v>-4297</v>
      </c>
    </row>
    <row r="62" spans="4:12" x14ac:dyDescent="0.25">
      <c r="D62" s="165" t="s">
        <v>87</v>
      </c>
      <c r="E62" s="165"/>
      <c r="F62" s="165" t="s">
        <v>88</v>
      </c>
      <c r="G62" s="166" t="s">
        <v>89</v>
      </c>
      <c r="H62" s="166"/>
      <c r="I62" s="165" t="s">
        <v>90</v>
      </c>
    </row>
    <row r="65" spans="4:9" ht="16.5" thickBot="1" x14ac:dyDescent="0.3"/>
    <row r="66" spans="4:9" ht="16.5" thickBot="1" x14ac:dyDescent="0.3">
      <c r="D66" s="219" t="s">
        <v>462</v>
      </c>
      <c r="E66" s="220"/>
      <c r="F66" s="220"/>
      <c r="G66" s="220"/>
      <c r="H66" s="220"/>
      <c r="I66" s="221"/>
    </row>
    <row r="67" spans="4:9" ht="16.5" thickBot="1" x14ac:dyDescent="0.3"/>
    <row r="68" spans="4:9" ht="16.5" thickBot="1" x14ac:dyDescent="0.3">
      <c r="D68" s="162" t="s">
        <v>80</v>
      </c>
      <c r="E68" s="163" t="s">
        <v>81</v>
      </c>
      <c r="F68" s="163" t="s">
        <v>82</v>
      </c>
      <c r="G68" s="163" t="s">
        <v>83</v>
      </c>
      <c r="H68" s="163" t="s">
        <v>84</v>
      </c>
      <c r="I68" s="164" t="s">
        <v>85</v>
      </c>
    </row>
    <row r="69" spans="4:9" x14ac:dyDescent="0.25">
      <c r="D69" s="27">
        <v>1</v>
      </c>
      <c r="E69" s="26">
        <v>11958</v>
      </c>
      <c r="F69" s="26" t="s">
        <v>388</v>
      </c>
      <c r="G69" s="106">
        <v>2546059375</v>
      </c>
      <c r="H69" s="16" t="s">
        <v>399</v>
      </c>
      <c r="I69" s="25">
        <f>VLOOKUP(E69,PAYSHEET!$B$5:$AF$70,31,0)</f>
        <v>4297</v>
      </c>
    </row>
    <row r="70" spans="4:9" x14ac:dyDescent="0.25">
      <c r="I70" s="132">
        <f>SUM(I69:I69)</f>
        <v>4297</v>
      </c>
    </row>
    <row r="76" spans="4:9" x14ac:dyDescent="0.25">
      <c r="D76" s="165" t="s">
        <v>87</v>
      </c>
      <c r="E76" s="165"/>
      <c r="F76" s="165" t="s">
        <v>88</v>
      </c>
      <c r="G76" s="166" t="s">
        <v>89</v>
      </c>
      <c r="H76" s="166"/>
      <c r="I76" s="165" t="s">
        <v>90</v>
      </c>
    </row>
  </sheetData>
  <autoFilter ref="D6:I6" xr:uid="{6E3E3C5A-A892-4253-8EC4-8D8F0082B5FE}"/>
  <mergeCells count="2">
    <mergeCell ref="D4:I4"/>
    <mergeCell ref="D66:I66"/>
  </mergeCells>
  <conditionalFormatting sqref="E69 E7:E58">
    <cfRule type="duplicateValues" dxfId="6" priority="286"/>
  </conditionalFormatting>
  <conditionalFormatting sqref="F69 F7:F58">
    <cfRule type="duplicateValues" dxfId="5" priority="287"/>
  </conditionalFormatting>
  <pageMargins left="0.7" right="0.7" top="0.75" bottom="0.75" header="0.3" footer="0.3"/>
  <pageSetup paperSize="9" scale="47"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A4EE-85C6-49D9-8AC2-FFA70C36416D}">
  <sheetPr>
    <pageSetUpPr fitToPage="1"/>
  </sheetPr>
  <dimension ref="C2:P88"/>
  <sheetViews>
    <sheetView showGridLines="0" zoomScaleNormal="100" workbookViewId="0">
      <selection activeCell="E32" sqref="E32"/>
    </sheetView>
  </sheetViews>
  <sheetFormatPr defaultRowHeight="15" x14ac:dyDescent="0.25"/>
  <cols>
    <col min="3" max="3" width="7.140625" customWidth="1"/>
    <col min="4" max="4" width="14.7109375" customWidth="1"/>
    <col min="5" max="5" width="39.28515625" bestFit="1" customWidth="1"/>
    <col min="6" max="6" width="15.5703125" customWidth="1"/>
    <col min="7" max="7" width="18.85546875" bestFit="1" customWidth="1"/>
    <col min="8" max="8" width="15.42578125" customWidth="1"/>
    <col min="9" max="9" width="10.140625" bestFit="1" customWidth="1"/>
    <col min="10" max="10" width="12.140625" customWidth="1"/>
    <col min="11" max="11" width="10.140625" customWidth="1"/>
    <col min="12" max="12" width="11.7109375" customWidth="1"/>
    <col min="13" max="13" width="12.7109375" customWidth="1"/>
    <col min="14" max="14" width="14.42578125" bestFit="1" customWidth="1"/>
    <col min="15" max="15" width="11.85546875" customWidth="1"/>
    <col min="16" max="16" width="12.28515625" style="10" customWidth="1"/>
  </cols>
  <sheetData>
    <row r="2" spans="3:16" ht="15.75" thickBot="1" x14ac:dyDescent="0.3"/>
    <row r="3" spans="3:16" ht="21" thickBot="1" x14ac:dyDescent="0.35">
      <c r="C3" s="357" t="s">
        <v>330</v>
      </c>
      <c r="D3" s="358"/>
      <c r="E3" s="358"/>
      <c r="F3" s="358"/>
      <c r="G3" s="358"/>
      <c r="H3" s="358"/>
      <c r="I3" s="358"/>
      <c r="J3" s="358"/>
      <c r="K3" s="358"/>
      <c r="L3" s="358"/>
      <c r="M3" s="358"/>
      <c r="N3" s="358"/>
      <c r="O3" s="358"/>
      <c r="P3" s="359"/>
    </row>
    <row r="4" spans="3:16" ht="38.25" x14ac:dyDescent="0.25">
      <c r="C4" s="31" t="s">
        <v>119</v>
      </c>
      <c r="D4" s="31" t="s">
        <v>120</v>
      </c>
      <c r="E4" s="32" t="s">
        <v>121</v>
      </c>
      <c r="F4" s="33" t="s">
        <v>122</v>
      </c>
      <c r="G4" s="33" t="s">
        <v>132</v>
      </c>
      <c r="H4" s="33" t="s">
        <v>123</v>
      </c>
      <c r="I4" s="33" t="s">
        <v>124</v>
      </c>
      <c r="J4" s="34" t="s">
        <v>125</v>
      </c>
      <c r="K4" s="34" t="s">
        <v>126</v>
      </c>
      <c r="L4" s="34" t="s">
        <v>127</v>
      </c>
      <c r="M4" s="34" t="s">
        <v>128</v>
      </c>
      <c r="N4" s="34" t="s">
        <v>129</v>
      </c>
      <c r="O4" s="34" t="s">
        <v>130</v>
      </c>
      <c r="P4" s="116" t="s">
        <v>131</v>
      </c>
    </row>
    <row r="5" spans="3:16" ht="15.75" x14ac:dyDescent="0.25">
      <c r="C5" s="15">
        <v>1</v>
      </c>
      <c r="D5" s="26">
        <v>11029</v>
      </c>
      <c r="E5" s="26" t="s">
        <v>25</v>
      </c>
      <c r="F5" s="29">
        <f>VLOOKUP(D5,'[1]CHAN PF'!$A$2:$B$536,2,0)</f>
        <v>100776108439</v>
      </c>
      <c r="G5" s="101" t="s">
        <v>134</v>
      </c>
      <c r="H5" s="15">
        <f>ROUND(N5*100/3.25,0)</f>
        <v>1107692</v>
      </c>
      <c r="I5" s="15">
        <f>ROUND(J5*100/12,0)</f>
        <v>0</v>
      </c>
      <c r="J5" s="29">
        <f>VLOOKUP(D5,PAYSHEET!B$5:AA$84,24,0)</f>
        <v>0</v>
      </c>
      <c r="K5" s="29">
        <f>I5*13%</f>
        <v>0</v>
      </c>
      <c r="L5" s="29">
        <f>J5+K5</f>
        <v>0</v>
      </c>
      <c r="M5" s="29">
        <f>ROUND(VLOOKUP(D5,PAYSHEET!B$5:AB$70,25,0),0)</f>
        <v>38000</v>
      </c>
      <c r="N5" s="29">
        <f>VLOOKUP(D5,PAYSHEET!B$5:AH$70,31,0)</f>
        <v>36000</v>
      </c>
      <c r="O5" s="29">
        <f>M5+N5</f>
        <v>74000</v>
      </c>
      <c r="P5" s="29">
        <f>VLOOKUP(D5,PAYSHEET!B$5:AC$70,26,0)</f>
        <v>1800</v>
      </c>
    </row>
    <row r="6" spans="3:16" ht="15.75" x14ac:dyDescent="0.25">
      <c r="C6" s="15">
        <f>C5+1</f>
        <v>2</v>
      </c>
      <c r="D6" s="16">
        <v>10984</v>
      </c>
      <c r="E6" s="16" t="s">
        <v>109</v>
      </c>
      <c r="F6" s="29">
        <f>VLOOKUP(D6,'[1]CHAN PF'!$A$2:$B$536,2,0)</f>
        <v>101433827014</v>
      </c>
      <c r="G6" s="101" t="s">
        <v>134</v>
      </c>
      <c r="H6" s="15">
        <f t="shared" ref="H6:H27" si="0">ROUND(N6*100/3.25,0)</f>
        <v>803785</v>
      </c>
      <c r="I6" s="15">
        <f t="shared" ref="I6:I27" si="1">ROUND(J6*100/12,0)</f>
        <v>0</v>
      </c>
      <c r="J6" s="29">
        <f>VLOOKUP(D6,PAYSHEET!B$5:AA$84,24,0)</f>
        <v>0</v>
      </c>
      <c r="K6" s="29">
        <f t="shared" ref="K6:K30" si="2">I6*13%</f>
        <v>0</v>
      </c>
      <c r="L6" s="29">
        <f t="shared" ref="L6:L30" si="3">J6+K6</f>
        <v>0</v>
      </c>
      <c r="M6" s="29">
        <f>ROUND(VLOOKUP(D6,PAYSHEET!B$5:AB$70,25,0),0)</f>
        <v>28064</v>
      </c>
      <c r="N6" s="29">
        <f>VLOOKUP(D6,PAYSHEET!B$5:AH$70,31,0)</f>
        <v>26123</v>
      </c>
      <c r="O6" s="29">
        <f t="shared" ref="O6:O30" si="4">M6+N6</f>
        <v>54187</v>
      </c>
      <c r="P6" s="29">
        <f>VLOOKUP(D6,PAYSHEET!B$5:AC$70,26,0)</f>
        <v>1741.9354838709678</v>
      </c>
    </row>
    <row r="7" spans="3:16" ht="15.75" x14ac:dyDescent="0.25">
      <c r="C7" s="15">
        <f t="shared" ref="C7:C50" si="5">C6+1</f>
        <v>3</v>
      </c>
      <c r="D7" s="16">
        <v>10976</v>
      </c>
      <c r="E7" s="16" t="s">
        <v>27</v>
      </c>
      <c r="F7" s="29">
        <f>VLOOKUP(D7,'[1]CHAN PF'!$A$2:$B$536,2,0)</f>
        <v>101132041760</v>
      </c>
      <c r="G7" s="101" t="s">
        <v>134</v>
      </c>
      <c r="H7" s="15">
        <f t="shared" si="0"/>
        <v>830769</v>
      </c>
      <c r="I7" s="15">
        <f t="shared" si="1"/>
        <v>0</v>
      </c>
      <c r="J7" s="29">
        <f>VLOOKUP(D7,PAYSHEET!B$5:AA$84,24,0)</f>
        <v>0</v>
      </c>
      <c r="K7" s="29">
        <f t="shared" si="2"/>
        <v>0</v>
      </c>
      <c r="L7" s="29">
        <f t="shared" si="3"/>
        <v>0</v>
      </c>
      <c r="M7" s="29">
        <f>ROUND(VLOOKUP(D7,PAYSHEET!B$5:AB$70,25,0),0)</f>
        <v>29000</v>
      </c>
      <c r="N7" s="29">
        <f>VLOOKUP(D7,PAYSHEET!B$5:AH$70,31,0)</f>
        <v>27000</v>
      </c>
      <c r="O7" s="29">
        <f t="shared" si="4"/>
        <v>56000</v>
      </c>
      <c r="P7" s="29">
        <f>VLOOKUP(D7,PAYSHEET!B$5:AC$70,26,0)</f>
        <v>1800</v>
      </c>
    </row>
    <row r="8" spans="3:16" ht="15.75" x14ac:dyDescent="0.25">
      <c r="C8" s="15">
        <f t="shared" si="5"/>
        <v>4</v>
      </c>
      <c r="D8" s="16">
        <v>10986</v>
      </c>
      <c r="E8" s="16" t="s">
        <v>29</v>
      </c>
      <c r="F8" s="29">
        <f>VLOOKUP(D8,'[1]CHAN PF'!$A$2:$B$536,2,0)</f>
        <v>101303714313</v>
      </c>
      <c r="G8" s="101" t="s">
        <v>134</v>
      </c>
      <c r="H8" s="15">
        <f t="shared" si="0"/>
        <v>430123</v>
      </c>
      <c r="I8" s="15">
        <f t="shared" si="1"/>
        <v>0</v>
      </c>
      <c r="J8" s="29">
        <f>VLOOKUP(D8,PAYSHEET!B$5:AA$84,24,0)</f>
        <v>0</v>
      </c>
      <c r="K8" s="29">
        <f t="shared" si="2"/>
        <v>0</v>
      </c>
      <c r="L8" s="29">
        <f t="shared" si="3"/>
        <v>0</v>
      </c>
      <c r="M8" s="29">
        <f>ROUND(VLOOKUP(D8,PAYSHEET!B$5:AB$70,25,0),0)</f>
        <v>15000</v>
      </c>
      <c r="N8" s="29">
        <f>VLOOKUP(D8,PAYSHEET!B$5:AH$70,31,0)</f>
        <v>13979</v>
      </c>
      <c r="O8" s="29">
        <f t="shared" si="4"/>
        <v>28979</v>
      </c>
      <c r="P8" s="29">
        <f>VLOOKUP(D8,PAYSHEET!B$5:AC$70,26,0)</f>
        <v>870.9677419354839</v>
      </c>
    </row>
    <row r="9" spans="3:16" ht="15.75" x14ac:dyDescent="0.25">
      <c r="C9" s="15">
        <f t="shared" si="5"/>
        <v>5</v>
      </c>
      <c r="D9" s="16">
        <v>10989</v>
      </c>
      <c r="E9" s="16" t="s">
        <v>30</v>
      </c>
      <c r="F9" s="29">
        <f>VLOOKUP(D9,'[1]CHAN PF'!$A$2:$B$536,2,0)</f>
        <v>101366451264</v>
      </c>
      <c r="G9" s="101" t="s">
        <v>134</v>
      </c>
      <c r="H9" s="15">
        <f t="shared" si="0"/>
        <v>830769</v>
      </c>
      <c r="I9" s="15">
        <f t="shared" si="1"/>
        <v>0</v>
      </c>
      <c r="J9" s="29">
        <f>VLOOKUP(D9,PAYSHEET!B$5:AA$84,24,0)</f>
        <v>0</v>
      </c>
      <c r="K9" s="29">
        <f t="shared" si="2"/>
        <v>0</v>
      </c>
      <c r="L9" s="29">
        <f t="shared" si="3"/>
        <v>0</v>
      </c>
      <c r="M9" s="29">
        <f>ROUND(VLOOKUP(D9,PAYSHEET!B$5:AB$70,25,0),0)</f>
        <v>29000</v>
      </c>
      <c r="N9" s="29">
        <f>VLOOKUP(D9,PAYSHEET!B$5:AH$70,31,0)</f>
        <v>27000</v>
      </c>
      <c r="O9" s="29">
        <f t="shared" si="4"/>
        <v>56000</v>
      </c>
      <c r="P9" s="29">
        <f>VLOOKUP(D9,PAYSHEET!B$5:AC$70,26,0)</f>
        <v>1800</v>
      </c>
    </row>
    <row r="10" spans="3:16" ht="15.75" x14ac:dyDescent="0.25">
      <c r="C10" s="15">
        <f t="shared" si="5"/>
        <v>6</v>
      </c>
      <c r="D10" s="16">
        <v>10988</v>
      </c>
      <c r="E10" s="16" t="s">
        <v>31</v>
      </c>
      <c r="F10" s="29">
        <f>VLOOKUP(D10,'[1]CHAN PF'!$A$2:$B$536,2,0)</f>
        <v>101419332060</v>
      </c>
      <c r="G10" s="101" t="s">
        <v>134</v>
      </c>
      <c r="H10" s="15" t="e">
        <f t="shared" si="0"/>
        <v>#N/A</v>
      </c>
      <c r="I10" s="15" t="e">
        <f t="shared" si="1"/>
        <v>#N/A</v>
      </c>
      <c r="J10" s="29" t="e">
        <f>VLOOKUP(D10,PAYSHEET!B$5:AA$84,24,0)</f>
        <v>#N/A</v>
      </c>
      <c r="K10" s="29" t="e">
        <f t="shared" si="2"/>
        <v>#N/A</v>
      </c>
      <c r="L10" s="29" t="e">
        <f t="shared" si="3"/>
        <v>#N/A</v>
      </c>
      <c r="M10" s="29" t="e">
        <f>ROUND(VLOOKUP(D10,PAYSHEET!B$5:AB$70,25,0),0)</f>
        <v>#N/A</v>
      </c>
      <c r="N10" s="29" t="e">
        <f>VLOOKUP(D10,PAYSHEET!B$5:AH$70,31,0)</f>
        <v>#N/A</v>
      </c>
      <c r="O10" s="29" t="e">
        <f t="shared" si="4"/>
        <v>#N/A</v>
      </c>
      <c r="P10" s="29" t="e">
        <f>VLOOKUP(D10,PAYSHEET!B$5:AC$70,26,0)</f>
        <v>#N/A</v>
      </c>
    </row>
    <row r="11" spans="3:16" ht="15.75" x14ac:dyDescent="0.25">
      <c r="C11" s="15">
        <f t="shared" si="5"/>
        <v>7</v>
      </c>
      <c r="D11" s="16">
        <v>10979</v>
      </c>
      <c r="E11" s="16" t="s">
        <v>106</v>
      </c>
      <c r="F11" s="29">
        <f>VLOOKUP(D11,'[1]CHAN PF'!$A$2:$B$536,2,0)</f>
        <v>101460853033</v>
      </c>
      <c r="G11" s="101" t="s">
        <v>134</v>
      </c>
      <c r="H11" s="15" t="e">
        <f t="shared" si="0"/>
        <v>#N/A</v>
      </c>
      <c r="I11" s="15" t="e">
        <f t="shared" si="1"/>
        <v>#N/A</v>
      </c>
      <c r="J11" s="29" t="e">
        <f>VLOOKUP(D11,PAYSHEET!B$5:AA$84,24,0)</f>
        <v>#N/A</v>
      </c>
      <c r="K11" s="29" t="e">
        <f t="shared" si="2"/>
        <v>#N/A</v>
      </c>
      <c r="L11" s="29" t="e">
        <f t="shared" si="3"/>
        <v>#N/A</v>
      </c>
      <c r="M11" s="29" t="e">
        <f>ROUND(VLOOKUP(D11,PAYSHEET!B$5:AB$70,25,0),0)</f>
        <v>#N/A</v>
      </c>
      <c r="N11" s="29" t="e">
        <f>VLOOKUP(D11,PAYSHEET!B$5:AH$70,31,0)</f>
        <v>#N/A</v>
      </c>
      <c r="O11" s="29" t="e">
        <f t="shared" si="4"/>
        <v>#N/A</v>
      </c>
      <c r="P11" s="29" t="e">
        <f>VLOOKUP(D11,PAYSHEET!B$5:AC$70,26,0)</f>
        <v>#N/A</v>
      </c>
    </row>
    <row r="12" spans="3:16" ht="15.75" x14ac:dyDescent="0.25">
      <c r="C12" s="15">
        <f t="shared" si="5"/>
        <v>8</v>
      </c>
      <c r="D12" s="16">
        <v>10982</v>
      </c>
      <c r="E12" s="16" t="s">
        <v>36</v>
      </c>
      <c r="F12" s="29">
        <f>VLOOKUP(D12,'[1]CHAN PF'!$A$2:$B$536,2,0)</f>
        <v>101296008357</v>
      </c>
      <c r="G12" s="101" t="s">
        <v>134</v>
      </c>
      <c r="H12" s="15">
        <f t="shared" si="0"/>
        <v>784615</v>
      </c>
      <c r="I12" s="15">
        <f t="shared" si="1"/>
        <v>0</v>
      </c>
      <c r="J12" s="29">
        <f>VLOOKUP(D12,PAYSHEET!B$5:AA$84,24,0)</f>
        <v>0</v>
      </c>
      <c r="K12" s="29">
        <f t="shared" si="2"/>
        <v>0</v>
      </c>
      <c r="L12" s="29">
        <f t="shared" si="3"/>
        <v>0</v>
      </c>
      <c r="M12" s="29">
        <f>ROUND(VLOOKUP(D12,PAYSHEET!B$5:AB$70,25,0),0)</f>
        <v>27500</v>
      </c>
      <c r="N12" s="29">
        <f>VLOOKUP(D12,PAYSHEET!B$5:AH$70,31,0)</f>
        <v>25500</v>
      </c>
      <c r="O12" s="29">
        <f t="shared" si="4"/>
        <v>53000</v>
      </c>
      <c r="P12" s="29">
        <f>VLOOKUP(D12,PAYSHEET!B$5:AC$70,26,0)</f>
        <v>1800</v>
      </c>
    </row>
    <row r="13" spans="3:16" ht="15.75" x14ac:dyDescent="0.25">
      <c r="C13" s="15">
        <f t="shared" si="5"/>
        <v>9</v>
      </c>
      <c r="D13" s="16">
        <v>11022</v>
      </c>
      <c r="E13" s="16" t="s">
        <v>105</v>
      </c>
      <c r="F13" s="29">
        <f>VLOOKUP(D13,'[1]CHAN PF'!$A$2:$B$536,2,0)</f>
        <v>101467151132</v>
      </c>
      <c r="G13" s="101" t="s">
        <v>134</v>
      </c>
      <c r="H13" s="15" t="e">
        <f t="shared" si="0"/>
        <v>#N/A</v>
      </c>
      <c r="I13" s="15" t="e">
        <f t="shared" si="1"/>
        <v>#N/A</v>
      </c>
      <c r="J13" s="29" t="e">
        <f>VLOOKUP(D13,PAYSHEET!B$5:AA$84,24,0)</f>
        <v>#N/A</v>
      </c>
      <c r="K13" s="29" t="e">
        <f t="shared" si="2"/>
        <v>#N/A</v>
      </c>
      <c r="L13" s="29" t="e">
        <f t="shared" si="3"/>
        <v>#N/A</v>
      </c>
      <c r="M13" s="29" t="e">
        <f>ROUND(VLOOKUP(D13,PAYSHEET!B$5:AB$70,25,0),0)</f>
        <v>#N/A</v>
      </c>
      <c r="N13" s="29" t="e">
        <f>VLOOKUP(D13,PAYSHEET!B$5:AH$70,31,0)</f>
        <v>#N/A</v>
      </c>
      <c r="O13" s="29" t="e">
        <f t="shared" si="4"/>
        <v>#N/A</v>
      </c>
      <c r="P13" s="29" t="e">
        <f>VLOOKUP(D13,PAYSHEET!B$5:AC$70,26,0)</f>
        <v>#N/A</v>
      </c>
    </row>
    <row r="14" spans="3:16" ht="15.75" x14ac:dyDescent="0.25">
      <c r="C14" s="15">
        <f t="shared" si="5"/>
        <v>10</v>
      </c>
      <c r="D14" s="16">
        <v>10990</v>
      </c>
      <c r="E14" s="16" t="s">
        <v>39</v>
      </c>
      <c r="F14" s="29">
        <f>VLOOKUP(D14,'[1]CHAN PF'!$A$2:$B$536,2,0)</f>
        <v>101881581733</v>
      </c>
      <c r="G14" s="101" t="s">
        <v>134</v>
      </c>
      <c r="H14" s="15">
        <f t="shared" si="0"/>
        <v>43077</v>
      </c>
      <c r="I14" s="15">
        <f t="shared" si="1"/>
        <v>0</v>
      </c>
      <c r="J14" s="29">
        <f>VLOOKUP(D14,PAYSHEET!B$5:AA$84,24,0)</f>
        <v>0</v>
      </c>
      <c r="K14" s="29">
        <f t="shared" si="2"/>
        <v>0</v>
      </c>
      <c r="L14" s="29">
        <f t="shared" si="3"/>
        <v>0</v>
      </c>
      <c r="M14" s="29">
        <f>ROUND(VLOOKUP(D14,PAYSHEET!B$5:AB$70,25,0),0)</f>
        <v>1516</v>
      </c>
      <c r="N14" s="29">
        <f>VLOOKUP(D14,PAYSHEET!B$5:AH$70,31,0)</f>
        <v>1400</v>
      </c>
      <c r="O14" s="29">
        <f t="shared" si="4"/>
        <v>2916</v>
      </c>
      <c r="P14" s="29">
        <f>VLOOKUP(D14,PAYSHEET!B$5:AC$70,26,0)</f>
        <v>116.12903225806451</v>
      </c>
    </row>
    <row r="15" spans="3:16" ht="15.75" x14ac:dyDescent="0.25">
      <c r="C15" s="15">
        <f t="shared" si="5"/>
        <v>11</v>
      </c>
      <c r="D15" s="16">
        <v>10981</v>
      </c>
      <c r="E15" s="16" t="s">
        <v>40</v>
      </c>
      <c r="F15" s="29">
        <f>VLOOKUP(D15,'[1]CHAN PF'!$A$2:$B$536,2,0)</f>
        <v>101730007908</v>
      </c>
      <c r="G15" s="101" t="s">
        <v>134</v>
      </c>
      <c r="H15" s="15">
        <f t="shared" si="0"/>
        <v>632862</v>
      </c>
      <c r="I15" s="15">
        <f t="shared" si="1"/>
        <v>0</v>
      </c>
      <c r="J15" s="29">
        <f>VLOOKUP(D15,PAYSHEET!B$5:AA$84,24,0)</f>
        <v>0</v>
      </c>
      <c r="K15" s="29">
        <f t="shared" si="2"/>
        <v>0</v>
      </c>
      <c r="L15" s="29">
        <f t="shared" si="3"/>
        <v>0</v>
      </c>
      <c r="M15" s="29">
        <f>ROUND(VLOOKUP(D15,PAYSHEET!B$5:AB$70,25,0),0)</f>
        <v>22452</v>
      </c>
      <c r="N15" s="29">
        <f>VLOOKUP(D15,PAYSHEET!B$5:AH$70,31,0)</f>
        <v>20568</v>
      </c>
      <c r="O15" s="29">
        <f t="shared" si="4"/>
        <v>43020</v>
      </c>
      <c r="P15" s="29">
        <f>VLOOKUP(D15,PAYSHEET!B$5:AC$70,26,0)</f>
        <v>1683.8709677419354</v>
      </c>
    </row>
    <row r="16" spans="3:16" ht="15.75" x14ac:dyDescent="0.25">
      <c r="C16" s="15">
        <f t="shared" si="5"/>
        <v>12</v>
      </c>
      <c r="D16" s="16">
        <v>11000</v>
      </c>
      <c r="E16" s="16" t="s">
        <v>44</v>
      </c>
      <c r="F16" s="29">
        <f>VLOOKUP(D16,'[1]CHAN PF'!$A$2:$B$536,2,0)</f>
        <v>101617561953</v>
      </c>
      <c r="G16" s="101" t="s">
        <v>134</v>
      </c>
      <c r="H16" s="15">
        <f t="shared" si="0"/>
        <v>798769</v>
      </c>
      <c r="I16" s="15">
        <f t="shared" si="1"/>
        <v>0</v>
      </c>
      <c r="J16" s="29">
        <f>VLOOKUP(D16,PAYSHEET!B$5:AA$84,24,0)</f>
        <v>0</v>
      </c>
      <c r="K16" s="29">
        <f t="shared" si="2"/>
        <v>0</v>
      </c>
      <c r="L16" s="29">
        <f t="shared" si="3"/>
        <v>0</v>
      </c>
      <c r="M16" s="29">
        <f>ROUND(VLOOKUP(D16,PAYSHEET!B$5:AB$70,25,0),0)</f>
        <v>27960</v>
      </c>
      <c r="N16" s="29">
        <f>VLOOKUP(D16,PAYSHEET!B$5:AH$70,31,0)</f>
        <v>25960</v>
      </c>
      <c r="O16" s="29">
        <f t="shared" si="4"/>
        <v>53920</v>
      </c>
      <c r="P16" s="29">
        <f>VLOOKUP(D16,PAYSHEET!B$5:AC$70,26,0)</f>
        <v>1800</v>
      </c>
    </row>
    <row r="17" spans="3:16" ht="15.75" x14ac:dyDescent="0.25">
      <c r="C17" s="15">
        <f t="shared" si="5"/>
        <v>13</v>
      </c>
      <c r="D17" s="16">
        <v>11026</v>
      </c>
      <c r="E17" s="16" t="s">
        <v>45</v>
      </c>
      <c r="F17" s="29">
        <f>VLOOKUP(D17,'[1]CHAN PF'!$A$2:$B$536,2,0)</f>
        <v>101807637370</v>
      </c>
      <c r="G17" s="101" t="s">
        <v>134</v>
      </c>
      <c r="H17" s="15" t="e">
        <f t="shared" si="0"/>
        <v>#N/A</v>
      </c>
      <c r="I17" s="15" t="e">
        <f t="shared" si="1"/>
        <v>#N/A</v>
      </c>
      <c r="J17" s="29" t="e">
        <f>VLOOKUP(D17,PAYSHEET!B$5:AA$84,24,0)</f>
        <v>#N/A</v>
      </c>
      <c r="K17" s="29" t="e">
        <f t="shared" si="2"/>
        <v>#N/A</v>
      </c>
      <c r="L17" s="29" t="e">
        <f t="shared" si="3"/>
        <v>#N/A</v>
      </c>
      <c r="M17" s="29" t="e">
        <f>ROUND(VLOOKUP(D17,PAYSHEET!B$5:AB$70,25,0),0)</f>
        <v>#N/A</v>
      </c>
      <c r="N17" s="29" t="e">
        <f>VLOOKUP(D17,PAYSHEET!B$5:AH$70,31,0)</f>
        <v>#N/A</v>
      </c>
      <c r="O17" s="29" t="e">
        <f t="shared" si="4"/>
        <v>#N/A</v>
      </c>
      <c r="P17" s="29" t="e">
        <f>VLOOKUP(D17,PAYSHEET!B$5:AC$70,26,0)</f>
        <v>#N/A</v>
      </c>
    </row>
    <row r="18" spans="3:16" ht="15.75" x14ac:dyDescent="0.25">
      <c r="C18" s="15">
        <f t="shared" si="5"/>
        <v>14</v>
      </c>
      <c r="D18" s="16">
        <v>11028</v>
      </c>
      <c r="E18" s="16" t="s">
        <v>46</v>
      </c>
      <c r="F18" s="29">
        <f>VLOOKUP(D18,'[1]CHAN PF'!$A$2:$B$536,2,0)</f>
        <v>101632172914</v>
      </c>
      <c r="G18" s="101" t="s">
        <v>134</v>
      </c>
      <c r="H18" s="15" t="e">
        <f t="shared" si="0"/>
        <v>#N/A</v>
      </c>
      <c r="I18" s="15" t="e">
        <f t="shared" si="1"/>
        <v>#N/A</v>
      </c>
      <c r="J18" s="29" t="e">
        <f>VLOOKUP(D18,PAYSHEET!B$5:AA$84,24,0)</f>
        <v>#N/A</v>
      </c>
      <c r="K18" s="29" t="e">
        <f t="shared" si="2"/>
        <v>#N/A</v>
      </c>
      <c r="L18" s="29" t="e">
        <f t="shared" si="3"/>
        <v>#N/A</v>
      </c>
      <c r="M18" s="29" t="e">
        <f>ROUND(VLOOKUP(D18,PAYSHEET!B$5:AB$70,25,0),0)</f>
        <v>#N/A</v>
      </c>
      <c r="N18" s="29" t="e">
        <f>VLOOKUP(D18,PAYSHEET!B$5:AH$70,31,0)</f>
        <v>#N/A</v>
      </c>
      <c r="O18" s="29" t="e">
        <f t="shared" si="4"/>
        <v>#N/A</v>
      </c>
      <c r="P18" s="29" t="e">
        <f>VLOOKUP(D18,PAYSHEET!B$5:AC$70,26,0)</f>
        <v>#N/A</v>
      </c>
    </row>
    <row r="19" spans="3:16" ht="15.75" x14ac:dyDescent="0.25">
      <c r="C19" s="15">
        <f t="shared" si="5"/>
        <v>15</v>
      </c>
      <c r="D19" s="16">
        <v>10991</v>
      </c>
      <c r="E19" s="16" t="s">
        <v>47</v>
      </c>
      <c r="F19" s="29">
        <f>VLOOKUP(D19,'[1]CHAN PF'!$A$2:$B$536,2,0)</f>
        <v>100589905743</v>
      </c>
      <c r="G19" s="101" t="s">
        <v>134</v>
      </c>
      <c r="H19" s="15">
        <f t="shared" si="0"/>
        <v>800000</v>
      </c>
      <c r="I19" s="15">
        <f t="shared" si="1"/>
        <v>0</v>
      </c>
      <c r="J19" s="29">
        <f>VLOOKUP(D19,PAYSHEET!B$5:AA$84,24,0)</f>
        <v>0</v>
      </c>
      <c r="K19" s="29">
        <f t="shared" si="2"/>
        <v>0</v>
      </c>
      <c r="L19" s="29">
        <f t="shared" si="3"/>
        <v>0</v>
      </c>
      <c r="M19" s="29">
        <f>ROUND(VLOOKUP(D19,PAYSHEET!B$5:AB$70,25,0),0)</f>
        <v>28000</v>
      </c>
      <c r="N19" s="29">
        <f>VLOOKUP(D19,PAYSHEET!B$5:AH$70,31,0)</f>
        <v>26000</v>
      </c>
      <c r="O19" s="29">
        <f t="shared" si="4"/>
        <v>54000</v>
      </c>
      <c r="P19" s="29">
        <f>VLOOKUP(D19,PAYSHEET!B$5:AC$70,26,0)</f>
        <v>1800</v>
      </c>
    </row>
    <row r="20" spans="3:16" ht="15.75" x14ac:dyDescent="0.25">
      <c r="C20" s="15">
        <f t="shared" si="5"/>
        <v>16</v>
      </c>
      <c r="D20" s="16">
        <v>10998</v>
      </c>
      <c r="E20" s="16" t="s">
        <v>49</v>
      </c>
      <c r="F20" s="29">
        <f>VLOOKUP(D20,'[1]CHAN PF'!$A$2:$B$536,2,0)</f>
        <v>101892177114</v>
      </c>
      <c r="G20" s="101" t="s">
        <v>134</v>
      </c>
      <c r="H20" s="15" t="e">
        <f t="shared" si="0"/>
        <v>#N/A</v>
      </c>
      <c r="I20" s="15" t="e">
        <f t="shared" si="1"/>
        <v>#N/A</v>
      </c>
      <c r="J20" s="29" t="e">
        <f>VLOOKUP(D20,PAYSHEET!B$5:AA$84,24,0)</f>
        <v>#N/A</v>
      </c>
      <c r="K20" s="29" t="e">
        <f t="shared" si="2"/>
        <v>#N/A</v>
      </c>
      <c r="L20" s="29" t="e">
        <f t="shared" si="3"/>
        <v>#N/A</v>
      </c>
      <c r="M20" s="29" t="e">
        <f>ROUND(VLOOKUP(D20,PAYSHEET!B$5:AB$70,25,0),0)</f>
        <v>#N/A</v>
      </c>
      <c r="N20" s="29" t="e">
        <f>VLOOKUP(D20,PAYSHEET!B$5:AH$70,31,0)</f>
        <v>#N/A</v>
      </c>
      <c r="O20" s="29" t="e">
        <f t="shared" si="4"/>
        <v>#N/A</v>
      </c>
      <c r="P20" s="29" t="e">
        <f>VLOOKUP(D20,PAYSHEET!B$5:AC$70,26,0)</f>
        <v>#N/A</v>
      </c>
    </row>
    <row r="21" spans="3:16" ht="15.75" x14ac:dyDescent="0.25">
      <c r="C21" s="15">
        <f t="shared" si="5"/>
        <v>17</v>
      </c>
      <c r="D21" s="16">
        <v>10999</v>
      </c>
      <c r="E21" s="16" t="s">
        <v>50</v>
      </c>
      <c r="F21" s="29">
        <f>VLOOKUP(D21,'[1]CHAN PF'!$A$2:$B$536,2,0)</f>
        <v>101593955135</v>
      </c>
      <c r="G21" s="101" t="s">
        <v>134</v>
      </c>
      <c r="H21" s="15" t="e">
        <f t="shared" si="0"/>
        <v>#N/A</v>
      </c>
      <c r="I21" s="15" t="e">
        <f t="shared" si="1"/>
        <v>#N/A</v>
      </c>
      <c r="J21" s="29" t="e">
        <f>VLOOKUP(D21,PAYSHEET!B$5:AA$84,24,0)</f>
        <v>#N/A</v>
      </c>
      <c r="K21" s="29" t="e">
        <f t="shared" si="2"/>
        <v>#N/A</v>
      </c>
      <c r="L21" s="29" t="e">
        <f t="shared" si="3"/>
        <v>#N/A</v>
      </c>
      <c r="M21" s="29" t="e">
        <f>ROUND(VLOOKUP(D21,PAYSHEET!B$5:AB$70,25,0),0)</f>
        <v>#N/A</v>
      </c>
      <c r="N21" s="29" t="e">
        <f>VLOOKUP(D21,PAYSHEET!B$5:AH$70,31,0)</f>
        <v>#N/A</v>
      </c>
      <c r="O21" s="29" t="e">
        <f t="shared" si="4"/>
        <v>#N/A</v>
      </c>
      <c r="P21" s="29" t="e">
        <f>VLOOKUP(D21,PAYSHEET!B$5:AC$70,26,0)</f>
        <v>#N/A</v>
      </c>
    </row>
    <row r="22" spans="3:16" ht="15.75" x14ac:dyDescent="0.25">
      <c r="C22" s="15">
        <f t="shared" si="5"/>
        <v>18</v>
      </c>
      <c r="D22" s="16">
        <v>10980</v>
      </c>
      <c r="E22" s="16" t="s">
        <v>51</v>
      </c>
      <c r="F22" s="29">
        <f>VLOOKUP(D22,'[1]CHAN PF'!$A$2:$B$536,2,0)</f>
        <v>101455564664</v>
      </c>
      <c r="G22" s="101" t="s">
        <v>134</v>
      </c>
      <c r="H22" s="15">
        <f t="shared" si="0"/>
        <v>131508</v>
      </c>
      <c r="I22" s="15">
        <f t="shared" si="1"/>
        <v>0</v>
      </c>
      <c r="J22" s="29">
        <f>VLOOKUP(D22,PAYSHEET!B$5:AA$84,24,0)</f>
        <v>0</v>
      </c>
      <c r="K22" s="29">
        <f t="shared" si="2"/>
        <v>0</v>
      </c>
      <c r="L22" s="29">
        <f t="shared" si="3"/>
        <v>0</v>
      </c>
      <c r="M22" s="29">
        <f>ROUND(VLOOKUP(D22,PAYSHEET!B$5:AB$70,25,0),0)</f>
        <v>4565</v>
      </c>
      <c r="N22" s="29">
        <f>VLOOKUP(D22,PAYSHEET!B$5:AH$70,31,0)</f>
        <v>4274</v>
      </c>
      <c r="O22" s="29">
        <f t="shared" si="4"/>
        <v>8839</v>
      </c>
      <c r="P22" s="29">
        <f>VLOOKUP(D22,PAYSHEET!B$5:AC$70,26,0)</f>
        <v>290.32258064516128</v>
      </c>
    </row>
    <row r="23" spans="3:16" ht="15.75" x14ac:dyDescent="0.25">
      <c r="C23" s="15">
        <f t="shared" si="5"/>
        <v>19</v>
      </c>
      <c r="D23" s="16">
        <v>10978</v>
      </c>
      <c r="E23" s="16" t="s">
        <v>53</v>
      </c>
      <c r="F23" s="29">
        <f>VLOOKUP(D23,'[1]CHAN PF'!$A$2:$B$536,2,0)</f>
        <v>101574086938</v>
      </c>
      <c r="G23" s="101" t="s">
        <v>134</v>
      </c>
      <c r="H23" s="15">
        <f t="shared" si="0"/>
        <v>738462</v>
      </c>
      <c r="I23" s="15">
        <f t="shared" si="1"/>
        <v>0</v>
      </c>
      <c r="J23" s="29">
        <f>VLOOKUP(D23,PAYSHEET!B$5:AA$84,24,0)</f>
        <v>0</v>
      </c>
      <c r="K23" s="29">
        <f t="shared" si="2"/>
        <v>0</v>
      </c>
      <c r="L23" s="29">
        <f t="shared" si="3"/>
        <v>0</v>
      </c>
      <c r="M23" s="29">
        <f>ROUND(VLOOKUP(D23,PAYSHEET!B$5:AB$70,25,0),0)</f>
        <v>26000</v>
      </c>
      <c r="N23" s="29">
        <f>VLOOKUP(D23,PAYSHEET!B$5:AH$70,31,0)</f>
        <v>24000</v>
      </c>
      <c r="O23" s="29">
        <f t="shared" si="4"/>
        <v>50000</v>
      </c>
      <c r="P23" s="29">
        <f>VLOOKUP(D23,PAYSHEET!B$5:AC$70,26,0)</f>
        <v>1800</v>
      </c>
    </row>
    <row r="24" spans="3:16" ht="15.75" x14ac:dyDescent="0.25">
      <c r="C24" s="15">
        <f t="shared" si="5"/>
        <v>20</v>
      </c>
      <c r="D24" s="16">
        <v>10974</v>
      </c>
      <c r="E24" s="16" t="s">
        <v>55</v>
      </c>
      <c r="F24" s="29">
        <f>VLOOKUP(D24,'[1]CHAN PF'!$A$2:$B$536,2,0)</f>
        <v>101978749567</v>
      </c>
      <c r="G24" s="101" t="s">
        <v>134</v>
      </c>
      <c r="H24" s="15">
        <f t="shared" si="0"/>
        <v>680000</v>
      </c>
      <c r="I24" s="15">
        <f t="shared" si="1"/>
        <v>0</v>
      </c>
      <c r="J24" s="29">
        <f>VLOOKUP(D24,PAYSHEET!B$5:AA$84,24,0)</f>
        <v>0</v>
      </c>
      <c r="K24" s="29">
        <f t="shared" si="2"/>
        <v>0</v>
      </c>
      <c r="L24" s="29">
        <f t="shared" si="3"/>
        <v>0</v>
      </c>
      <c r="M24" s="29">
        <f>ROUND(VLOOKUP(D24,PAYSHEET!B$5:AB$70,25,0),0)</f>
        <v>24100</v>
      </c>
      <c r="N24" s="29">
        <f>VLOOKUP(D24,PAYSHEET!B$5:AH$70,31,0)</f>
        <v>22100</v>
      </c>
      <c r="O24" s="29">
        <f t="shared" si="4"/>
        <v>46200</v>
      </c>
      <c r="P24" s="29">
        <f>VLOOKUP(D24,PAYSHEET!B$5:AC$70,26,0)</f>
        <v>1800</v>
      </c>
    </row>
    <row r="25" spans="3:16" ht="15.75" x14ac:dyDescent="0.25">
      <c r="C25" s="15">
        <f t="shared" si="5"/>
        <v>21</v>
      </c>
      <c r="D25" s="16">
        <v>10983</v>
      </c>
      <c r="E25" s="16" t="s">
        <v>57</v>
      </c>
      <c r="F25" s="29">
        <f>VLOOKUP(D25,'[1]CHAN PF'!$A$2:$B$536,2,0)</f>
        <v>102012365701</v>
      </c>
      <c r="G25" s="101" t="s">
        <v>134</v>
      </c>
      <c r="H25" s="15">
        <f t="shared" si="0"/>
        <v>148000</v>
      </c>
      <c r="I25" s="15">
        <f t="shared" si="1"/>
        <v>0</v>
      </c>
      <c r="J25" s="29">
        <f>VLOOKUP(D25,PAYSHEET!B$5:AA$84,24,0)</f>
        <v>0</v>
      </c>
      <c r="K25" s="29">
        <f t="shared" si="2"/>
        <v>0</v>
      </c>
      <c r="L25" s="29">
        <f t="shared" si="3"/>
        <v>0</v>
      </c>
      <c r="M25" s="29">
        <f>ROUND(VLOOKUP(D25,PAYSHEET!B$5:AB$70,25,0),0)</f>
        <v>5216</v>
      </c>
      <c r="N25" s="29">
        <f>VLOOKUP(D25,PAYSHEET!B$5:AH$70,31,0)</f>
        <v>4810</v>
      </c>
      <c r="O25" s="29">
        <f t="shared" si="4"/>
        <v>10026</v>
      </c>
      <c r="P25" s="29">
        <f>VLOOKUP(D25,PAYSHEET!B$5:AC$70,26,0)</f>
        <v>406.45161290322579</v>
      </c>
    </row>
    <row r="26" spans="3:16" ht="15.75" x14ac:dyDescent="0.25">
      <c r="C26" s="15">
        <f t="shared" si="5"/>
        <v>22</v>
      </c>
      <c r="D26" s="16">
        <v>10993</v>
      </c>
      <c r="E26" s="16" t="s">
        <v>58</v>
      </c>
      <c r="F26" s="29">
        <f>VLOOKUP(D26,'[1]CHAN PF'!$A$2:$B$536,2,0)</f>
        <v>101274362476</v>
      </c>
      <c r="G26" s="101" t="s">
        <v>134</v>
      </c>
      <c r="H26" s="15" t="e">
        <f t="shared" si="0"/>
        <v>#N/A</v>
      </c>
      <c r="I26" s="15" t="e">
        <f t="shared" si="1"/>
        <v>#N/A</v>
      </c>
      <c r="J26" s="29" t="e">
        <f>VLOOKUP(D26,PAYSHEET!B$5:AA$84,24,0)</f>
        <v>#N/A</v>
      </c>
      <c r="K26" s="29" t="e">
        <f t="shared" si="2"/>
        <v>#N/A</v>
      </c>
      <c r="L26" s="29" t="e">
        <f t="shared" si="3"/>
        <v>#N/A</v>
      </c>
      <c r="M26" s="29" t="e">
        <f>ROUND(VLOOKUP(D26,PAYSHEET!B$5:AB$70,25,0),0)</f>
        <v>#N/A</v>
      </c>
      <c r="N26" s="29" t="e">
        <f>VLOOKUP(D26,PAYSHEET!B$5:AH$70,31,0)</f>
        <v>#N/A</v>
      </c>
      <c r="O26" s="29" t="e">
        <f t="shared" si="4"/>
        <v>#N/A</v>
      </c>
      <c r="P26" s="29" t="e">
        <f>VLOOKUP(D26,PAYSHEET!B$5:AC$70,26,0)</f>
        <v>#N/A</v>
      </c>
    </row>
    <row r="27" spans="3:16" ht="15.75" x14ac:dyDescent="0.25">
      <c r="C27" s="15">
        <f t="shared" si="5"/>
        <v>23</v>
      </c>
      <c r="D27" s="16">
        <v>10997</v>
      </c>
      <c r="E27" s="16" t="s">
        <v>60</v>
      </c>
      <c r="F27" s="29">
        <f>VLOOKUP(D27,'[1]CHAN PF'!$A$2:$B$536,2,0)</f>
        <v>101129929727</v>
      </c>
      <c r="G27" s="101" t="s">
        <v>134</v>
      </c>
      <c r="H27" s="15" t="e">
        <f t="shared" si="0"/>
        <v>#N/A</v>
      </c>
      <c r="I27" s="15" t="e">
        <f t="shared" si="1"/>
        <v>#N/A</v>
      </c>
      <c r="J27" s="29" t="e">
        <f>VLOOKUP(D27,PAYSHEET!B$5:AA$84,24,0)</f>
        <v>#N/A</v>
      </c>
      <c r="K27" s="29" t="e">
        <f t="shared" si="2"/>
        <v>#N/A</v>
      </c>
      <c r="L27" s="29" t="e">
        <f t="shared" si="3"/>
        <v>#N/A</v>
      </c>
      <c r="M27" s="29" t="e">
        <f>ROUND(VLOOKUP(D27,PAYSHEET!B$5:AB$70,25,0),0)</f>
        <v>#N/A</v>
      </c>
      <c r="N27" s="29" t="e">
        <f>VLOOKUP(D27,PAYSHEET!B$5:AH$70,31,0)</f>
        <v>#N/A</v>
      </c>
      <c r="O27" s="29" t="e">
        <f t="shared" si="4"/>
        <v>#N/A</v>
      </c>
      <c r="P27" s="29" t="e">
        <f>VLOOKUP(D27,PAYSHEET!B$5:AC$70,26,0)</f>
        <v>#N/A</v>
      </c>
    </row>
    <row r="28" spans="3:16" ht="17.25" x14ac:dyDescent="0.25">
      <c r="C28" s="15">
        <f t="shared" si="5"/>
        <v>24</v>
      </c>
      <c r="D28" s="8">
        <v>11058</v>
      </c>
      <c r="E28" s="8" t="s">
        <v>219</v>
      </c>
      <c r="F28" s="29">
        <f>VLOOKUP(D28,'[1]CHAN PF'!$A$2:$B$536,2,0)</f>
        <v>101818246573</v>
      </c>
      <c r="G28" s="101" t="s">
        <v>134</v>
      </c>
      <c r="H28" s="15" t="e">
        <f t="shared" ref="H28" si="6">ROUND(N28*100/3.25,0)</f>
        <v>#N/A</v>
      </c>
      <c r="I28" s="15" t="e">
        <f t="shared" ref="I28" si="7">ROUND(J28*100/12,0)</f>
        <v>#N/A</v>
      </c>
      <c r="J28" s="29" t="e">
        <f>VLOOKUP(D28,PAYSHEET!B$5:AA$84,24,0)</f>
        <v>#N/A</v>
      </c>
      <c r="K28" s="29" t="e">
        <f t="shared" si="2"/>
        <v>#N/A</v>
      </c>
      <c r="L28" s="29" t="e">
        <f t="shared" si="3"/>
        <v>#N/A</v>
      </c>
      <c r="M28" s="29" t="e">
        <f>ROUND(VLOOKUP(D28,PAYSHEET!B$5:AB$70,25,0),0)</f>
        <v>#N/A</v>
      </c>
      <c r="N28" s="29" t="e">
        <f>VLOOKUP(D28,PAYSHEET!B$5:AH$70,31,0)</f>
        <v>#N/A</v>
      </c>
      <c r="O28" s="29" t="e">
        <f t="shared" si="4"/>
        <v>#N/A</v>
      </c>
      <c r="P28" s="29" t="e">
        <f>VLOOKUP(D28,PAYSHEET!B$5:AC$70,26,0)</f>
        <v>#N/A</v>
      </c>
    </row>
    <row r="29" spans="3:16" ht="17.25" x14ac:dyDescent="0.25">
      <c r="C29" s="15">
        <f t="shared" si="5"/>
        <v>25</v>
      </c>
      <c r="D29" s="8">
        <v>11049</v>
      </c>
      <c r="E29" s="8" t="s">
        <v>213</v>
      </c>
      <c r="F29" s="29">
        <f>VLOOKUP(D29,'[1]CHAN PF'!$A$2:$B$536,2,0)</f>
        <v>102095604570</v>
      </c>
      <c r="G29" s="101">
        <f>VLOOKUP(D29,[1]ESIC!$C$3:$D$324,2,0)</f>
        <v>5221153012</v>
      </c>
      <c r="H29" s="15" t="e">
        <f t="shared" ref="H29" si="8">ROUND(N29*100/3.25,0)</f>
        <v>#N/A</v>
      </c>
      <c r="I29" s="15" t="e">
        <f t="shared" ref="I29" si="9">ROUND(J29*100/12,0)</f>
        <v>#N/A</v>
      </c>
      <c r="J29" s="29" t="e">
        <f>VLOOKUP(D29,PAYSHEET!B$5:AA$84,24,0)</f>
        <v>#N/A</v>
      </c>
      <c r="K29" s="29" t="e">
        <f t="shared" si="2"/>
        <v>#N/A</v>
      </c>
      <c r="L29" s="29" t="e">
        <f t="shared" si="3"/>
        <v>#N/A</v>
      </c>
      <c r="M29" s="29" t="e">
        <f>ROUND(VLOOKUP(D29,PAYSHEET!B$5:AB$70,25,0),0)</f>
        <v>#N/A</v>
      </c>
      <c r="N29" s="29" t="e">
        <f>VLOOKUP(D29,PAYSHEET!B$5:AH$70,31,0)</f>
        <v>#N/A</v>
      </c>
      <c r="O29" s="29" t="e">
        <f t="shared" si="4"/>
        <v>#N/A</v>
      </c>
      <c r="P29" s="29" t="e">
        <f>VLOOKUP(D29,PAYSHEET!B$5:AC$70,26,0)</f>
        <v>#N/A</v>
      </c>
    </row>
    <row r="30" spans="3:16" ht="16.5" customHeight="1" x14ac:dyDescent="0.25">
      <c r="C30" s="15">
        <f t="shared" si="5"/>
        <v>26</v>
      </c>
      <c r="D30" s="8">
        <v>11032</v>
      </c>
      <c r="E30" s="8" t="s">
        <v>77</v>
      </c>
      <c r="F30" s="29">
        <f>VLOOKUP(D30,'[1]CHAN PF'!$A$2:$B$536,2,0)</f>
        <v>101760846764</v>
      </c>
      <c r="G30" s="101" t="s">
        <v>134</v>
      </c>
      <c r="H30" s="15">
        <f t="shared" ref="H30" si="10">ROUND(N30*100/3.25,0)</f>
        <v>701538</v>
      </c>
      <c r="I30" s="15">
        <f t="shared" ref="I30" si="11">ROUND(J30*100/12,0)</f>
        <v>0</v>
      </c>
      <c r="J30" s="29">
        <f>VLOOKUP(D30,PAYSHEET!B$5:AA$84,24,0)</f>
        <v>0</v>
      </c>
      <c r="K30" s="29">
        <f t="shared" si="2"/>
        <v>0</v>
      </c>
      <c r="L30" s="29">
        <f t="shared" si="3"/>
        <v>0</v>
      </c>
      <c r="M30" s="29">
        <f>ROUND(VLOOKUP(D30,PAYSHEET!B$5:AB$70,25,0),0)</f>
        <v>24800</v>
      </c>
      <c r="N30" s="29">
        <f>VLOOKUP(D30,PAYSHEET!B$5:AH$70,31,0)</f>
        <v>22800</v>
      </c>
      <c r="O30" s="29">
        <f t="shared" si="4"/>
        <v>47600</v>
      </c>
      <c r="P30" s="29">
        <f>VLOOKUP(D30,PAYSHEET!B$5:AC$70,26,0)</f>
        <v>1800</v>
      </c>
    </row>
    <row r="31" spans="3:16" ht="17.25" x14ac:dyDescent="0.25">
      <c r="C31" s="15">
        <f t="shared" si="5"/>
        <v>27</v>
      </c>
      <c r="D31" s="8">
        <v>11193</v>
      </c>
      <c r="E31" s="8" t="s">
        <v>241</v>
      </c>
      <c r="F31" s="29">
        <f>VLOOKUP(D31,'[1]CHAN PF'!$A$2:$B$536,2,0)</f>
        <v>102136413687</v>
      </c>
      <c r="G31" s="101">
        <f>VLOOKUP(D31,[1]ESIC!$C$3:$D$324,2,0)</f>
        <v>5221415907</v>
      </c>
      <c r="H31" s="15" t="e">
        <f>ROUND(N31*100/3.25,0)</f>
        <v>#N/A</v>
      </c>
      <c r="I31" s="15" t="e">
        <f>ROUND(J31*100/12,0)</f>
        <v>#N/A</v>
      </c>
      <c r="J31" s="29" t="e">
        <f>VLOOKUP(D31,PAYSHEET!B$5:AA$84,24,0)</f>
        <v>#N/A</v>
      </c>
      <c r="K31" s="29" t="e">
        <f>I31*13%</f>
        <v>#N/A</v>
      </c>
      <c r="L31" s="29" t="e">
        <f>J31+K31</f>
        <v>#N/A</v>
      </c>
      <c r="M31" s="29" t="e">
        <f>ROUND(VLOOKUP(D31,PAYSHEET!B$5:AB$70,25,0),0)</f>
        <v>#N/A</v>
      </c>
      <c r="N31" s="29" t="e">
        <f>VLOOKUP(D31,PAYSHEET!B$5:AH$70,31,0)</f>
        <v>#N/A</v>
      </c>
      <c r="O31" s="29" t="e">
        <f>M31+N31</f>
        <v>#N/A</v>
      </c>
      <c r="P31" s="29" t="e">
        <f>VLOOKUP(D31,PAYSHEET!B$5:AC$70,26,0)</f>
        <v>#N/A</v>
      </c>
    </row>
    <row r="32" spans="3:16" ht="17.25" x14ac:dyDescent="0.25">
      <c r="C32" s="15">
        <f t="shared" si="5"/>
        <v>28</v>
      </c>
      <c r="D32" s="8">
        <v>11158</v>
      </c>
      <c r="E32" s="8" t="s">
        <v>238</v>
      </c>
      <c r="F32" s="29">
        <f>VLOOKUP(D32,'[1]CHAN PF'!$A$2:$B$536,2,0)</f>
        <v>101220132820</v>
      </c>
      <c r="G32" s="101">
        <f>VLOOKUP(D32,[1]ESIC!$C$3:$D$324,2,0)</f>
        <v>5221391571</v>
      </c>
      <c r="H32" s="15">
        <f t="shared" ref="H32:H36" si="12">ROUND(N32*100/3.25,0)</f>
        <v>655385</v>
      </c>
      <c r="I32" s="15">
        <f t="shared" ref="I32:I36" si="13">ROUND(J32*100/12,0)</f>
        <v>0</v>
      </c>
      <c r="J32" s="29">
        <f>VLOOKUP(D32,PAYSHEET!B$5:AA$84,24,0)</f>
        <v>0</v>
      </c>
      <c r="K32" s="29">
        <f t="shared" ref="K32:K36" si="14">I32*13%</f>
        <v>0</v>
      </c>
      <c r="L32" s="29">
        <f t="shared" ref="L32:L36" si="15">J32+K32</f>
        <v>0</v>
      </c>
      <c r="M32" s="29">
        <f>ROUND(VLOOKUP(D32,PAYSHEET!B$5:AB$70,25,0),0)</f>
        <v>23300</v>
      </c>
      <c r="N32" s="29">
        <f>VLOOKUP(D32,PAYSHEET!B$5:AH$70,31,0)</f>
        <v>21300</v>
      </c>
      <c r="O32" s="29">
        <f t="shared" ref="O32:O36" si="16">M32+N32</f>
        <v>44600</v>
      </c>
      <c r="P32" s="29">
        <f>VLOOKUP(D32,PAYSHEET!B$5:AC$70,26,0)</f>
        <v>1800</v>
      </c>
    </row>
    <row r="33" spans="3:16" ht="17.25" x14ac:dyDescent="0.25">
      <c r="C33" s="15">
        <f t="shared" si="5"/>
        <v>29</v>
      </c>
      <c r="D33" s="8">
        <v>11215</v>
      </c>
      <c r="E33" s="8" t="s">
        <v>250</v>
      </c>
      <c r="F33" s="29">
        <f>VLOOKUP(D33,'[1]CHAN PF'!$A$2:$B$536,2,0)</f>
        <v>101817835987</v>
      </c>
      <c r="G33" s="101" t="s">
        <v>134</v>
      </c>
      <c r="H33" s="15" t="e">
        <f t="shared" si="12"/>
        <v>#N/A</v>
      </c>
      <c r="I33" s="15" t="e">
        <f t="shared" si="13"/>
        <v>#N/A</v>
      </c>
      <c r="J33" s="29" t="e">
        <f>VLOOKUP(D33,PAYSHEET!B$5:AA$84,24,0)</f>
        <v>#N/A</v>
      </c>
      <c r="K33" s="29" t="e">
        <f t="shared" si="14"/>
        <v>#N/A</v>
      </c>
      <c r="L33" s="29" t="e">
        <f t="shared" si="15"/>
        <v>#N/A</v>
      </c>
      <c r="M33" s="29" t="e">
        <f>ROUND(VLOOKUP(D33,PAYSHEET!B$5:AB$70,25,0),0)</f>
        <v>#N/A</v>
      </c>
      <c r="N33" s="29" t="e">
        <f>VLOOKUP(D33,PAYSHEET!B$5:AH$70,31,0)</f>
        <v>#N/A</v>
      </c>
      <c r="O33" s="29" t="e">
        <f t="shared" si="16"/>
        <v>#N/A</v>
      </c>
      <c r="P33" s="29" t="e">
        <f>VLOOKUP(D33,PAYSHEET!B$5:AC$70,26,0)</f>
        <v>#N/A</v>
      </c>
    </row>
    <row r="34" spans="3:16" ht="17.25" x14ac:dyDescent="0.25">
      <c r="C34" s="15">
        <f t="shared" si="5"/>
        <v>30</v>
      </c>
      <c r="D34" s="8">
        <v>10339</v>
      </c>
      <c r="E34" s="8" t="s">
        <v>259</v>
      </c>
      <c r="F34" s="29">
        <f>VLOOKUP(D34,'[1]CHAN PF'!$A$2:$B$536,2,0)</f>
        <v>101401592178</v>
      </c>
      <c r="G34" s="101" t="s">
        <v>134</v>
      </c>
      <c r="H34" s="15" t="e">
        <f t="shared" si="12"/>
        <v>#N/A</v>
      </c>
      <c r="I34" s="15" t="e">
        <f t="shared" si="13"/>
        <v>#N/A</v>
      </c>
      <c r="J34" s="29" t="e">
        <f>VLOOKUP(D34,PAYSHEET!B$5:AA$84,24,0)</f>
        <v>#N/A</v>
      </c>
      <c r="K34" s="29" t="e">
        <f t="shared" si="14"/>
        <v>#N/A</v>
      </c>
      <c r="L34" s="29" t="e">
        <f t="shared" si="15"/>
        <v>#N/A</v>
      </c>
      <c r="M34" s="29" t="e">
        <f>ROUND(VLOOKUP(D34,PAYSHEET!B$5:AB$70,25,0),0)</f>
        <v>#N/A</v>
      </c>
      <c r="N34" s="29" t="e">
        <f>VLOOKUP(D34,PAYSHEET!B$5:AH$70,31,0)</f>
        <v>#N/A</v>
      </c>
      <c r="O34" s="29" t="e">
        <f t="shared" si="16"/>
        <v>#N/A</v>
      </c>
      <c r="P34" s="29" t="e">
        <f>VLOOKUP(D34,PAYSHEET!B$5:AC$70,26,0)</f>
        <v>#N/A</v>
      </c>
    </row>
    <row r="35" spans="3:16" ht="17.25" x14ac:dyDescent="0.25">
      <c r="C35" s="15">
        <f t="shared" si="5"/>
        <v>31</v>
      </c>
      <c r="D35" s="8">
        <v>11217</v>
      </c>
      <c r="E35" s="8" t="s">
        <v>251</v>
      </c>
      <c r="F35" s="29">
        <f>VLOOKUP(D35,'[1]CHAN PF'!$A$2:$B$536,2,0)</f>
        <v>102106814769</v>
      </c>
      <c r="G35" s="101">
        <f>VLOOKUP(D35,[1]ESIC!$C$3:$D$324,2,0)</f>
        <v>5221038656</v>
      </c>
      <c r="H35" s="15" t="e">
        <f t="shared" si="12"/>
        <v>#N/A</v>
      </c>
      <c r="I35" s="15" t="e">
        <f t="shared" si="13"/>
        <v>#N/A</v>
      </c>
      <c r="J35" s="29" t="e">
        <f>VLOOKUP(D35,PAYSHEET!B$5:AA$84,24,0)</f>
        <v>#N/A</v>
      </c>
      <c r="K35" s="29" t="e">
        <f t="shared" si="14"/>
        <v>#N/A</v>
      </c>
      <c r="L35" s="29" t="e">
        <f t="shared" si="15"/>
        <v>#N/A</v>
      </c>
      <c r="M35" s="29" t="e">
        <f>ROUND(VLOOKUP(D35,PAYSHEET!B$5:AB$70,25,0),0)</f>
        <v>#N/A</v>
      </c>
      <c r="N35" s="29" t="e">
        <f>VLOOKUP(D35,PAYSHEET!B$5:AH$70,31,0)</f>
        <v>#N/A</v>
      </c>
      <c r="O35" s="29" t="e">
        <f t="shared" si="16"/>
        <v>#N/A</v>
      </c>
      <c r="P35" s="29" t="e">
        <f>VLOOKUP(D35,PAYSHEET!B$5:AC$70,26,0)</f>
        <v>#N/A</v>
      </c>
    </row>
    <row r="36" spans="3:16" ht="17.25" x14ac:dyDescent="0.25">
      <c r="C36" s="15">
        <f t="shared" si="5"/>
        <v>32</v>
      </c>
      <c r="D36" s="8">
        <v>11203</v>
      </c>
      <c r="E36" s="8" t="s">
        <v>248</v>
      </c>
      <c r="F36" s="29">
        <f>VLOOKUP(D36,'[1]CHAN PF'!$A$2:$B$536,2,0)</f>
        <v>102140355601</v>
      </c>
      <c r="G36" s="101">
        <f>VLOOKUP(D36,[1]ESIC!$C$3:$D$324,2,0)</f>
        <v>5221514932</v>
      </c>
      <c r="H36" s="15">
        <f t="shared" si="12"/>
        <v>479354</v>
      </c>
      <c r="I36" s="15">
        <f t="shared" si="13"/>
        <v>0</v>
      </c>
      <c r="J36" s="29">
        <f>VLOOKUP(D36,PAYSHEET!B$5:AA$84,24,0)</f>
        <v>0</v>
      </c>
      <c r="K36" s="29">
        <f t="shared" si="14"/>
        <v>0</v>
      </c>
      <c r="L36" s="29">
        <f t="shared" si="15"/>
        <v>0</v>
      </c>
      <c r="M36" s="29">
        <f>ROUND(VLOOKUP(D36,PAYSHEET!B$5:AB$70,25,0),0)</f>
        <v>17065</v>
      </c>
      <c r="N36" s="29">
        <f>VLOOKUP(D36,PAYSHEET!B$5:AH$70,31,0)</f>
        <v>15579</v>
      </c>
      <c r="O36" s="29">
        <f t="shared" si="16"/>
        <v>32644</v>
      </c>
      <c r="P36" s="29">
        <f>VLOOKUP(D36,PAYSHEET!B$5:AC$70,26,0)</f>
        <v>1335.483870967742</v>
      </c>
    </row>
    <row r="37" spans="3:16" ht="17.25" x14ac:dyDescent="0.25">
      <c r="C37" s="15">
        <f t="shared" si="5"/>
        <v>33</v>
      </c>
      <c r="D37" s="8">
        <v>11214</v>
      </c>
      <c r="E37" s="8" t="s">
        <v>249</v>
      </c>
      <c r="F37" s="29">
        <f>VLOOKUP(D37,'[1]CHAN PF'!$A$2:$B$536,2,0)</f>
        <v>102141445630</v>
      </c>
      <c r="G37" s="101" t="s">
        <v>134</v>
      </c>
      <c r="H37" s="15">
        <f t="shared" ref="H37" si="17">ROUND(N37*100/3.25,0)</f>
        <v>682769</v>
      </c>
      <c r="I37" s="15">
        <f t="shared" ref="I37" si="18">ROUND(J37*100/12,0)</f>
        <v>0</v>
      </c>
      <c r="J37" s="29">
        <f>VLOOKUP(D37,PAYSHEET!B$5:AA$84,24,0)</f>
        <v>0</v>
      </c>
      <c r="K37" s="29">
        <f t="shared" ref="K37" si="19">I37*13%</f>
        <v>0</v>
      </c>
      <c r="L37" s="29">
        <f t="shared" ref="L37" si="20">J37+K37</f>
        <v>0</v>
      </c>
      <c r="M37" s="29">
        <f>ROUND(VLOOKUP(D37,PAYSHEET!B$5:AB$70,25,0),0)</f>
        <v>24190</v>
      </c>
      <c r="N37" s="29">
        <f>VLOOKUP(D37,PAYSHEET!B$5:AH$70,31,0)</f>
        <v>22190</v>
      </c>
      <c r="O37" s="29">
        <f t="shared" ref="O37" si="21">M37+N37</f>
        <v>46380</v>
      </c>
      <c r="P37" s="29">
        <f>VLOOKUP(D37,PAYSHEET!B$5:AC$70,26,0)</f>
        <v>1800</v>
      </c>
    </row>
    <row r="38" spans="3:16" ht="17.25" x14ac:dyDescent="0.25">
      <c r="C38" s="15">
        <f t="shared" si="5"/>
        <v>34</v>
      </c>
      <c r="D38" s="122">
        <v>11246</v>
      </c>
      <c r="E38" s="122" t="s">
        <v>263</v>
      </c>
      <c r="F38" s="29">
        <f>VLOOKUP(D38,'[1]CHAN PF'!$A$2:$B$536,2,0)</f>
        <v>101858145524</v>
      </c>
      <c r="G38" s="101">
        <f>VLOOKUP(D38,[1]ESIC!$C$3:$D$324,2,0)</f>
        <v>5221618572</v>
      </c>
      <c r="H38" s="15" t="e">
        <f t="shared" ref="H38:H39" si="22">ROUND(N38*100/3.25,0)</f>
        <v>#N/A</v>
      </c>
      <c r="I38" s="15" t="e">
        <f t="shared" ref="I38:I39" si="23">ROUND(J38*100/12,0)</f>
        <v>#N/A</v>
      </c>
      <c r="J38" s="29" t="e">
        <f>VLOOKUP(D38,PAYSHEET!B$5:AA$84,24,0)</f>
        <v>#N/A</v>
      </c>
      <c r="K38" s="29" t="e">
        <f t="shared" ref="K38:K39" si="24">I38*13%</f>
        <v>#N/A</v>
      </c>
      <c r="L38" s="29" t="e">
        <f t="shared" ref="L38:L39" si="25">J38+K38</f>
        <v>#N/A</v>
      </c>
      <c r="M38" s="29" t="e">
        <f>ROUND(VLOOKUP(D38,PAYSHEET!B$5:AB$70,25,0),0)</f>
        <v>#N/A</v>
      </c>
      <c r="N38" s="29" t="e">
        <f>VLOOKUP(D38,PAYSHEET!B$5:AH$70,31,0)</f>
        <v>#N/A</v>
      </c>
      <c r="O38" s="29" t="e">
        <f t="shared" ref="O38:O39" si="26">M38+N38</f>
        <v>#N/A</v>
      </c>
      <c r="P38" s="29" t="e">
        <f>VLOOKUP(D38,PAYSHEET!B$5:AC$70,26,0)</f>
        <v>#N/A</v>
      </c>
    </row>
    <row r="39" spans="3:16" ht="17.25" x14ac:dyDescent="0.25">
      <c r="C39" s="15">
        <f t="shared" si="5"/>
        <v>35</v>
      </c>
      <c r="D39" s="122">
        <v>11241</v>
      </c>
      <c r="E39" s="122" t="s">
        <v>265</v>
      </c>
      <c r="F39" s="29">
        <f>VLOOKUP(D39,'[1]CHAN PF'!$A$2:$B$536,2,0)</f>
        <v>102153844190</v>
      </c>
      <c r="G39" s="101">
        <f>VLOOKUP(D39,[1]ESIC!$C$3:$D$324,2,0)</f>
        <v>5221635639</v>
      </c>
      <c r="H39" s="15" t="e">
        <f t="shared" si="22"/>
        <v>#N/A</v>
      </c>
      <c r="I39" s="15" t="e">
        <f t="shared" si="23"/>
        <v>#N/A</v>
      </c>
      <c r="J39" s="29" t="e">
        <f>VLOOKUP(D39,PAYSHEET!B$5:AA$84,24,0)</f>
        <v>#N/A</v>
      </c>
      <c r="K39" s="29" t="e">
        <f t="shared" si="24"/>
        <v>#N/A</v>
      </c>
      <c r="L39" s="29" t="e">
        <f t="shared" si="25"/>
        <v>#N/A</v>
      </c>
      <c r="M39" s="29" t="e">
        <f>ROUND(VLOOKUP(D39,PAYSHEET!B$5:AB$70,25,0),0)</f>
        <v>#N/A</v>
      </c>
      <c r="N39" s="29" t="e">
        <f>VLOOKUP(D39,PAYSHEET!B$5:AH$70,31,0)</f>
        <v>#N/A</v>
      </c>
      <c r="O39" s="29" t="e">
        <f t="shared" si="26"/>
        <v>#N/A</v>
      </c>
      <c r="P39" s="29" t="e">
        <f>VLOOKUP(D39,PAYSHEET!B$5:AC$70,26,0)</f>
        <v>#N/A</v>
      </c>
    </row>
    <row r="40" spans="3:16" ht="17.25" x14ac:dyDescent="0.25">
      <c r="C40" s="15">
        <f t="shared" si="5"/>
        <v>36</v>
      </c>
      <c r="D40" s="122">
        <v>11313</v>
      </c>
      <c r="E40" s="122" t="s">
        <v>276</v>
      </c>
      <c r="F40" s="29">
        <f>VLOOKUP(D40,'[1]CHAN PF'!$A$2:$B$536,2,0)</f>
        <v>101945909041</v>
      </c>
      <c r="G40" s="101">
        <f>VLOOKUP(D40,[1]ESIC!$C$3:$D$324,2,0)</f>
        <v>5221821075</v>
      </c>
      <c r="H40" s="15" t="e">
        <f t="shared" ref="H40:H44" si="27">ROUND(N40*100/3.25,0)</f>
        <v>#N/A</v>
      </c>
      <c r="I40" s="15" t="e">
        <f t="shared" ref="I40:I44" si="28">ROUND(J40*100/12,0)</f>
        <v>#N/A</v>
      </c>
      <c r="J40" s="29" t="e">
        <f>VLOOKUP(D40,PAYSHEET!B$5:AA$84,24,0)</f>
        <v>#N/A</v>
      </c>
      <c r="K40" s="29" t="e">
        <f t="shared" ref="K40:K44" si="29">I40*13%</f>
        <v>#N/A</v>
      </c>
      <c r="L40" s="29" t="e">
        <f t="shared" ref="L40:L44" si="30">J40+K40</f>
        <v>#N/A</v>
      </c>
      <c r="M40" s="29" t="e">
        <f>ROUND(VLOOKUP(D40,PAYSHEET!B$5:AB$70,25,0),0)</f>
        <v>#N/A</v>
      </c>
      <c r="N40" s="29" t="e">
        <f>VLOOKUP(D40,PAYSHEET!B$5:AH$70,31,0)</f>
        <v>#N/A</v>
      </c>
      <c r="O40" s="29" t="e">
        <f t="shared" ref="O40:O44" si="31">M40+N40</f>
        <v>#N/A</v>
      </c>
      <c r="P40" s="29" t="e">
        <f>VLOOKUP(D40,PAYSHEET!B$5:AC$70,26,0)</f>
        <v>#N/A</v>
      </c>
    </row>
    <row r="41" spans="3:16" ht="17.25" x14ac:dyDescent="0.25">
      <c r="C41" s="15">
        <f t="shared" si="5"/>
        <v>37</v>
      </c>
      <c r="D41" s="122">
        <v>11311</v>
      </c>
      <c r="E41" s="122" t="s">
        <v>275</v>
      </c>
      <c r="F41" s="29">
        <f>VLOOKUP(D41,'[1]CHAN PF'!$A$2:$B$536,2,0)</f>
        <v>101109085478</v>
      </c>
      <c r="G41" s="101">
        <f>VLOOKUP(D41,[1]ESIC!$C$3:$D$324,2,0)</f>
        <v>5221751222</v>
      </c>
      <c r="H41" s="15">
        <f t="shared" si="27"/>
        <v>633846</v>
      </c>
      <c r="I41" s="15">
        <f t="shared" si="28"/>
        <v>0</v>
      </c>
      <c r="J41" s="29">
        <f>VLOOKUP(D41,PAYSHEET!B$5:AA$84,24,0)</f>
        <v>0</v>
      </c>
      <c r="K41" s="29">
        <f t="shared" si="29"/>
        <v>0</v>
      </c>
      <c r="L41" s="29">
        <f t="shared" si="30"/>
        <v>0</v>
      </c>
      <c r="M41" s="29">
        <f>ROUND(VLOOKUP(D41,PAYSHEET!B$5:AB$70,25,0),0)</f>
        <v>22600</v>
      </c>
      <c r="N41" s="29">
        <f>VLOOKUP(D41,PAYSHEET!B$5:AH$70,31,0)</f>
        <v>20600</v>
      </c>
      <c r="O41" s="29">
        <f t="shared" si="31"/>
        <v>43200</v>
      </c>
      <c r="P41" s="29">
        <f>VLOOKUP(D41,PAYSHEET!B$5:AC$70,26,0)</f>
        <v>1800</v>
      </c>
    </row>
    <row r="42" spans="3:16" ht="17.25" x14ac:dyDescent="0.25">
      <c r="C42" s="15">
        <f t="shared" si="5"/>
        <v>38</v>
      </c>
      <c r="D42" s="122">
        <v>10492</v>
      </c>
      <c r="E42" s="122" t="s">
        <v>56</v>
      </c>
      <c r="F42" s="29">
        <f>VLOOKUP(D42,'[1]CHAN PF'!$A$2:$B$536,2,0)</f>
        <v>101925800595</v>
      </c>
      <c r="G42" s="101">
        <f>VLOOKUP(D42,[1]ESIC!$C$3:$D$324,2,0)</f>
        <v>5220323113</v>
      </c>
      <c r="H42" s="15" t="e">
        <f t="shared" si="27"/>
        <v>#N/A</v>
      </c>
      <c r="I42" s="15" t="e">
        <f t="shared" si="28"/>
        <v>#N/A</v>
      </c>
      <c r="J42" s="29" t="e">
        <f>VLOOKUP(D42,PAYSHEET!B$5:AA$84,24,0)</f>
        <v>#N/A</v>
      </c>
      <c r="K42" s="29" t="e">
        <f t="shared" si="29"/>
        <v>#N/A</v>
      </c>
      <c r="L42" s="29" t="e">
        <f t="shared" si="30"/>
        <v>#N/A</v>
      </c>
      <c r="M42" s="29" t="e">
        <f>ROUND(VLOOKUP(D42,PAYSHEET!B$5:AB$70,25,0),0)</f>
        <v>#N/A</v>
      </c>
      <c r="N42" s="29" t="e">
        <f>VLOOKUP(D42,PAYSHEET!B$5:AH$70,31,0)</f>
        <v>#N/A</v>
      </c>
      <c r="O42" s="29" t="e">
        <f t="shared" si="31"/>
        <v>#N/A</v>
      </c>
      <c r="P42" s="29" t="e">
        <f>VLOOKUP(D42,PAYSHEET!B$5:AC$70,26,0)</f>
        <v>#N/A</v>
      </c>
    </row>
    <row r="43" spans="3:16" ht="17.25" x14ac:dyDescent="0.25">
      <c r="C43" s="15">
        <f t="shared" si="5"/>
        <v>39</v>
      </c>
      <c r="D43" s="122">
        <v>11273</v>
      </c>
      <c r="E43" s="122" t="s">
        <v>270</v>
      </c>
      <c r="F43" s="29">
        <f>VLOOKUP(D43,'[1]CHAN PF'!$A$2:$B$536,2,0)</f>
        <v>101331571871</v>
      </c>
      <c r="G43" s="101" t="s">
        <v>134</v>
      </c>
      <c r="H43" s="15">
        <f t="shared" si="27"/>
        <v>661538</v>
      </c>
      <c r="I43" s="15">
        <f t="shared" si="28"/>
        <v>0</v>
      </c>
      <c r="J43" s="29">
        <f>VLOOKUP(D43,PAYSHEET!B$5:AA$84,24,0)</f>
        <v>0</v>
      </c>
      <c r="K43" s="29">
        <f t="shared" si="29"/>
        <v>0</v>
      </c>
      <c r="L43" s="29">
        <f t="shared" si="30"/>
        <v>0</v>
      </c>
      <c r="M43" s="29">
        <f>ROUND(VLOOKUP(D43,PAYSHEET!B$5:AB$70,25,0),0)</f>
        <v>23500</v>
      </c>
      <c r="N43" s="29">
        <f>VLOOKUP(D43,PAYSHEET!B$5:AH$70,31,0)</f>
        <v>21500</v>
      </c>
      <c r="O43" s="29">
        <f t="shared" si="31"/>
        <v>45000</v>
      </c>
      <c r="P43" s="29">
        <f>VLOOKUP(D43,PAYSHEET!B$5:AC$70,26,0)</f>
        <v>1800</v>
      </c>
    </row>
    <row r="44" spans="3:16" ht="17.25" x14ac:dyDescent="0.25">
      <c r="C44" s="15">
        <f t="shared" si="5"/>
        <v>40</v>
      </c>
      <c r="D44" s="122">
        <v>11276</v>
      </c>
      <c r="E44" s="122" t="s">
        <v>269</v>
      </c>
      <c r="F44" s="29">
        <f>VLOOKUP(D44,'[1]CHAN PF'!$A$2:$B$536,2,0)</f>
        <v>102075233629</v>
      </c>
      <c r="G44" s="101" t="s">
        <v>134</v>
      </c>
      <c r="H44" s="15">
        <f t="shared" si="27"/>
        <v>689231</v>
      </c>
      <c r="I44" s="15">
        <f t="shared" si="28"/>
        <v>0</v>
      </c>
      <c r="J44" s="29">
        <f>VLOOKUP(D44,PAYSHEET!B$5:AA$84,24,0)</f>
        <v>0</v>
      </c>
      <c r="K44" s="29">
        <f t="shared" si="29"/>
        <v>0</v>
      </c>
      <c r="L44" s="29">
        <f t="shared" si="30"/>
        <v>0</v>
      </c>
      <c r="M44" s="29">
        <f>ROUND(VLOOKUP(D44,PAYSHEET!B$5:AB$70,25,0),0)</f>
        <v>24400</v>
      </c>
      <c r="N44" s="29">
        <f>VLOOKUP(D44,PAYSHEET!B$5:AH$70,31,0)</f>
        <v>22400</v>
      </c>
      <c r="O44" s="29">
        <f t="shared" si="31"/>
        <v>46800</v>
      </c>
      <c r="P44" s="29">
        <f>VLOOKUP(D44,PAYSHEET!B$5:AC$70,26,0)</f>
        <v>1800</v>
      </c>
    </row>
    <row r="45" spans="3:16" ht="17.25" x14ac:dyDescent="0.25">
      <c r="C45" s="15">
        <f t="shared" si="5"/>
        <v>41</v>
      </c>
      <c r="D45" s="122">
        <v>10312</v>
      </c>
      <c r="E45" s="122" t="s">
        <v>301</v>
      </c>
      <c r="F45" s="29">
        <f>VLOOKUP(D45,'[1]CHAN PF'!$A$2:$B$536,2,0)</f>
        <v>101810762450</v>
      </c>
      <c r="G45" s="101" t="s">
        <v>134</v>
      </c>
      <c r="H45" s="15" t="e">
        <f t="shared" ref="H45:H47" si="32">ROUND(N45*100/3.25,0)</f>
        <v>#N/A</v>
      </c>
      <c r="I45" s="15" t="e">
        <f t="shared" ref="I45:I47" si="33">ROUND(J45*100/12,0)</f>
        <v>#N/A</v>
      </c>
      <c r="J45" s="29" t="e">
        <f>VLOOKUP(D45,PAYSHEET!B$5:AA$84,24,0)</f>
        <v>#N/A</v>
      </c>
      <c r="K45" s="29" t="e">
        <f t="shared" ref="K45:K47" si="34">I45*13%</f>
        <v>#N/A</v>
      </c>
      <c r="L45" s="29" t="e">
        <f t="shared" ref="L45:L47" si="35">J45+K45</f>
        <v>#N/A</v>
      </c>
      <c r="M45" s="29" t="e">
        <f>ROUND(VLOOKUP(D45,PAYSHEET!B$5:AB$70,25,0),0)</f>
        <v>#N/A</v>
      </c>
      <c r="N45" s="29" t="e">
        <f>VLOOKUP(D45,PAYSHEET!B$5:AH$70,31,0)</f>
        <v>#N/A</v>
      </c>
      <c r="O45" s="29" t="e">
        <f t="shared" ref="O45:O47" si="36">M45+N45</f>
        <v>#N/A</v>
      </c>
      <c r="P45" s="29" t="e">
        <f>VLOOKUP(D45,PAYSHEET!B$5:AC$70,26,0)</f>
        <v>#N/A</v>
      </c>
    </row>
    <row r="46" spans="3:16" ht="17.25" x14ac:dyDescent="0.25">
      <c r="C46" s="15">
        <f t="shared" si="5"/>
        <v>42</v>
      </c>
      <c r="D46" s="122">
        <v>11337</v>
      </c>
      <c r="E46" s="122" t="s">
        <v>302</v>
      </c>
      <c r="F46" s="29">
        <f>VLOOKUP(D46,'[1]CHAN PF'!$A$2:$B$536,2,0)</f>
        <v>101494571258</v>
      </c>
      <c r="G46" s="101" t="s">
        <v>134</v>
      </c>
      <c r="H46" s="15" t="e">
        <f t="shared" si="32"/>
        <v>#N/A</v>
      </c>
      <c r="I46" s="15" t="e">
        <f t="shared" si="33"/>
        <v>#N/A</v>
      </c>
      <c r="J46" s="29" t="e">
        <f>VLOOKUP(D46,PAYSHEET!B$5:AA$84,24,0)</f>
        <v>#N/A</v>
      </c>
      <c r="K46" s="29" t="e">
        <f t="shared" si="34"/>
        <v>#N/A</v>
      </c>
      <c r="L46" s="29" t="e">
        <f t="shared" si="35"/>
        <v>#N/A</v>
      </c>
      <c r="M46" s="29" t="e">
        <f>ROUND(VLOOKUP(D46,PAYSHEET!B$5:AB$70,25,0),0)</f>
        <v>#N/A</v>
      </c>
      <c r="N46" s="29" t="e">
        <f>VLOOKUP(D46,PAYSHEET!B$5:AH$70,31,0)</f>
        <v>#N/A</v>
      </c>
      <c r="O46" s="29" t="e">
        <f t="shared" si="36"/>
        <v>#N/A</v>
      </c>
      <c r="P46" s="29" t="e">
        <f>VLOOKUP(D46,PAYSHEET!B$5:AC$70,26,0)</f>
        <v>#N/A</v>
      </c>
    </row>
    <row r="47" spans="3:16" ht="17.25" x14ac:dyDescent="0.25">
      <c r="C47" s="15">
        <f t="shared" si="5"/>
        <v>43</v>
      </c>
      <c r="D47" s="122">
        <v>11341</v>
      </c>
      <c r="E47" s="122" t="s">
        <v>300</v>
      </c>
      <c r="F47" s="29">
        <f>VLOOKUP(D47,'[1]CHAN PF'!$A$2:$B$536,2,0)</f>
        <v>102182356204</v>
      </c>
      <c r="G47" s="101">
        <f>VLOOKUP(D47,[1]ESIC!$C$3:$D$324,2,0)</f>
        <v>5221882923</v>
      </c>
      <c r="H47" s="15" t="e">
        <f t="shared" si="32"/>
        <v>#N/A</v>
      </c>
      <c r="I47" s="15" t="e">
        <f t="shared" si="33"/>
        <v>#N/A</v>
      </c>
      <c r="J47" s="29" t="e">
        <f>VLOOKUP(D47,PAYSHEET!B$5:AA$84,24,0)</f>
        <v>#N/A</v>
      </c>
      <c r="K47" s="29" t="e">
        <f t="shared" si="34"/>
        <v>#N/A</v>
      </c>
      <c r="L47" s="29" t="e">
        <f t="shared" si="35"/>
        <v>#N/A</v>
      </c>
      <c r="M47" s="29" t="e">
        <f>ROUND(VLOOKUP(D47,PAYSHEET!B$5:AB$70,25,0),0)</f>
        <v>#N/A</v>
      </c>
      <c r="N47" s="29" t="e">
        <f>VLOOKUP(D47,PAYSHEET!B$5:AH$70,31,0)</f>
        <v>#N/A</v>
      </c>
      <c r="O47" s="29" t="e">
        <f t="shared" si="36"/>
        <v>#N/A</v>
      </c>
      <c r="P47" s="29" t="e">
        <f>VLOOKUP(D47,PAYSHEET!B$5:AC$70,26,0)</f>
        <v>#N/A</v>
      </c>
    </row>
    <row r="48" spans="3:16" ht="17.25" x14ac:dyDescent="0.25">
      <c r="C48" s="15">
        <f t="shared" si="5"/>
        <v>44</v>
      </c>
      <c r="D48" s="122">
        <v>1</v>
      </c>
      <c r="E48" s="122" t="s">
        <v>314</v>
      </c>
      <c r="F48" s="29" t="s">
        <v>134</v>
      </c>
      <c r="G48" s="101" t="s">
        <v>134</v>
      </c>
      <c r="H48" s="15">
        <f t="shared" ref="H48:H50" si="37">ROUND(N48*100/3.25,0)</f>
        <v>528985</v>
      </c>
      <c r="I48" s="15">
        <f t="shared" ref="I48:I50" si="38">ROUND(J48*100/12,0)</f>
        <v>0</v>
      </c>
      <c r="J48" s="29">
        <f>VLOOKUP(D48,PAYSHEET!B$5:AA$84,24,0)</f>
        <v>0</v>
      </c>
      <c r="K48" s="29">
        <f t="shared" ref="K48:K50" si="39">I48*13%</f>
        <v>0</v>
      </c>
      <c r="L48" s="29">
        <f t="shared" ref="L48:L50" si="40">J48+K48</f>
        <v>0</v>
      </c>
      <c r="M48" s="29">
        <f>ROUND(VLOOKUP(D48,PAYSHEET!B$5:AB$70,25,0),0)</f>
        <v>19111</v>
      </c>
      <c r="N48" s="29">
        <f>VLOOKUP(D48,PAYSHEET!B$5:AH$70,31,0)</f>
        <v>17192</v>
      </c>
      <c r="O48" s="29">
        <f t="shared" ref="O48:O50" si="41">M48+N48</f>
        <v>36303</v>
      </c>
      <c r="P48" s="29">
        <f>VLOOKUP(D48,PAYSHEET!B$5:AC$70,26,0)</f>
        <v>1625.8064516129032</v>
      </c>
    </row>
    <row r="49" spans="3:16" ht="17.25" x14ac:dyDescent="0.25">
      <c r="C49" s="15">
        <f t="shared" si="5"/>
        <v>45</v>
      </c>
      <c r="D49" s="122">
        <v>2</v>
      </c>
      <c r="E49" s="122" t="s">
        <v>311</v>
      </c>
      <c r="F49" s="29" t="s">
        <v>134</v>
      </c>
      <c r="G49" s="101" t="s">
        <v>134</v>
      </c>
      <c r="H49" s="15">
        <f t="shared" si="37"/>
        <v>509908</v>
      </c>
      <c r="I49" s="15">
        <f t="shared" si="38"/>
        <v>0</v>
      </c>
      <c r="J49" s="29">
        <f>VLOOKUP(D49,PAYSHEET!B$5:AA$84,24,0)</f>
        <v>0</v>
      </c>
      <c r="K49" s="29">
        <f t="shared" si="39"/>
        <v>0</v>
      </c>
      <c r="L49" s="29">
        <f t="shared" si="40"/>
        <v>0</v>
      </c>
      <c r="M49" s="29">
        <f>ROUND(VLOOKUP(D49,PAYSHEET!B$5:AB$70,25,0),0)</f>
        <v>18428</v>
      </c>
      <c r="N49" s="29">
        <f>VLOOKUP(D49,PAYSHEET!B$5:AH$70,31,0)</f>
        <v>16572</v>
      </c>
      <c r="O49" s="29">
        <f t="shared" si="41"/>
        <v>35000</v>
      </c>
      <c r="P49" s="29">
        <f>VLOOKUP(D49,PAYSHEET!B$5:AC$70,26,0)</f>
        <v>1567.741935483871</v>
      </c>
    </row>
    <row r="50" spans="3:16" ht="17.25" x14ac:dyDescent="0.25">
      <c r="C50" s="15">
        <f t="shared" si="5"/>
        <v>46</v>
      </c>
      <c r="D50" s="122">
        <v>11389</v>
      </c>
      <c r="E50" s="122" t="s">
        <v>313</v>
      </c>
      <c r="F50" s="29">
        <f>VLOOKUP(D50,'[1]CHAN PF'!$A$2:$B$536,2,0)</f>
        <v>102193316312</v>
      </c>
      <c r="G50" s="101" t="s">
        <v>134</v>
      </c>
      <c r="H50" s="15" t="e">
        <f t="shared" si="37"/>
        <v>#N/A</v>
      </c>
      <c r="I50" s="15" t="e">
        <f t="shared" si="38"/>
        <v>#N/A</v>
      </c>
      <c r="J50" s="29" t="e">
        <f>VLOOKUP(D50,PAYSHEET!B$5:AA$84,24,0)</f>
        <v>#N/A</v>
      </c>
      <c r="K50" s="29" t="e">
        <f t="shared" si="39"/>
        <v>#N/A</v>
      </c>
      <c r="L50" s="29" t="e">
        <f t="shared" si="40"/>
        <v>#N/A</v>
      </c>
      <c r="M50" s="29" t="e">
        <f>ROUND(VLOOKUP(D50,PAYSHEET!B$5:AB$70,25,0),0)</f>
        <v>#N/A</v>
      </c>
      <c r="N50" s="29" t="e">
        <f>VLOOKUP(D50,PAYSHEET!B$5:AH$70,31,0)</f>
        <v>#N/A</v>
      </c>
      <c r="O50" s="29" t="e">
        <f t="shared" si="41"/>
        <v>#N/A</v>
      </c>
      <c r="P50" s="29" t="e">
        <f>VLOOKUP(D50,PAYSHEET!B$5:AC$70,26,0)</f>
        <v>#N/A</v>
      </c>
    </row>
    <row r="51" spans="3:16" x14ac:dyDescent="0.25">
      <c r="H51" s="100" t="e">
        <f>SUBTOTAL(9,H5:H50)</f>
        <v>#N/A</v>
      </c>
      <c r="I51" s="100" t="e">
        <f t="shared" ref="I51:P51" si="42">SUBTOTAL(9,I5:I50)</f>
        <v>#N/A</v>
      </c>
      <c r="J51" s="100" t="e">
        <f t="shared" si="42"/>
        <v>#N/A</v>
      </c>
      <c r="K51" s="100" t="e">
        <f t="shared" si="42"/>
        <v>#N/A</v>
      </c>
      <c r="L51" s="100" t="e">
        <f t="shared" si="42"/>
        <v>#N/A</v>
      </c>
      <c r="M51" s="100" t="e">
        <f t="shared" si="42"/>
        <v>#N/A</v>
      </c>
      <c r="N51" s="100" t="e">
        <f t="shared" si="42"/>
        <v>#N/A</v>
      </c>
      <c r="O51" s="100" t="e">
        <f t="shared" si="42"/>
        <v>#N/A</v>
      </c>
      <c r="P51" s="100" t="e">
        <f t="shared" si="42"/>
        <v>#N/A</v>
      </c>
    </row>
    <row r="55" spans="3:16" x14ac:dyDescent="0.25">
      <c r="C55" s="360" t="s">
        <v>331</v>
      </c>
      <c r="D55" s="360"/>
      <c r="E55" s="360"/>
      <c r="F55" s="360"/>
      <c r="G55" s="360"/>
      <c r="H55" s="360"/>
      <c r="I55" s="360"/>
      <c r="J55" s="360"/>
      <c r="K55" s="360"/>
      <c r="L55" s="360"/>
      <c r="M55" s="360"/>
      <c r="N55" s="360"/>
      <c r="O55" s="360"/>
      <c r="P55" s="360"/>
    </row>
    <row r="63" spans="3:16" ht="15.75" x14ac:dyDescent="0.25">
      <c r="C63" s="15">
        <f>C7+1</f>
        <v>4</v>
      </c>
      <c r="D63" s="16">
        <v>10987</v>
      </c>
      <c r="E63" s="16" t="s">
        <v>28</v>
      </c>
      <c r="F63" s="29">
        <v>101354500139</v>
      </c>
      <c r="G63" s="15">
        <v>5214479356</v>
      </c>
      <c r="H63" s="15" t="e">
        <f t="shared" ref="H63:H68" si="43">ROUND(N63*100/3.25,0)</f>
        <v>#N/A</v>
      </c>
      <c r="I63" s="15" t="e">
        <f t="shared" ref="I63:I68" si="44">ROUND(J63*100/12,0)</f>
        <v>#N/A</v>
      </c>
      <c r="J63" s="29" t="e">
        <f>VLOOKUP(D63,PAYSHEET!B$5:AA$84,24,0)</f>
        <v>#N/A</v>
      </c>
      <c r="K63" s="29" t="e">
        <f t="shared" ref="K63:K69" si="45">I63*13%</f>
        <v>#N/A</v>
      </c>
      <c r="L63" s="29" t="e">
        <f t="shared" ref="L63:L69" si="46">J63+K63</f>
        <v>#N/A</v>
      </c>
      <c r="M63" s="29" t="e">
        <f>ROUND(VLOOKUP(D63,PAYSHEET!B$5:AB$70,25,0),0)</f>
        <v>#N/A</v>
      </c>
      <c r="N63" s="29" t="e">
        <f>VLOOKUP(D63,PAYSHEET!B$5:AH$70,31,0)</f>
        <v>#N/A</v>
      </c>
      <c r="O63" s="29" t="e">
        <f t="shared" ref="O63:O69" si="47">M63+N63</f>
        <v>#N/A</v>
      </c>
      <c r="P63" s="29" t="e">
        <f>VLOOKUP(D63,PAYSHEET!B$5:AC$70,26,0)</f>
        <v>#N/A</v>
      </c>
    </row>
    <row r="64" spans="3:16" ht="15.75" x14ac:dyDescent="0.25">
      <c r="C64" s="15">
        <f>C10+1</f>
        <v>7</v>
      </c>
      <c r="D64" s="16">
        <v>11002</v>
      </c>
      <c r="E64" s="16" t="s">
        <v>108</v>
      </c>
      <c r="F64" s="29">
        <v>101247198972</v>
      </c>
      <c r="G64" s="15">
        <v>5218632918</v>
      </c>
      <c r="H64" s="15" t="e">
        <f t="shared" si="43"/>
        <v>#N/A</v>
      </c>
      <c r="I64" s="15" t="e">
        <f t="shared" si="44"/>
        <v>#N/A</v>
      </c>
      <c r="J64" s="29" t="e">
        <f>VLOOKUP(D64,PAYSHEET!B$5:AA$84,24,0)</f>
        <v>#N/A</v>
      </c>
      <c r="K64" s="29" t="e">
        <f t="shared" si="45"/>
        <v>#N/A</v>
      </c>
      <c r="L64" s="29" t="e">
        <f t="shared" si="46"/>
        <v>#N/A</v>
      </c>
      <c r="M64" s="29" t="e">
        <f>ROUND(VLOOKUP(D64,PAYSHEET!B$5:AB$70,25,0),0)</f>
        <v>#N/A</v>
      </c>
      <c r="N64" s="29" t="e">
        <f>VLOOKUP(D64,PAYSHEET!B$5:AH$70,31,0)</f>
        <v>#N/A</v>
      </c>
      <c r="O64" s="29" t="e">
        <f t="shared" si="47"/>
        <v>#N/A</v>
      </c>
      <c r="P64" s="29" t="e">
        <f>VLOOKUP(D64,PAYSHEET!B$5:AC$70,26,0)</f>
        <v>#N/A</v>
      </c>
    </row>
    <row r="65" spans="3:16" ht="15.75" x14ac:dyDescent="0.25">
      <c r="C65" s="15">
        <f>C64+1</f>
        <v>8</v>
      </c>
      <c r="D65" s="16">
        <v>11030</v>
      </c>
      <c r="E65" s="16" t="s">
        <v>34</v>
      </c>
      <c r="F65" s="29">
        <v>101195365890</v>
      </c>
      <c r="G65" s="15">
        <v>5218814959</v>
      </c>
      <c r="H65" s="15" t="e">
        <f t="shared" si="43"/>
        <v>#N/A</v>
      </c>
      <c r="I65" s="15" t="e">
        <f t="shared" si="44"/>
        <v>#N/A</v>
      </c>
      <c r="J65" s="29" t="e">
        <f>VLOOKUP(D65,PAYSHEET!B$5:AA$84,24,0)</f>
        <v>#N/A</v>
      </c>
      <c r="K65" s="29" t="e">
        <f t="shared" si="45"/>
        <v>#N/A</v>
      </c>
      <c r="L65" s="29" t="e">
        <f t="shared" si="46"/>
        <v>#N/A</v>
      </c>
      <c r="M65" s="29" t="e">
        <f>ROUND(VLOOKUP(D65,PAYSHEET!B$5:AB$70,25,0),0)</f>
        <v>#N/A</v>
      </c>
      <c r="N65" s="29" t="e">
        <f>VLOOKUP(D65,PAYSHEET!B$5:AH$70,31,0)</f>
        <v>#N/A</v>
      </c>
      <c r="O65" s="29" t="e">
        <f t="shared" si="47"/>
        <v>#N/A</v>
      </c>
      <c r="P65" s="29" t="e">
        <f>VLOOKUP(D65,PAYSHEET!B$5:AC$70,26,0)</f>
        <v>#N/A</v>
      </c>
    </row>
    <row r="66" spans="3:16" ht="15.75" x14ac:dyDescent="0.25">
      <c r="C66" s="15">
        <f>C65+1</f>
        <v>9</v>
      </c>
      <c r="D66" s="16">
        <v>10970</v>
      </c>
      <c r="E66" s="16" t="s">
        <v>107</v>
      </c>
      <c r="F66" s="29">
        <v>101397264446</v>
      </c>
      <c r="G66" s="15">
        <v>5219189859</v>
      </c>
      <c r="H66" s="15" t="e">
        <f t="shared" si="43"/>
        <v>#N/A</v>
      </c>
      <c r="I66" s="15" t="e">
        <f t="shared" si="44"/>
        <v>#N/A</v>
      </c>
      <c r="J66" s="29" t="e">
        <f>VLOOKUP(D66,PAYSHEET!B$5:AA$84,24,0)</f>
        <v>#N/A</v>
      </c>
      <c r="K66" s="29" t="e">
        <f t="shared" si="45"/>
        <v>#N/A</v>
      </c>
      <c r="L66" s="29" t="e">
        <f t="shared" si="46"/>
        <v>#N/A</v>
      </c>
      <c r="M66" s="29" t="e">
        <f>ROUND(VLOOKUP(D66,PAYSHEET!B$5:AB$70,25,0),0)</f>
        <v>#N/A</v>
      </c>
      <c r="N66" s="29" t="e">
        <f>VLOOKUP(D66,PAYSHEET!B$5:AH$70,31,0)</f>
        <v>#N/A</v>
      </c>
      <c r="O66" s="29" t="e">
        <f t="shared" si="47"/>
        <v>#N/A</v>
      </c>
      <c r="P66" s="29" t="e">
        <f>VLOOKUP(D66,PAYSHEET!B$5:AC$70,26,0)</f>
        <v>#N/A</v>
      </c>
    </row>
    <row r="67" spans="3:16" ht="15.75" x14ac:dyDescent="0.25">
      <c r="C67" s="15">
        <f>C15+1</f>
        <v>12</v>
      </c>
      <c r="D67" s="16">
        <v>10977</v>
      </c>
      <c r="E67" s="16" t="s">
        <v>42</v>
      </c>
      <c r="F67" s="29">
        <v>101823804746</v>
      </c>
      <c r="G67" s="15">
        <v>5218553222</v>
      </c>
      <c r="H67" s="15" t="e">
        <f t="shared" si="43"/>
        <v>#N/A</v>
      </c>
      <c r="I67" s="15" t="e">
        <f t="shared" si="44"/>
        <v>#N/A</v>
      </c>
      <c r="J67" s="29" t="e">
        <f>VLOOKUP(D67,PAYSHEET!B$5:AA$84,24,0)</f>
        <v>#N/A</v>
      </c>
      <c r="K67" s="29" t="e">
        <f t="shared" si="45"/>
        <v>#N/A</v>
      </c>
      <c r="L67" s="29" t="e">
        <f t="shared" si="46"/>
        <v>#N/A</v>
      </c>
      <c r="M67" s="29" t="e">
        <f>ROUND(VLOOKUP(D67,PAYSHEET!B$5:AB$70,25,0),0)</f>
        <v>#N/A</v>
      </c>
      <c r="N67" s="29" t="e">
        <f>VLOOKUP(D67,PAYSHEET!B$5:AH$70,31,0)</f>
        <v>#N/A</v>
      </c>
      <c r="O67" s="29" t="e">
        <f t="shared" si="47"/>
        <v>#N/A</v>
      </c>
      <c r="P67" s="29" t="e">
        <f>VLOOKUP(D67,PAYSHEET!B$5:AC$70,26,0)</f>
        <v>#N/A</v>
      </c>
    </row>
    <row r="68" spans="3:16" ht="15.75" x14ac:dyDescent="0.25">
      <c r="C68" s="15">
        <f>C23+1</f>
        <v>20</v>
      </c>
      <c r="D68" s="16">
        <v>10985</v>
      </c>
      <c r="E68" s="16" t="s">
        <v>54</v>
      </c>
      <c r="F68" s="29">
        <v>101611612492</v>
      </c>
      <c r="G68" s="15">
        <v>5219243373</v>
      </c>
      <c r="H68" s="15">
        <f t="shared" si="43"/>
        <v>63138</v>
      </c>
      <c r="I68" s="15">
        <f t="shared" si="44"/>
        <v>0</v>
      </c>
      <c r="J68" s="29">
        <f>VLOOKUP(D68,PAYSHEET!B$5:AA$84,24,0)</f>
        <v>0</v>
      </c>
      <c r="K68" s="29">
        <f t="shared" si="45"/>
        <v>0</v>
      </c>
      <c r="L68" s="29">
        <f t="shared" si="46"/>
        <v>0</v>
      </c>
      <c r="M68" s="29">
        <f>ROUND(VLOOKUP(D68,PAYSHEET!B$5:AB$70,25,0),0)</f>
        <v>2226</v>
      </c>
      <c r="N68" s="29">
        <f>VLOOKUP(D68,PAYSHEET!B$5:AH$70,31,0)</f>
        <v>2052</v>
      </c>
      <c r="O68" s="29">
        <f t="shared" si="47"/>
        <v>4278</v>
      </c>
      <c r="P68" s="29">
        <f>VLOOKUP(D68,PAYSHEET!B$5:AC$70,26,0)</f>
        <v>174.19354838709677</v>
      </c>
    </row>
    <row r="69" spans="3:16" ht="17.25" x14ac:dyDescent="0.25">
      <c r="C69" s="15">
        <f>C29+1</f>
        <v>26</v>
      </c>
      <c r="D69" s="8">
        <v>11050</v>
      </c>
      <c r="E69" s="8" t="s">
        <v>220</v>
      </c>
      <c r="F69" s="29">
        <v>102095604570</v>
      </c>
      <c r="G69" s="15">
        <v>5221153012</v>
      </c>
      <c r="H69" s="15" t="e">
        <f t="shared" ref="H69" si="48">ROUND(N69*100/3.25,0)</f>
        <v>#N/A</v>
      </c>
      <c r="I69" s="15" t="e">
        <f t="shared" ref="I69" si="49">ROUND(J69*100/12,0)</f>
        <v>#N/A</v>
      </c>
      <c r="J69" s="29" t="e">
        <f>VLOOKUP(D69,PAYSHEET!B$5:AA$84,24,0)</f>
        <v>#N/A</v>
      </c>
      <c r="K69" s="29" t="e">
        <f t="shared" si="45"/>
        <v>#N/A</v>
      </c>
      <c r="L69" s="29" t="e">
        <f t="shared" si="46"/>
        <v>#N/A</v>
      </c>
      <c r="M69" s="29" t="e">
        <f>ROUND(VLOOKUP(D69,PAYSHEET!B$5:AB$70,25,0),0)</f>
        <v>#N/A</v>
      </c>
      <c r="N69" s="29" t="e">
        <f>VLOOKUP(D69,PAYSHEET!B$5:AH$70,31,0)</f>
        <v>#N/A</v>
      </c>
      <c r="O69" s="29" t="e">
        <f t="shared" si="47"/>
        <v>#N/A</v>
      </c>
      <c r="P69" s="29" t="e">
        <f>VLOOKUP(D69,PAYSHEET!B$5:AC$70,26,0)</f>
        <v>#N/A</v>
      </c>
    </row>
    <row r="71" spans="3:16" ht="17.25" x14ac:dyDescent="0.25">
      <c r="C71" s="15">
        <f>C31+1</f>
        <v>28</v>
      </c>
      <c r="D71" s="8">
        <v>11182</v>
      </c>
      <c r="E71" s="8" t="s">
        <v>240</v>
      </c>
      <c r="F71" s="101">
        <v>101155846091</v>
      </c>
      <c r="G71" s="103">
        <v>5221451665</v>
      </c>
      <c r="H71" s="15" t="e">
        <f>ROUND(N71*100/3.25,0)</f>
        <v>#N/A</v>
      </c>
      <c r="I71" s="15" t="e">
        <f>ROUND(J71*100/12,0)</f>
        <v>#N/A</v>
      </c>
      <c r="J71" s="29" t="e">
        <f>VLOOKUP(D71,PAYSHEET!B$5:AA$84,24,0)</f>
        <v>#N/A</v>
      </c>
      <c r="K71" s="29" t="e">
        <f>I71*13%</f>
        <v>#N/A</v>
      </c>
      <c r="L71" s="29" t="e">
        <f>J71+K71</f>
        <v>#N/A</v>
      </c>
      <c r="M71" s="29" t="e">
        <f>ROUND(VLOOKUP(D71,PAYSHEET!B$5:AB$70,25,0),0)</f>
        <v>#N/A</v>
      </c>
      <c r="N71" s="29" t="e">
        <f>VLOOKUP(D71,PAYSHEET!B$5:AH$70,31,0)</f>
        <v>#N/A</v>
      </c>
      <c r="O71" s="29" t="e">
        <f>M71+N71</f>
        <v>#N/A</v>
      </c>
      <c r="P71" s="29" t="e">
        <f>VLOOKUP(D71,PAYSHEET!B$5:AC$70,26,0)</f>
        <v>#N/A</v>
      </c>
    </row>
    <row r="72" spans="3:16" ht="17.25" x14ac:dyDescent="0.25">
      <c r="C72" s="15">
        <f>C37+1</f>
        <v>34</v>
      </c>
      <c r="D72" s="121">
        <v>10585</v>
      </c>
      <c r="E72" s="8" t="s">
        <v>242</v>
      </c>
      <c r="F72" s="101">
        <f>VLOOKUP(D72,[2]PF!$B$2:$C$499,2,0)</f>
        <v>101201162069</v>
      </c>
      <c r="G72" s="103" t="s">
        <v>134</v>
      </c>
      <c r="H72" s="15" t="e">
        <f>ROUND(N72*100/3.25,0)</f>
        <v>#N/A</v>
      </c>
      <c r="I72" s="15" t="e">
        <f>ROUND(J72*100/12,0)</f>
        <v>#N/A</v>
      </c>
      <c r="J72" s="29" t="e">
        <f>VLOOKUP(D72,PAYSHEET!B$5:AA$84,24,0)</f>
        <v>#N/A</v>
      </c>
      <c r="K72" s="29" t="e">
        <f>I72*13%</f>
        <v>#N/A</v>
      </c>
      <c r="L72" s="29" t="e">
        <f>J72+K72</f>
        <v>#N/A</v>
      </c>
      <c r="M72" s="29" t="e">
        <f>ROUND(VLOOKUP(D72,PAYSHEET!B$5:AB$70,25,0),0)</f>
        <v>#N/A</v>
      </c>
      <c r="N72" s="29" t="e">
        <f>VLOOKUP(D72,PAYSHEET!B$5:AH$70,31,0)</f>
        <v>#N/A</v>
      </c>
      <c r="O72" s="29" t="e">
        <f>M72+N72</f>
        <v>#N/A</v>
      </c>
      <c r="P72" s="29" t="e">
        <f>VLOOKUP(D72,PAYSHEET!B$5:AC$70,26,0)</f>
        <v>#N/A</v>
      </c>
    </row>
    <row r="73" spans="3:16" ht="17.25" x14ac:dyDescent="0.25">
      <c r="C73" s="15">
        <f>C72+1</f>
        <v>35</v>
      </c>
      <c r="D73" s="122">
        <v>11247</v>
      </c>
      <c r="E73" s="122" t="s">
        <v>262</v>
      </c>
      <c r="F73" s="101">
        <f>VLOOKUP(D73,[3]PF!$C$3:$D$485,2,0)</f>
        <v>101626727030</v>
      </c>
      <c r="G73" s="103">
        <f>VLOOKUP(D73,[3]ESIC!$B$4:$C$420,2,0)</f>
        <v>5220204602</v>
      </c>
      <c r="H73" s="15" t="e">
        <f>ROUND(N73*100/3.25,0)</f>
        <v>#N/A</v>
      </c>
      <c r="I73" s="15" t="e">
        <f>ROUND(J73*100/12,0)</f>
        <v>#N/A</v>
      </c>
      <c r="J73" s="29" t="e">
        <f>VLOOKUP(D73,PAYSHEET!B$5:AA$84,24,0)</f>
        <v>#N/A</v>
      </c>
      <c r="K73" s="29" t="e">
        <f>I73*13%</f>
        <v>#N/A</v>
      </c>
      <c r="L73" s="29" t="e">
        <f>J73+K73</f>
        <v>#N/A</v>
      </c>
      <c r="M73" s="29" t="e">
        <f>ROUND(VLOOKUP(D73,PAYSHEET!B$5:AB$70,25,0),0)</f>
        <v>#N/A</v>
      </c>
      <c r="N73" s="29" t="e">
        <f>VLOOKUP(D73,PAYSHEET!B$5:AH$70,31,0)</f>
        <v>#N/A</v>
      </c>
      <c r="O73" s="29" t="e">
        <f>M73+N73</f>
        <v>#N/A</v>
      </c>
      <c r="P73" s="29" t="e">
        <f>VLOOKUP(D73,PAYSHEET!B$5:AC$70,26,0)</f>
        <v>#N/A</v>
      </c>
    </row>
    <row r="74" spans="3:16" ht="17.25" x14ac:dyDescent="0.25">
      <c r="C74" s="15">
        <f>C38+1</f>
        <v>35</v>
      </c>
      <c r="D74" s="122">
        <v>11256</v>
      </c>
      <c r="E74" s="122" t="s">
        <v>264</v>
      </c>
      <c r="F74" s="101">
        <f>VLOOKUP(D74,[3]PF!$C$3:$D$485,2,0)</f>
        <v>102155632619</v>
      </c>
      <c r="G74" s="103">
        <f>VLOOKUP(D74,[3]ESIC!$B$4:$C$420,2,0)</f>
        <v>5221617942</v>
      </c>
      <c r="H74" s="15" t="e">
        <f>ROUND(N74*100/3.25,0)</f>
        <v>#N/A</v>
      </c>
      <c r="I74" s="15" t="e">
        <f>ROUND(J74*100/12,0)</f>
        <v>#N/A</v>
      </c>
      <c r="J74" s="29" t="e">
        <f>VLOOKUP(D74,PAYSHEET!B$5:AA$84,24,0)</f>
        <v>#N/A</v>
      </c>
      <c r="K74" s="29" t="e">
        <f>I74*13%</f>
        <v>#N/A</v>
      </c>
      <c r="L74" s="29" t="e">
        <f>J74+K74</f>
        <v>#N/A</v>
      </c>
      <c r="M74" s="29" t="e">
        <f>ROUND(VLOOKUP(D74,PAYSHEET!B$5:AB$70,25,0),0)</f>
        <v>#N/A</v>
      </c>
      <c r="N74" s="29" t="e">
        <f>VLOOKUP(D74,PAYSHEET!B$5:AH$70,31,0)</f>
        <v>#N/A</v>
      </c>
      <c r="O74" s="29" t="e">
        <f>M74+N74</f>
        <v>#N/A</v>
      </c>
      <c r="P74" s="29" t="e">
        <f>VLOOKUP(D74,PAYSHEET!B$5:AC$70,26,0)</f>
        <v>#N/A</v>
      </c>
    </row>
    <row r="75" spans="3:16" x14ac:dyDescent="0.25">
      <c r="G75" s="117"/>
    </row>
    <row r="76" spans="3:16" x14ac:dyDescent="0.25">
      <c r="G76" s="117"/>
    </row>
    <row r="79" spans="3:16" ht="17.25" x14ac:dyDescent="0.25">
      <c r="C79" s="15">
        <f>C30+1</f>
        <v>27</v>
      </c>
      <c r="D79" s="8">
        <v>11116</v>
      </c>
      <c r="E79" s="8" t="s">
        <v>227</v>
      </c>
      <c r="F79" s="101" t="s">
        <v>230</v>
      </c>
      <c r="G79" s="103" t="s">
        <v>231</v>
      </c>
      <c r="H79" s="15" t="e">
        <f t="shared" ref="H79" si="50">ROUND(N79*100/3.25,0)</f>
        <v>#N/A</v>
      </c>
      <c r="I79" s="15" t="e">
        <f t="shared" ref="I79" si="51">ROUND(J79*100/12,0)</f>
        <v>#N/A</v>
      </c>
      <c r="J79" s="29" t="e">
        <f>VLOOKUP(D79,PAYSHEET!B$5:AA$84,24,0)</f>
        <v>#N/A</v>
      </c>
      <c r="K79" s="29" t="e">
        <f t="shared" ref="K79" si="52">I79*13%</f>
        <v>#N/A</v>
      </c>
      <c r="L79" s="29" t="e">
        <f t="shared" ref="L79" si="53">J79+K79</f>
        <v>#N/A</v>
      </c>
      <c r="M79" s="29" t="e">
        <f>ROUND(VLOOKUP(D79,PAYSHEET!B$5:AB$70,25,0),0)</f>
        <v>#N/A</v>
      </c>
      <c r="N79" s="29" t="e">
        <f>VLOOKUP(D79,PAYSHEET!B$5:AH$70,31,0)</f>
        <v>#N/A</v>
      </c>
      <c r="O79" s="29" t="e">
        <f t="shared" ref="O79" si="54">M79+N79</f>
        <v>#N/A</v>
      </c>
      <c r="P79" s="29" t="e">
        <f>VLOOKUP(D79,PAYSHEET!B$5:AC$70,26,0)</f>
        <v>#N/A</v>
      </c>
    </row>
    <row r="83" spans="3:16" ht="17.25" x14ac:dyDescent="0.25">
      <c r="C83" s="15">
        <f>C31+1</f>
        <v>28</v>
      </c>
      <c r="D83" s="8">
        <v>11175</v>
      </c>
      <c r="E83" s="8" t="s">
        <v>239</v>
      </c>
      <c r="F83" s="101">
        <v>102120060074</v>
      </c>
      <c r="G83" s="103">
        <v>5221466856</v>
      </c>
      <c r="H83" s="15" t="e">
        <f>ROUND(N83*100/3.25,0)</f>
        <v>#N/A</v>
      </c>
      <c r="I83" s="15" t="e">
        <f>ROUND(J83*100/12,0)</f>
        <v>#N/A</v>
      </c>
      <c r="J83" s="29" t="e">
        <f>VLOOKUP(D83,PAYSHEET!B$5:AA$84,24,0)</f>
        <v>#N/A</v>
      </c>
      <c r="K83" s="29" t="e">
        <f>I83*13%</f>
        <v>#N/A</v>
      </c>
      <c r="L83" s="29" t="e">
        <f>J83+K83</f>
        <v>#N/A</v>
      </c>
      <c r="M83" s="29" t="e">
        <f>ROUND(VLOOKUP(D83,PAYSHEET!B$5:AB$70,25,0),0)</f>
        <v>#N/A</v>
      </c>
      <c r="N83" s="29" t="e">
        <f>VLOOKUP(D83,PAYSHEET!B$5:AH$70,31,0)</f>
        <v>#N/A</v>
      </c>
      <c r="O83" s="29" t="e">
        <f>M83+N83</f>
        <v>#N/A</v>
      </c>
      <c r="P83" s="29" t="e">
        <f>VLOOKUP(D83,PAYSHEET!B$5:AC$70,26,0)</f>
        <v>#N/A</v>
      </c>
    </row>
    <row r="84" spans="3:16" ht="17.25" x14ac:dyDescent="0.25">
      <c r="C84" s="15">
        <f>C30+1</f>
        <v>27</v>
      </c>
      <c r="D84" s="8">
        <v>11110</v>
      </c>
      <c r="E84" s="8" t="s">
        <v>226</v>
      </c>
      <c r="F84" s="101" t="s">
        <v>228</v>
      </c>
      <c r="G84" s="103" t="s">
        <v>229</v>
      </c>
      <c r="H84" s="15" t="e">
        <f t="shared" ref="H84" si="55">ROUND(N84*100/3.25,0)</f>
        <v>#N/A</v>
      </c>
      <c r="I84" s="15" t="e">
        <f t="shared" ref="I84" si="56">ROUND(J84*100/12,0)</f>
        <v>#N/A</v>
      </c>
      <c r="J84" s="29" t="e">
        <f>VLOOKUP(D84,PAYSHEET!B$5:AA$84,24,0)</f>
        <v>#N/A</v>
      </c>
      <c r="K84" s="29" t="e">
        <f t="shared" ref="K84" si="57">I84*13%</f>
        <v>#N/A</v>
      </c>
      <c r="L84" s="29" t="e">
        <f t="shared" ref="L84" si="58">J84+K84</f>
        <v>#N/A</v>
      </c>
      <c r="M84" s="29" t="e">
        <f>ROUND(VLOOKUP(D84,PAYSHEET!B$5:AB$70,25,0),0)</f>
        <v>#N/A</v>
      </c>
      <c r="N84" s="29" t="e">
        <f>VLOOKUP(D84,PAYSHEET!B$5:AH$70,31,0)</f>
        <v>#N/A</v>
      </c>
      <c r="O84" s="29" t="e">
        <f t="shared" ref="O84" si="59">M84+N84</f>
        <v>#N/A</v>
      </c>
      <c r="P84" s="29" t="e">
        <f>VLOOKUP(D84,PAYSHEET!B$5:AC$70,26,0)</f>
        <v>#N/A</v>
      </c>
    </row>
    <row r="85" spans="3:16" ht="15.75" x14ac:dyDescent="0.25">
      <c r="C85" s="15">
        <f>C27+1</f>
        <v>24</v>
      </c>
      <c r="D85" s="16">
        <v>11024</v>
      </c>
      <c r="E85" s="16" t="s">
        <v>110</v>
      </c>
      <c r="F85" s="29">
        <v>102044342511</v>
      </c>
      <c r="G85" s="15">
        <v>5220829704</v>
      </c>
      <c r="H85" s="15" t="e">
        <f>ROUND(N85*100/3.25,0)</f>
        <v>#N/A</v>
      </c>
      <c r="I85" s="15" t="e">
        <f>ROUND(J85*100/12,0)</f>
        <v>#N/A</v>
      </c>
      <c r="J85" s="29" t="e">
        <f>VLOOKUP(D85,PAYSHEET!B$5:AA$84,24,0)</f>
        <v>#N/A</v>
      </c>
      <c r="K85" s="29" t="e">
        <f>I85*13%</f>
        <v>#N/A</v>
      </c>
      <c r="L85" s="29" t="e">
        <f>J85+K85</f>
        <v>#N/A</v>
      </c>
      <c r="M85" s="29" t="e">
        <f>ROUND(VLOOKUP(D85,PAYSHEET!B$5:AB$70,25,0),0)</f>
        <v>#N/A</v>
      </c>
      <c r="N85" s="29" t="e">
        <f>VLOOKUP(D85,PAYSHEET!B$5:AH$70,31,0)</f>
        <v>#N/A</v>
      </c>
      <c r="O85" s="29" t="e">
        <f>M85+N85</f>
        <v>#N/A</v>
      </c>
      <c r="P85" s="29" t="e">
        <f>VLOOKUP(D85,PAYSHEET!B$5:AC$70,26,0)</f>
        <v>#N/A</v>
      </c>
    </row>
    <row r="86" spans="3:16" ht="15.75" x14ac:dyDescent="0.25">
      <c r="C86" s="15">
        <f>C15+1</f>
        <v>12</v>
      </c>
      <c r="D86" s="16">
        <v>11001</v>
      </c>
      <c r="E86" s="16" t="s">
        <v>41</v>
      </c>
      <c r="F86" s="29">
        <v>101974710875</v>
      </c>
      <c r="G86" s="15">
        <v>5219953884</v>
      </c>
      <c r="H86" s="15" t="e">
        <f>ROUND(N86*100/3.25,0)</f>
        <v>#N/A</v>
      </c>
      <c r="I86" s="15" t="e">
        <f>ROUND(J86*100/12,0)</f>
        <v>#N/A</v>
      </c>
      <c r="J86" s="29" t="e">
        <f>VLOOKUP(D86,PAYSHEET!B$5:AA$70,24,0)</f>
        <v>#N/A</v>
      </c>
      <c r="K86" s="29" t="e">
        <f>I86*13%</f>
        <v>#N/A</v>
      </c>
      <c r="L86" s="29" t="e">
        <f>J86+K86</f>
        <v>#N/A</v>
      </c>
      <c r="M86" s="29" t="e">
        <f>ROUND(VLOOKUP(D86,PAYSHEET!B$5:AB$70,25,0),0)</f>
        <v>#N/A</v>
      </c>
      <c r="N86" s="29" t="e">
        <f>VLOOKUP(D86,PAYSHEET!B$5:AH$70,31,0)</f>
        <v>#N/A</v>
      </c>
      <c r="O86" s="29" t="e">
        <f>M86+N86</f>
        <v>#N/A</v>
      </c>
      <c r="P86" s="29" t="e">
        <f>VLOOKUP(D86,PAYSHEET!B$5:AC$70,26,0)</f>
        <v>#N/A</v>
      </c>
    </row>
    <row r="87" spans="3:16" ht="15.75" x14ac:dyDescent="0.25">
      <c r="C87" s="15">
        <f>C10+1</f>
        <v>7</v>
      </c>
      <c r="D87" s="16">
        <v>10994</v>
      </c>
      <c r="E87" s="16" t="s">
        <v>32</v>
      </c>
      <c r="F87" s="29">
        <v>101300040028</v>
      </c>
      <c r="G87" s="15" t="s">
        <v>134</v>
      </c>
      <c r="H87" s="15" t="e">
        <f>ROUND(N87*100/3.25,0)</f>
        <v>#N/A</v>
      </c>
      <c r="I87" s="15" t="e">
        <f>ROUND(J87*100/12,0)</f>
        <v>#N/A</v>
      </c>
      <c r="J87" s="29" t="e">
        <f>VLOOKUP(D87,PAYSHEET!B$5:AA$70,24,0)</f>
        <v>#N/A</v>
      </c>
      <c r="K87" s="29" t="e">
        <f>I87*13%</f>
        <v>#N/A</v>
      </c>
      <c r="L87" s="29" t="e">
        <f>J87+K87</f>
        <v>#N/A</v>
      </c>
      <c r="M87" s="29" t="e">
        <f>ROUND(VLOOKUP(D87,PAYSHEET!B$5:AB$70,25,0),0)</f>
        <v>#N/A</v>
      </c>
      <c r="N87" s="29" t="e">
        <f>VLOOKUP(D87,PAYSHEET!B$5:AH$70,31,0)</f>
        <v>#N/A</v>
      </c>
      <c r="O87" s="29" t="e">
        <f>M87+N87</f>
        <v>#N/A</v>
      </c>
      <c r="P87" s="29" t="e">
        <f>VLOOKUP(D87,PAYSHEET!B$5:AC$70,26,0)</f>
        <v>#N/A</v>
      </c>
    </row>
    <row r="88" spans="3:16" ht="15.75" x14ac:dyDescent="0.25">
      <c r="C88" s="15">
        <f>C24+1</f>
        <v>21</v>
      </c>
      <c r="D88" s="16">
        <v>10492</v>
      </c>
      <c r="E88" s="16" t="s">
        <v>56</v>
      </c>
      <c r="F88" s="29">
        <v>101925800595</v>
      </c>
      <c r="G88" s="15">
        <v>5220323113</v>
      </c>
      <c r="H88" s="15" t="e">
        <f>ROUND(N88*100/3.25,0)</f>
        <v>#N/A</v>
      </c>
      <c r="I88" s="15" t="e">
        <f>ROUND(J88*100/12,0)</f>
        <v>#N/A</v>
      </c>
      <c r="J88" s="29" t="e">
        <f>VLOOKUP(D88,PAYSHEET!B$5:AA$70,24,0)</f>
        <v>#N/A</v>
      </c>
      <c r="K88" s="29" t="e">
        <f>I88*13%</f>
        <v>#N/A</v>
      </c>
      <c r="L88" s="29" t="e">
        <f>J88+K88</f>
        <v>#N/A</v>
      </c>
      <c r="M88" s="29" t="e">
        <f>ROUND(VLOOKUP(D88,PAYSHEET!B$5:AB$70,25,0),0)</f>
        <v>#N/A</v>
      </c>
      <c r="N88" s="29" t="e">
        <f>VLOOKUP(D88,PAYSHEET!B$5:AH$70,31,0)</f>
        <v>#N/A</v>
      </c>
      <c r="O88" s="29" t="e">
        <f>M88+N88</f>
        <v>#N/A</v>
      </c>
      <c r="P88" s="29" t="e">
        <f>VLOOKUP(D88,PAYSHEET!B$5:AC$70,26,0)</f>
        <v>#N/A</v>
      </c>
    </row>
  </sheetData>
  <autoFilter ref="C4:P50" xr:uid="{3AC1A4EE-85C6-49D9-8AC2-FFA70C36416D}"/>
  <mergeCells count="2">
    <mergeCell ref="C3:P3"/>
    <mergeCell ref="C55:P55"/>
  </mergeCells>
  <conditionalFormatting sqref="D5:D42">
    <cfRule type="duplicateValues" dxfId="4" priority="41"/>
  </conditionalFormatting>
  <pageMargins left="0.33" right="0.12" top="0.75" bottom="0.51" header="0.3" footer="0.3"/>
  <pageSetup paperSize="9" scale="35" orientation="landscape"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07A4-2C64-404C-AD22-336A1D3C7FFE}">
  <dimension ref="C3:N77"/>
  <sheetViews>
    <sheetView showGridLines="0" topLeftCell="A13" workbookViewId="0">
      <selection activeCell="F45" sqref="F45"/>
    </sheetView>
  </sheetViews>
  <sheetFormatPr defaultColWidth="9.140625" defaultRowHeight="15.75" x14ac:dyDescent="0.25"/>
  <cols>
    <col min="1" max="4" width="9.140625" style="21"/>
    <col min="5" max="5" width="14.85546875" style="21" customWidth="1"/>
    <col min="6" max="6" width="39.28515625" style="21" bestFit="1" customWidth="1"/>
    <col min="7" max="7" width="25.85546875" style="108" customWidth="1"/>
    <col min="8" max="8" width="16.7109375" style="108" customWidth="1"/>
    <col min="9" max="9" width="17.7109375" style="21" customWidth="1"/>
    <col min="10" max="10" width="15.140625" style="21" customWidth="1"/>
    <col min="11" max="13" width="9.140625" style="21"/>
    <col min="14" max="14" width="11.85546875" style="21" bestFit="1" customWidth="1"/>
    <col min="15" max="16384" width="9.140625" style="21"/>
  </cols>
  <sheetData>
    <row r="3" spans="4:9" ht="16.5" thickBot="1" x14ac:dyDescent="0.3"/>
    <row r="4" spans="4:9" ht="16.5" thickBot="1" x14ac:dyDescent="0.3">
      <c r="D4" s="219" t="s">
        <v>315</v>
      </c>
      <c r="E4" s="220"/>
      <c r="F4" s="220"/>
      <c r="G4" s="220"/>
      <c r="H4" s="220"/>
      <c r="I4" s="221"/>
    </row>
    <row r="5" spans="4:9" ht="16.5" thickBot="1" x14ac:dyDescent="0.3"/>
    <row r="6" spans="4:9" ht="16.5" thickBot="1" x14ac:dyDescent="0.3">
      <c r="D6" s="22" t="s">
        <v>80</v>
      </c>
      <c r="E6" s="23" t="s">
        <v>81</v>
      </c>
      <c r="F6" s="23" t="s">
        <v>82</v>
      </c>
      <c r="G6" s="23" t="s">
        <v>83</v>
      </c>
      <c r="H6" s="23" t="s">
        <v>84</v>
      </c>
      <c r="I6" s="24" t="s">
        <v>85</v>
      </c>
    </row>
    <row r="7" spans="4:9" x14ac:dyDescent="0.25">
      <c r="D7" s="25">
        <v>1</v>
      </c>
      <c r="E7" s="26">
        <v>11029</v>
      </c>
      <c r="F7" s="26" t="s">
        <v>25</v>
      </c>
      <c r="G7" s="135" t="s">
        <v>277</v>
      </c>
      <c r="H7" s="26" t="s">
        <v>91</v>
      </c>
      <c r="I7" s="25">
        <f>VLOOKUP(E7,PAYSHEET!B$5:AF$84,29,0)</f>
        <v>0</v>
      </c>
    </row>
    <row r="8" spans="4:9" x14ac:dyDescent="0.25">
      <c r="D8" s="27">
        <f>D7+1</f>
        <v>2</v>
      </c>
      <c r="E8" s="16">
        <v>10984</v>
      </c>
      <c r="F8" s="16" t="s">
        <v>109</v>
      </c>
      <c r="G8" s="106" t="s">
        <v>278</v>
      </c>
      <c r="H8" s="16" t="s">
        <v>93</v>
      </c>
      <c r="I8" s="25">
        <f>VLOOKUP(E8,PAYSHEET!B$5:AF$84,29,0)</f>
        <v>0</v>
      </c>
    </row>
    <row r="9" spans="4:9" x14ac:dyDescent="0.25">
      <c r="D9" s="27">
        <f t="shared" ref="D9:D52" si="0">D8+1</f>
        <v>3</v>
      </c>
      <c r="E9" s="16">
        <v>10976</v>
      </c>
      <c r="F9" s="16" t="s">
        <v>27</v>
      </c>
      <c r="G9" s="106" t="s">
        <v>279</v>
      </c>
      <c r="H9" s="16" t="s">
        <v>92</v>
      </c>
      <c r="I9" s="25">
        <f>VLOOKUP(E9,PAYSHEET!B$5:AF$84,29,0)</f>
        <v>0</v>
      </c>
    </row>
    <row r="10" spans="4:9" x14ac:dyDescent="0.25">
      <c r="D10" s="27">
        <f t="shared" si="0"/>
        <v>4</v>
      </c>
      <c r="E10" s="16">
        <v>10986</v>
      </c>
      <c r="F10" s="16" t="s">
        <v>29</v>
      </c>
      <c r="G10" s="106" t="s">
        <v>297</v>
      </c>
      <c r="H10" s="16" t="s">
        <v>298</v>
      </c>
      <c r="I10" s="25">
        <f>VLOOKUP(E10,PAYSHEET!B$5:AF$84,29,0)</f>
        <v>0</v>
      </c>
    </row>
    <row r="11" spans="4:9" x14ac:dyDescent="0.25">
      <c r="D11" s="27">
        <f t="shared" si="0"/>
        <v>5</v>
      </c>
      <c r="E11" s="16">
        <v>10989</v>
      </c>
      <c r="F11" s="16" t="s">
        <v>30</v>
      </c>
      <c r="G11" s="106" t="s">
        <v>280</v>
      </c>
      <c r="H11" s="16" t="s">
        <v>93</v>
      </c>
      <c r="I11" s="25">
        <f>VLOOKUP(E11,PAYSHEET!B$5:AF$84,29,0)</f>
        <v>0</v>
      </c>
    </row>
    <row r="12" spans="4:9" x14ac:dyDescent="0.25">
      <c r="D12" s="27">
        <f t="shared" si="0"/>
        <v>6</v>
      </c>
      <c r="E12" s="16">
        <v>10988</v>
      </c>
      <c r="F12" s="16" t="s">
        <v>31</v>
      </c>
      <c r="G12" s="106" t="s">
        <v>281</v>
      </c>
      <c r="H12" s="16" t="s">
        <v>94</v>
      </c>
      <c r="I12" s="25" t="e">
        <f>VLOOKUP(E12,PAYSHEET!B$5:AF$84,29,0)</f>
        <v>#N/A</v>
      </c>
    </row>
    <row r="13" spans="4:9" x14ac:dyDescent="0.25">
      <c r="D13" s="27">
        <f t="shared" si="0"/>
        <v>7</v>
      </c>
      <c r="E13" s="16">
        <v>10982</v>
      </c>
      <c r="F13" s="16" t="s">
        <v>36</v>
      </c>
      <c r="G13" s="106" t="s">
        <v>282</v>
      </c>
      <c r="H13" s="16"/>
      <c r="I13" s="25">
        <f>VLOOKUP(E13,PAYSHEET!B$5:AF$84,29,0)</f>
        <v>0</v>
      </c>
    </row>
    <row r="14" spans="4:9" x14ac:dyDescent="0.25">
      <c r="D14" s="27">
        <f t="shared" si="0"/>
        <v>8</v>
      </c>
      <c r="E14" s="16">
        <v>11022</v>
      </c>
      <c r="F14" s="16" t="s">
        <v>105</v>
      </c>
      <c r="G14" s="106" t="s">
        <v>283</v>
      </c>
      <c r="H14" s="16" t="s">
        <v>94</v>
      </c>
      <c r="I14" s="25" t="e">
        <f>VLOOKUP(E14,PAYSHEET!B$5:AF$84,29,0)</f>
        <v>#N/A</v>
      </c>
    </row>
    <row r="15" spans="4:9" x14ac:dyDescent="0.25">
      <c r="D15" s="27">
        <f t="shared" si="0"/>
        <v>9</v>
      </c>
      <c r="E15" s="16">
        <v>10990</v>
      </c>
      <c r="F15" s="16" t="s">
        <v>39</v>
      </c>
      <c r="G15" s="106" t="s">
        <v>284</v>
      </c>
      <c r="H15" s="16" t="s">
        <v>96</v>
      </c>
      <c r="I15" s="25">
        <f>VLOOKUP(E15,PAYSHEET!B$5:AF$84,29,0)</f>
        <v>0</v>
      </c>
    </row>
    <row r="16" spans="4:9" x14ac:dyDescent="0.25">
      <c r="D16" s="27">
        <f t="shared" si="0"/>
        <v>10</v>
      </c>
      <c r="E16" s="16">
        <v>10981</v>
      </c>
      <c r="F16" s="16" t="s">
        <v>40</v>
      </c>
      <c r="G16" s="106" t="s">
        <v>285</v>
      </c>
      <c r="H16" s="16" t="s">
        <v>97</v>
      </c>
      <c r="I16" s="25">
        <f>VLOOKUP(E16,PAYSHEET!B$5:AF$84,29,0)</f>
        <v>0</v>
      </c>
    </row>
    <row r="17" spans="4:9" x14ac:dyDescent="0.25">
      <c r="D17" s="27">
        <f t="shared" si="0"/>
        <v>11</v>
      </c>
      <c r="E17" s="16">
        <v>11000</v>
      </c>
      <c r="F17" s="16" t="s">
        <v>44</v>
      </c>
      <c r="G17" s="106" t="s">
        <v>286</v>
      </c>
      <c r="H17" s="16" t="s">
        <v>99</v>
      </c>
      <c r="I17" s="25">
        <f>VLOOKUP(E17,PAYSHEET!B$5:AF$84,29,0)</f>
        <v>0</v>
      </c>
    </row>
    <row r="18" spans="4:9" x14ac:dyDescent="0.25">
      <c r="D18" s="27">
        <f t="shared" si="0"/>
        <v>12</v>
      </c>
      <c r="E18" s="16">
        <v>11026</v>
      </c>
      <c r="F18" s="16" t="s">
        <v>45</v>
      </c>
      <c r="G18" s="106" t="s">
        <v>287</v>
      </c>
      <c r="H18" s="16" t="s">
        <v>93</v>
      </c>
      <c r="I18" s="25" t="e">
        <f>VLOOKUP(E18,PAYSHEET!B$5:AF$84,29,0)</f>
        <v>#N/A</v>
      </c>
    </row>
    <row r="19" spans="4:9" x14ac:dyDescent="0.25">
      <c r="D19" s="27">
        <f t="shared" si="0"/>
        <v>13</v>
      </c>
      <c r="E19" s="16">
        <v>10991</v>
      </c>
      <c r="F19" s="16" t="s">
        <v>47</v>
      </c>
      <c r="G19" s="106" t="s">
        <v>117</v>
      </c>
      <c r="H19" s="16" t="s">
        <v>118</v>
      </c>
      <c r="I19" s="25">
        <f>VLOOKUP(E19,PAYSHEET!B$5:AF$84,29,0)</f>
        <v>0</v>
      </c>
    </row>
    <row r="20" spans="4:9" x14ac:dyDescent="0.25">
      <c r="D20" s="27">
        <f t="shared" si="0"/>
        <v>14</v>
      </c>
      <c r="E20" s="16">
        <v>10999</v>
      </c>
      <c r="F20" s="16" t="s">
        <v>50</v>
      </c>
      <c r="G20" s="105">
        <v>62342323181</v>
      </c>
      <c r="H20" s="16" t="s">
        <v>100</v>
      </c>
      <c r="I20" s="25" t="e">
        <f>VLOOKUP(E20,PAYSHEET!B$5:AF$84,29,0)</f>
        <v>#N/A</v>
      </c>
    </row>
    <row r="21" spans="4:9" x14ac:dyDescent="0.25">
      <c r="D21" s="27">
        <f t="shared" si="0"/>
        <v>15</v>
      </c>
      <c r="E21" s="16">
        <v>10980</v>
      </c>
      <c r="F21" s="16" t="s">
        <v>51</v>
      </c>
      <c r="G21" s="105">
        <v>23930100011966</v>
      </c>
      <c r="H21" s="16" t="s">
        <v>101</v>
      </c>
      <c r="I21" s="25">
        <f>VLOOKUP(E21,PAYSHEET!B$5:AF$84,29,0)</f>
        <v>0</v>
      </c>
    </row>
    <row r="22" spans="4:9" x14ac:dyDescent="0.25">
      <c r="D22" s="27">
        <f t="shared" si="0"/>
        <v>16</v>
      </c>
      <c r="E22" s="16">
        <v>10978</v>
      </c>
      <c r="F22" s="16" t="s">
        <v>53</v>
      </c>
      <c r="G22" s="105">
        <v>36718981606</v>
      </c>
      <c r="H22" s="16" t="s">
        <v>102</v>
      </c>
      <c r="I22" s="25">
        <f>VLOOKUP(E22,PAYSHEET!B$5:AF$84,29,0)</f>
        <v>0</v>
      </c>
    </row>
    <row r="23" spans="4:9" x14ac:dyDescent="0.25">
      <c r="D23" s="27">
        <f t="shared" si="0"/>
        <v>17</v>
      </c>
      <c r="E23" s="16">
        <v>10974</v>
      </c>
      <c r="F23" s="16" t="s">
        <v>55</v>
      </c>
      <c r="G23" s="105">
        <v>35352487786</v>
      </c>
      <c r="H23" s="16" t="s">
        <v>102</v>
      </c>
      <c r="I23" s="25">
        <f>VLOOKUP(E23,PAYSHEET!B$5:AF$84,29,0)</f>
        <v>0</v>
      </c>
    </row>
    <row r="24" spans="4:9" x14ac:dyDescent="0.25">
      <c r="D24" s="27">
        <f t="shared" si="0"/>
        <v>18</v>
      </c>
      <c r="E24" s="16">
        <v>10983</v>
      </c>
      <c r="F24" s="16" t="s">
        <v>57</v>
      </c>
      <c r="G24" s="105">
        <v>38524408774</v>
      </c>
      <c r="H24" s="16" t="s">
        <v>103</v>
      </c>
      <c r="I24" s="25">
        <f>VLOOKUP(E24,PAYSHEET!B$5:AF$84,29,0)</f>
        <v>0</v>
      </c>
    </row>
    <row r="25" spans="4:9" x14ac:dyDescent="0.25">
      <c r="D25" s="27">
        <f t="shared" si="0"/>
        <v>19</v>
      </c>
      <c r="E25" s="16">
        <v>10993</v>
      </c>
      <c r="F25" s="16" t="s">
        <v>58</v>
      </c>
      <c r="G25" s="105">
        <v>44511228093</v>
      </c>
      <c r="H25" s="16" t="s">
        <v>104</v>
      </c>
      <c r="I25" s="25" t="e">
        <f>VLOOKUP(E25,PAYSHEET!B$5:AF$84,29,0)</f>
        <v>#N/A</v>
      </c>
    </row>
    <row r="26" spans="4:9" x14ac:dyDescent="0.25">
      <c r="D26" s="27">
        <f t="shared" si="0"/>
        <v>20</v>
      </c>
      <c r="E26" s="16">
        <v>10997</v>
      </c>
      <c r="F26" s="16" t="s">
        <v>60</v>
      </c>
      <c r="G26" s="105">
        <v>40963915540</v>
      </c>
      <c r="H26" s="16" t="s">
        <v>98</v>
      </c>
      <c r="I26" s="25" t="e">
        <f>VLOOKUP(E26,PAYSHEET!B$5:AF$84,29,0)</f>
        <v>#N/A</v>
      </c>
    </row>
    <row r="27" spans="4:9" ht="17.25" x14ac:dyDescent="0.25">
      <c r="D27" s="27">
        <f t="shared" si="0"/>
        <v>21</v>
      </c>
      <c r="E27" s="8">
        <v>11058</v>
      </c>
      <c r="F27" s="8" t="s">
        <v>219</v>
      </c>
      <c r="G27" s="106" t="s">
        <v>223</v>
      </c>
      <c r="H27" s="16" t="s">
        <v>224</v>
      </c>
      <c r="I27" s="25" t="e">
        <f>VLOOKUP(E27,PAYSHEET!B$5:AF$84,29,0)</f>
        <v>#N/A</v>
      </c>
    </row>
    <row r="28" spans="4:9" ht="17.25" x14ac:dyDescent="0.25">
      <c r="D28" s="27">
        <f t="shared" si="0"/>
        <v>22</v>
      </c>
      <c r="E28" s="8">
        <v>11049</v>
      </c>
      <c r="F28" s="8" t="s">
        <v>220</v>
      </c>
      <c r="G28" s="106" t="s">
        <v>221</v>
      </c>
      <c r="H28" s="16" t="s">
        <v>222</v>
      </c>
      <c r="I28" s="25" t="e">
        <f>VLOOKUP(E28,PAYSHEET!B$5:AF$84,29,0)</f>
        <v>#N/A</v>
      </c>
    </row>
    <row r="29" spans="4:9" ht="17.25" x14ac:dyDescent="0.25">
      <c r="D29" s="27">
        <f t="shared" si="0"/>
        <v>23</v>
      </c>
      <c r="E29" s="8">
        <v>11032</v>
      </c>
      <c r="F29" s="8" t="s">
        <v>77</v>
      </c>
      <c r="G29" s="106" t="s">
        <v>217</v>
      </c>
      <c r="H29" s="16" t="s">
        <v>218</v>
      </c>
      <c r="I29" s="25">
        <f>VLOOKUP(E29,PAYSHEET!B$5:AF$84,29,0)</f>
        <v>0</v>
      </c>
    </row>
    <row r="30" spans="4:9" ht="17.25" x14ac:dyDescent="0.25">
      <c r="D30" s="27">
        <f t="shared" si="0"/>
        <v>24</v>
      </c>
      <c r="E30" s="122">
        <v>11193</v>
      </c>
      <c r="F30" s="122" t="s">
        <v>241</v>
      </c>
      <c r="G30" s="138" t="s">
        <v>243</v>
      </c>
      <c r="H30" s="134" t="s">
        <v>296</v>
      </c>
      <c r="I30" s="25" t="e">
        <f>VLOOKUP(E30,PAYSHEET!B$5:AF$84,29,0)</f>
        <v>#N/A</v>
      </c>
    </row>
    <row r="31" spans="4:9" ht="17.25" x14ac:dyDescent="0.25">
      <c r="D31" s="27">
        <f t="shared" si="0"/>
        <v>25</v>
      </c>
      <c r="E31" s="8">
        <v>11158</v>
      </c>
      <c r="F31" s="8" t="s">
        <v>238</v>
      </c>
      <c r="G31" s="107" t="s">
        <v>244</v>
      </c>
      <c r="H31" s="16" t="s">
        <v>245</v>
      </c>
      <c r="I31" s="25">
        <f>VLOOKUP(E31,PAYSHEET!B$5:AF$84,29,0)</f>
        <v>0</v>
      </c>
    </row>
    <row r="32" spans="4:9" ht="17.25" x14ac:dyDescent="0.25">
      <c r="D32" s="27">
        <f t="shared" si="0"/>
        <v>26</v>
      </c>
      <c r="E32" s="8">
        <v>11215</v>
      </c>
      <c r="F32" s="8" t="s">
        <v>250</v>
      </c>
      <c r="G32" s="107" t="s">
        <v>254</v>
      </c>
      <c r="H32" s="16" t="s">
        <v>255</v>
      </c>
      <c r="I32" s="25" t="e">
        <f>VLOOKUP(E32,PAYSHEET!B$5:AF$84,29,0)</f>
        <v>#N/A</v>
      </c>
    </row>
    <row r="33" spans="4:14" ht="17.25" x14ac:dyDescent="0.25">
      <c r="D33" s="27">
        <f t="shared" si="0"/>
        <v>27</v>
      </c>
      <c r="E33" s="8">
        <v>10339</v>
      </c>
      <c r="F33" s="8" t="s">
        <v>259</v>
      </c>
      <c r="G33" s="107" t="s">
        <v>260</v>
      </c>
      <c r="H33" s="16" t="s">
        <v>261</v>
      </c>
      <c r="I33" s="25" t="e">
        <f>VLOOKUP(E33,PAYSHEET!B$5:AF$84,29,0)</f>
        <v>#N/A</v>
      </c>
    </row>
    <row r="34" spans="4:14" ht="17.25" x14ac:dyDescent="0.25">
      <c r="D34" s="27">
        <f t="shared" si="0"/>
        <v>28</v>
      </c>
      <c r="E34" s="8">
        <v>11217</v>
      </c>
      <c r="F34" s="8" t="s">
        <v>251</v>
      </c>
      <c r="G34" s="107" t="s">
        <v>256</v>
      </c>
      <c r="H34" s="16" t="s">
        <v>257</v>
      </c>
      <c r="I34" s="25" t="e">
        <f>VLOOKUP(E34,PAYSHEET!B$5:AF$84,29,0)</f>
        <v>#N/A</v>
      </c>
    </row>
    <row r="35" spans="4:14" ht="17.25" x14ac:dyDescent="0.25">
      <c r="D35" s="27">
        <f t="shared" si="0"/>
        <v>29</v>
      </c>
      <c r="E35" s="8">
        <v>11203</v>
      </c>
      <c r="F35" s="8" t="s">
        <v>248</v>
      </c>
      <c r="G35" s="107" t="s">
        <v>252</v>
      </c>
      <c r="H35" s="16" t="s">
        <v>253</v>
      </c>
      <c r="I35" s="25">
        <f>VLOOKUP(E35,PAYSHEET!B$5:AF$84,29,0)</f>
        <v>0</v>
      </c>
    </row>
    <row r="36" spans="4:14" ht="17.25" x14ac:dyDescent="0.25">
      <c r="D36" s="27">
        <f t="shared" si="0"/>
        <v>30</v>
      </c>
      <c r="E36" s="8">
        <v>11214</v>
      </c>
      <c r="F36" s="8" t="s">
        <v>249</v>
      </c>
      <c r="G36" s="107" t="s">
        <v>258</v>
      </c>
      <c r="H36" s="16" t="s">
        <v>253</v>
      </c>
      <c r="I36" s="25">
        <f>VLOOKUP(E36,PAYSHEET!B$5:AF$84,29,0)</f>
        <v>0</v>
      </c>
    </row>
    <row r="37" spans="4:14" ht="17.25" x14ac:dyDescent="0.25">
      <c r="D37" s="27">
        <f t="shared" si="0"/>
        <v>31</v>
      </c>
      <c r="E37" s="122">
        <v>11246</v>
      </c>
      <c r="F37" s="122" t="s">
        <v>263</v>
      </c>
      <c r="G37" s="107" t="s">
        <v>266</v>
      </c>
      <c r="H37" s="16" t="s">
        <v>95</v>
      </c>
      <c r="I37" s="25" t="e">
        <f>VLOOKUP(E37,PAYSHEET!B$5:AF$84,29,0)</f>
        <v>#N/A</v>
      </c>
    </row>
    <row r="38" spans="4:14" ht="17.25" x14ac:dyDescent="0.25">
      <c r="D38" s="27">
        <f t="shared" si="0"/>
        <v>32</v>
      </c>
      <c r="E38" s="122">
        <v>11273</v>
      </c>
      <c r="F38" s="122" t="s">
        <v>270</v>
      </c>
      <c r="G38" s="107" t="s">
        <v>271</v>
      </c>
      <c r="H38" s="125" t="s">
        <v>272</v>
      </c>
      <c r="I38" s="25">
        <f>VLOOKUP(E38,PAYSHEET!B$5:AF$84,29,0)</f>
        <v>0</v>
      </c>
    </row>
    <row r="39" spans="4:14" ht="17.25" x14ac:dyDescent="0.25">
      <c r="D39" s="27">
        <f t="shared" si="0"/>
        <v>33</v>
      </c>
      <c r="E39" s="122">
        <v>11276</v>
      </c>
      <c r="F39" s="122" t="s">
        <v>269</v>
      </c>
      <c r="G39" s="107" t="s">
        <v>273</v>
      </c>
      <c r="H39" s="125" t="s">
        <v>274</v>
      </c>
      <c r="I39" s="25">
        <f>VLOOKUP(E39,PAYSHEET!B$5:AF$84,29,0)</f>
        <v>0</v>
      </c>
      <c r="N39" s="125"/>
    </row>
    <row r="40" spans="4:14" ht="17.25" x14ac:dyDescent="0.25">
      <c r="D40" s="27">
        <f t="shared" si="0"/>
        <v>34</v>
      </c>
      <c r="E40" s="122">
        <v>11311</v>
      </c>
      <c r="F40" s="122" t="s">
        <v>275</v>
      </c>
      <c r="G40" s="105" t="s">
        <v>289</v>
      </c>
      <c r="H40" s="16" t="s">
        <v>290</v>
      </c>
      <c r="I40" s="25">
        <f>VLOOKUP(E40,PAYSHEET!B$5:AF$84,29,0)</f>
        <v>0</v>
      </c>
    </row>
    <row r="41" spans="4:14" ht="17.25" x14ac:dyDescent="0.25">
      <c r="D41" s="27">
        <f t="shared" si="0"/>
        <v>35</v>
      </c>
      <c r="E41" s="122">
        <v>10998</v>
      </c>
      <c r="F41" s="122" t="s">
        <v>49</v>
      </c>
      <c r="G41" s="105">
        <v>33602013886</v>
      </c>
      <c r="H41" s="16" t="s">
        <v>295</v>
      </c>
      <c r="I41" s="25" t="e">
        <f>VLOOKUP(E41,PAYSHEET!B$5:AF$84,29,0)</f>
        <v>#N/A</v>
      </c>
    </row>
    <row r="42" spans="4:14" ht="17.25" x14ac:dyDescent="0.25">
      <c r="D42" s="27">
        <f t="shared" si="0"/>
        <v>36</v>
      </c>
      <c r="E42" s="122">
        <v>10312</v>
      </c>
      <c r="F42" s="122" t="s">
        <v>301</v>
      </c>
      <c r="G42" s="106" t="s">
        <v>305</v>
      </c>
      <c r="H42" s="16" t="s">
        <v>310</v>
      </c>
      <c r="I42" s="25" t="e">
        <f>VLOOKUP(E42,PAYSHEET!B$5:AF$84,29,0)</f>
        <v>#N/A</v>
      </c>
    </row>
    <row r="43" spans="4:14" ht="17.25" x14ac:dyDescent="0.25">
      <c r="D43" s="27">
        <f t="shared" si="0"/>
        <v>37</v>
      </c>
      <c r="E43" s="122">
        <v>11337</v>
      </c>
      <c r="F43" s="122" t="s">
        <v>302</v>
      </c>
      <c r="G43" s="106" t="s">
        <v>306</v>
      </c>
      <c r="H43" s="16" t="s">
        <v>307</v>
      </c>
      <c r="I43" s="25" t="e">
        <f>VLOOKUP(E43,PAYSHEET!B$5:AF$84,29,0)</f>
        <v>#N/A</v>
      </c>
    </row>
    <row r="44" spans="4:14" ht="17.25" x14ac:dyDescent="0.25">
      <c r="D44" s="27">
        <f t="shared" si="0"/>
        <v>38</v>
      </c>
      <c r="E44" s="122">
        <v>11341</v>
      </c>
      <c r="F44" s="122" t="s">
        <v>300</v>
      </c>
      <c r="G44" s="106" t="s">
        <v>308</v>
      </c>
      <c r="H44" s="16" t="s">
        <v>309</v>
      </c>
      <c r="I44" s="25" t="e">
        <f>VLOOKUP(E44,PAYSHEET!B$5:AF$84,29,0)</f>
        <v>#N/A</v>
      </c>
    </row>
    <row r="45" spans="4:14" ht="17.25" x14ac:dyDescent="0.25">
      <c r="D45" s="27">
        <f t="shared" si="0"/>
        <v>39</v>
      </c>
      <c r="E45" s="122">
        <v>11389</v>
      </c>
      <c r="F45" s="122" t="s">
        <v>313</v>
      </c>
      <c r="G45" s="106" t="s">
        <v>320</v>
      </c>
      <c r="H45" s="16" t="s">
        <v>321</v>
      </c>
      <c r="I45" s="25" t="e">
        <f>VLOOKUP(E45,PAYSHEET!B$5:AF$84,29,0)</f>
        <v>#N/A</v>
      </c>
    </row>
    <row r="46" spans="4:14" ht="17.25" x14ac:dyDescent="0.25">
      <c r="D46" s="27">
        <f t="shared" si="0"/>
        <v>40</v>
      </c>
      <c r="E46" s="122">
        <v>10979</v>
      </c>
      <c r="F46" s="122" t="s">
        <v>35</v>
      </c>
      <c r="G46" s="152" t="s">
        <v>316</v>
      </c>
      <c r="H46" s="134" t="s">
        <v>317</v>
      </c>
      <c r="I46" s="25" t="e">
        <f>VLOOKUP(E46,PAYSHEET!B$5:AF$84,29,0)</f>
        <v>#N/A</v>
      </c>
    </row>
    <row r="47" spans="4:14" ht="17.25" x14ac:dyDescent="0.25">
      <c r="D47" s="27">
        <f t="shared" si="0"/>
        <v>41</v>
      </c>
      <c r="E47" s="122">
        <v>11313</v>
      </c>
      <c r="F47" s="122" t="s">
        <v>276</v>
      </c>
      <c r="G47" s="105" t="s">
        <v>291</v>
      </c>
      <c r="H47" s="16" t="s">
        <v>292</v>
      </c>
      <c r="I47" s="25" t="e">
        <f>VLOOKUP(E47,PAYSHEET!B$5:AF$84,29,0)</f>
        <v>#N/A</v>
      </c>
    </row>
    <row r="48" spans="4:14" ht="17.25" x14ac:dyDescent="0.25">
      <c r="D48" s="27">
        <f t="shared" si="0"/>
        <v>42</v>
      </c>
      <c r="E48" s="122">
        <v>1</v>
      </c>
      <c r="F48" s="122" t="s">
        <v>314</v>
      </c>
      <c r="G48" s="106" t="s">
        <v>323</v>
      </c>
      <c r="H48" s="16" t="s">
        <v>324</v>
      </c>
      <c r="I48" s="25">
        <f>VLOOKUP(E48,PAYSHEET!B$5:AF$84,29,0)</f>
        <v>0</v>
      </c>
    </row>
    <row r="49" spans="3:12" ht="17.25" x14ac:dyDescent="0.25">
      <c r="C49" s="21" t="s">
        <v>319</v>
      </c>
      <c r="D49" s="27">
        <f t="shared" si="0"/>
        <v>43</v>
      </c>
      <c r="E49" s="122">
        <v>2</v>
      </c>
      <c r="F49" s="122" t="s">
        <v>311</v>
      </c>
      <c r="G49" s="151" t="s">
        <v>322</v>
      </c>
      <c r="H49" s="136" t="s">
        <v>317</v>
      </c>
      <c r="I49" s="25">
        <f>VLOOKUP(E49,PAYSHEET!B$5:AF$84,29,0)</f>
        <v>0</v>
      </c>
    </row>
    <row r="50" spans="3:12" ht="17.25" x14ac:dyDescent="0.25">
      <c r="D50" s="27">
        <f t="shared" si="0"/>
        <v>44</v>
      </c>
      <c r="E50" s="122">
        <v>10492</v>
      </c>
      <c r="F50" s="122" t="s">
        <v>56</v>
      </c>
      <c r="G50" s="105" t="s">
        <v>293</v>
      </c>
      <c r="H50" s="16" t="s">
        <v>294</v>
      </c>
      <c r="I50" s="25" t="e">
        <f>VLOOKUP(E50,PAYSHEET!B$5:AF$84,29,0)</f>
        <v>#N/A</v>
      </c>
    </row>
    <row r="51" spans="3:12" x14ac:dyDescent="0.25">
      <c r="D51" s="27">
        <f t="shared" si="0"/>
        <v>45</v>
      </c>
      <c r="E51" s="16">
        <v>11028</v>
      </c>
      <c r="F51" s="16" t="s">
        <v>46</v>
      </c>
      <c r="G51" s="106" t="s">
        <v>288</v>
      </c>
      <c r="H51" s="16" t="s">
        <v>93</v>
      </c>
      <c r="I51" s="25" t="e">
        <f>VLOOKUP(E51,PAYSHEET!B$5:AF$84,29,0)</f>
        <v>#N/A</v>
      </c>
    </row>
    <row r="52" spans="3:12" ht="17.25" x14ac:dyDescent="0.25">
      <c r="D52" s="27">
        <f t="shared" si="0"/>
        <v>46</v>
      </c>
      <c r="E52" s="122">
        <v>11241</v>
      </c>
      <c r="F52" s="122" t="s">
        <v>265</v>
      </c>
      <c r="G52" s="107" t="s">
        <v>267</v>
      </c>
      <c r="H52" s="16" t="s">
        <v>268</v>
      </c>
      <c r="I52" s="25" t="e">
        <f>VLOOKUP(E52,PAYSHEET!B$5:AF$84,29,0)</f>
        <v>#N/A</v>
      </c>
    </row>
    <row r="53" spans="3:12" ht="17.25" x14ac:dyDescent="0.25">
      <c r="E53" s="128"/>
      <c r="F53" s="128"/>
      <c r="I53" s="124" t="e">
        <f>SUM(I7:I52)</f>
        <v>#N/A</v>
      </c>
      <c r="L53" s="21" t="e">
        <f>I53</f>
        <v>#N/A</v>
      </c>
    </row>
    <row r="54" spans="3:12" x14ac:dyDescent="0.25">
      <c r="I54" s="126"/>
      <c r="L54" s="28">
        <f>PAYSHEET!AF71</f>
        <v>953579</v>
      </c>
    </row>
    <row r="55" spans="3:12" x14ac:dyDescent="0.25">
      <c r="I55" s="126"/>
      <c r="L55" s="28" t="e">
        <f>L53-L54</f>
        <v>#N/A</v>
      </c>
    </row>
    <row r="56" spans="3:12" x14ac:dyDescent="0.25">
      <c r="I56" s="126"/>
    </row>
    <row r="57" spans="3:12" x14ac:dyDescent="0.25">
      <c r="D57" s="21" t="s">
        <v>87</v>
      </c>
      <c r="F57" s="21" t="s">
        <v>88</v>
      </c>
      <c r="G57" s="108" t="s">
        <v>89</v>
      </c>
      <c r="I57" s="21" t="s">
        <v>90</v>
      </c>
    </row>
    <row r="65" spans="4:9" x14ac:dyDescent="0.25">
      <c r="D65" s="361" t="s">
        <v>318</v>
      </c>
      <c r="E65" s="361"/>
      <c r="F65" s="361"/>
      <c r="G65" s="361"/>
      <c r="H65" s="361"/>
      <c r="I65" s="361"/>
    </row>
    <row r="66" spans="4:9" x14ac:dyDescent="0.25">
      <c r="D66" s="132" t="s">
        <v>80</v>
      </c>
      <c r="E66" s="132" t="s">
        <v>81</v>
      </c>
      <c r="F66" s="132" t="s">
        <v>82</v>
      </c>
      <c r="G66" s="132" t="s">
        <v>83</v>
      </c>
      <c r="H66" s="132" t="s">
        <v>84</v>
      </c>
      <c r="I66" s="132" t="s">
        <v>85</v>
      </c>
    </row>
    <row r="73" spans="4:9" ht="17.25" x14ac:dyDescent="0.25">
      <c r="D73" s="129"/>
      <c r="E73" s="128"/>
      <c r="F73" s="128"/>
      <c r="G73" s="130"/>
      <c r="H73" s="131"/>
      <c r="I73" s="137" t="e">
        <f>SUM(I47:I52)</f>
        <v>#N/A</v>
      </c>
    </row>
    <row r="74" spans="4:9" ht="17.25" x14ac:dyDescent="0.25">
      <c r="D74" s="129"/>
      <c r="E74" s="128"/>
      <c r="F74" s="128"/>
      <c r="G74" s="130"/>
      <c r="H74" s="131"/>
      <c r="I74" s="129"/>
    </row>
    <row r="75" spans="4:9" ht="17.25" x14ac:dyDescent="0.25">
      <c r="D75" s="129"/>
      <c r="E75" s="128"/>
      <c r="F75" s="128"/>
      <c r="G75" s="130"/>
      <c r="H75" s="131"/>
      <c r="I75" s="129"/>
    </row>
    <row r="76" spans="4:9" ht="17.25" x14ac:dyDescent="0.25">
      <c r="D76" s="129"/>
      <c r="E76" s="128"/>
      <c r="F76" s="128"/>
      <c r="G76" s="130"/>
      <c r="H76" s="131"/>
      <c r="I76" s="129"/>
    </row>
    <row r="77" spans="4:9" x14ac:dyDescent="0.25">
      <c r="D77" s="21" t="s">
        <v>87</v>
      </c>
      <c r="F77" s="21" t="s">
        <v>88</v>
      </c>
      <c r="G77" s="108" t="s">
        <v>89</v>
      </c>
      <c r="I77" s="21" t="s">
        <v>90</v>
      </c>
    </row>
  </sheetData>
  <mergeCells count="2">
    <mergeCell ref="D4:I4"/>
    <mergeCell ref="D65:I65"/>
  </mergeCells>
  <conditionalFormatting sqref="E7:E52">
    <cfRule type="duplicateValues" dxfId="3" priority="55"/>
  </conditionalFormatting>
  <conditionalFormatting sqref="E73:E76 E7:E29 E31:E37 E51:E52">
    <cfRule type="duplicateValues" dxfId="2" priority="54"/>
  </conditionalFormatting>
  <conditionalFormatting sqref="G41">
    <cfRule type="duplicateValues" dxfId="1" priority="4"/>
  </conditionalFormatting>
  <conditionalFormatting sqref="G49">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EBDC-3C51-4C64-9E16-DAE365E5EF6F}">
  <sheetPr>
    <pageSetUpPr fitToPage="1"/>
  </sheetPr>
  <dimension ref="C3:T24"/>
  <sheetViews>
    <sheetView showGridLines="0" zoomScaleNormal="100" workbookViewId="0">
      <selection activeCell="F29" sqref="F29"/>
    </sheetView>
  </sheetViews>
  <sheetFormatPr defaultRowHeight="15" x14ac:dyDescent="0.25"/>
  <cols>
    <col min="2" max="2" width="20" customWidth="1"/>
    <col min="3" max="4" width="18.85546875" bestFit="1" customWidth="1"/>
    <col min="5" max="6" width="16.85546875" bestFit="1" customWidth="1"/>
    <col min="7" max="7" width="24.28515625" bestFit="1" customWidth="1"/>
    <col min="8" max="8" width="17.42578125" bestFit="1" customWidth="1"/>
    <col min="9" max="10" width="17.5703125" bestFit="1" customWidth="1"/>
    <col min="11" max="11" width="18.5703125" bestFit="1" customWidth="1"/>
    <col min="12" max="13" width="9.5703125" bestFit="1" customWidth="1"/>
    <col min="14" max="14" width="10.5703125" customWidth="1"/>
    <col min="15" max="15" width="10.85546875" customWidth="1"/>
    <col min="16" max="16" width="15.85546875" customWidth="1"/>
    <col min="17" max="17" width="8.5703125" customWidth="1"/>
    <col min="18" max="18" width="21.140625" bestFit="1" customWidth="1"/>
  </cols>
  <sheetData>
    <row r="3" spans="3:19" ht="15.75" thickBot="1" x14ac:dyDescent="0.3"/>
    <row r="4" spans="3:19" ht="15.75" thickBot="1" x14ac:dyDescent="0.3">
      <c r="C4" s="363" t="s">
        <v>328</v>
      </c>
      <c r="D4" s="364"/>
      <c r="E4" s="364"/>
      <c r="F4" s="364"/>
      <c r="G4" s="364"/>
      <c r="H4" s="364" t="s">
        <v>135</v>
      </c>
      <c r="I4" s="364"/>
      <c r="J4" s="364"/>
      <c r="K4" s="364" t="s">
        <v>136</v>
      </c>
      <c r="L4" s="364"/>
      <c r="M4" s="364"/>
      <c r="N4" s="364"/>
      <c r="O4" s="364"/>
      <c r="P4" s="364"/>
      <c r="Q4" s="364"/>
      <c r="R4" s="365"/>
    </row>
    <row r="5" spans="3:19" x14ac:dyDescent="0.25">
      <c r="C5" s="161" t="s">
        <v>2</v>
      </c>
      <c r="D5" s="161" t="s">
        <v>137</v>
      </c>
      <c r="E5" s="161" t="s">
        <v>138</v>
      </c>
      <c r="F5" s="161" t="s">
        <v>139</v>
      </c>
      <c r="G5" s="161" t="s">
        <v>140</v>
      </c>
      <c r="H5" s="161" t="s">
        <v>138</v>
      </c>
      <c r="I5" s="161" t="s">
        <v>141</v>
      </c>
      <c r="J5" s="161" t="s">
        <v>142</v>
      </c>
      <c r="K5" s="161" t="s">
        <v>143</v>
      </c>
      <c r="L5" s="161" t="s">
        <v>144</v>
      </c>
      <c r="M5" s="161" t="s">
        <v>145</v>
      </c>
      <c r="N5" s="161" t="s">
        <v>146</v>
      </c>
      <c r="O5" s="161" t="s">
        <v>147</v>
      </c>
      <c r="P5" s="161" t="s">
        <v>148</v>
      </c>
      <c r="Q5" s="161" t="s">
        <v>149</v>
      </c>
      <c r="R5" s="161" t="s">
        <v>150</v>
      </c>
    </row>
    <row r="6" spans="3:19" x14ac:dyDescent="0.25">
      <c r="C6" s="36">
        <v>1</v>
      </c>
      <c r="D6" s="35" t="s">
        <v>161</v>
      </c>
      <c r="E6" s="36">
        <v>1</v>
      </c>
      <c r="F6" s="153">
        <v>39780</v>
      </c>
      <c r="G6" s="153">
        <f>F6*E6</f>
        <v>39780</v>
      </c>
      <c r="H6" s="36">
        <v>1</v>
      </c>
      <c r="I6" s="9">
        <f>+VLOOKUP(D6,PAYSHEET!C4:F71,4,0)+VLOOKUP(D6,PAYSHEET!C4:G71,5,0)</f>
        <v>31</v>
      </c>
      <c r="J6" s="38">
        <f>+VLOOKUP(D6,PAYSHEET!$C$4:$AI$71,33,0)</f>
        <v>40950.144000000008</v>
      </c>
      <c r="K6" s="38">
        <f>+VLOOKUP(D6,PAYSHEET!C4:AF71,30,0)</f>
        <v>36000</v>
      </c>
      <c r="L6" s="38">
        <f>+VLOOKUP(D6,PAYSHEET!C4:AA71,25,0)</f>
        <v>1800</v>
      </c>
      <c r="M6" s="38">
        <f>+VLOOKUP(D6,PAYSHEET!$C$4:$AG$70,31,0)</f>
        <v>1950</v>
      </c>
      <c r="N6" s="38">
        <f>+VLOOKUP(D6,PAYSHEET!C4:AB70,26,0)</f>
        <v>0</v>
      </c>
      <c r="O6" s="38">
        <f>+VLOOKUP(D6,PAYSHEET!C4:AH70,32,0)</f>
        <v>1000</v>
      </c>
      <c r="P6" s="36">
        <f>+VLOOKUP(D6,PAYSHEET!C4:AD70,28,0)</f>
        <v>0</v>
      </c>
      <c r="Q6" s="36">
        <f>+VLOOKUP(D6,PAYSHEET!C4:AC70,27,0)</f>
        <v>200</v>
      </c>
      <c r="R6" s="38">
        <f t="shared" ref="R6:R17" si="0">J6</f>
        <v>40950.144000000008</v>
      </c>
      <c r="S6" s="10"/>
    </row>
    <row r="7" spans="3:19" x14ac:dyDescent="0.25">
      <c r="C7" s="35">
        <f>C6+1</f>
        <v>2</v>
      </c>
      <c r="D7" s="35" t="s">
        <v>151</v>
      </c>
      <c r="E7" s="35">
        <v>9</v>
      </c>
      <c r="F7" s="154">
        <v>31244</v>
      </c>
      <c r="G7" s="155">
        <f>F7*E7</f>
        <v>281196</v>
      </c>
      <c r="H7" s="9">
        <v>10</v>
      </c>
      <c r="I7" s="9">
        <f>+VLOOKUP(D7,PAYSHEET!C5:F72,4,0)+VLOOKUP(D7,PAYSHEET!C5:G72,5,0)</f>
        <v>230</v>
      </c>
      <c r="J7" s="38">
        <f>+VLOOKUP(D7,PAYSHEET!$C$4:$AI$71,33,0)</f>
        <v>233128.09146129031</v>
      </c>
      <c r="K7" s="38">
        <f>+VLOOKUP(D7,PAYSHEET!C5:AF72,30,0)</f>
        <v>195757</v>
      </c>
      <c r="L7" s="38">
        <f>+VLOOKUP(D7,PAYSHEET!C5:AA72,25,0)</f>
        <v>13354.83870967742</v>
      </c>
      <c r="M7" s="38">
        <f>+VLOOKUP(D7,PAYSHEET!$C$4:$AG$70,31,0)</f>
        <v>14467.741935483871</v>
      </c>
      <c r="N7" s="38">
        <f>+VLOOKUP(D7,PAYSHEET!C5:AB71,26,0)</f>
        <v>0</v>
      </c>
      <c r="O7" s="38">
        <f>+VLOOKUP(D7,PAYSHEET!C5:AH71,32,0)</f>
        <v>8000</v>
      </c>
      <c r="P7" s="36">
        <f>+VLOOKUP(D7,PAYSHEET!C5:AD71,28,0)</f>
        <v>0</v>
      </c>
      <c r="Q7" s="36">
        <f>+VLOOKUP(D7,PAYSHEET!C5:AC71,27,0)</f>
        <v>1550</v>
      </c>
      <c r="R7" s="38">
        <f t="shared" si="0"/>
        <v>233128.09146129031</v>
      </c>
      <c r="S7" s="10"/>
    </row>
    <row r="8" spans="3:19" x14ac:dyDescent="0.25">
      <c r="C8" s="35">
        <f t="shared" ref="C8:C17" si="1">C7+1</f>
        <v>3</v>
      </c>
      <c r="D8" s="35" t="s">
        <v>152</v>
      </c>
      <c r="E8" s="35">
        <v>10</v>
      </c>
      <c r="F8" s="154">
        <v>26607</v>
      </c>
      <c r="G8" s="155">
        <f t="shared" ref="G8:G16" si="2">F8*E8</f>
        <v>266070</v>
      </c>
      <c r="H8" s="9">
        <v>8</v>
      </c>
      <c r="I8" s="9">
        <f>+VLOOKUP(D8,PAYSHEET!C6:F73,4,0)+VLOOKUP(D8,PAYSHEET!C6:G73,5,0)</f>
        <v>270</v>
      </c>
      <c r="J8" s="38">
        <f>+VLOOKUP(D8,PAYSHEET!$C$4:$AI$71,33,0)</f>
        <v>220516.78680519355</v>
      </c>
      <c r="K8" s="38">
        <f>+VLOOKUP(D8,PAYSHEET!C6:AF73,30,0)</f>
        <v>176283</v>
      </c>
      <c r="L8" s="38">
        <f>+VLOOKUP(D8,PAYSHEET!C6:AA73,25,0)</f>
        <v>15677.41935483871</v>
      </c>
      <c r="M8" s="38">
        <f>+VLOOKUP(D8,PAYSHEET!$C$4:$AG$70,31,0)</f>
        <v>16983.870967741932</v>
      </c>
      <c r="N8" s="38">
        <f>+VLOOKUP(D8,PAYSHEET!C6:AB72,26,0)</f>
        <v>772.95750938709671</v>
      </c>
      <c r="O8" s="38">
        <f>+VLOOKUP(D8,PAYSHEET!C6:AH72,32,0)</f>
        <v>9349.482540677418</v>
      </c>
      <c r="P8" s="36">
        <f>+VLOOKUP(D8,PAYSHEET!C6:AD72,28,0)</f>
        <v>0</v>
      </c>
      <c r="Q8" s="36">
        <f>+VLOOKUP(D8,PAYSHEET!C6:AC72,27,0)</f>
        <v>1450</v>
      </c>
      <c r="R8" s="38">
        <f t="shared" si="0"/>
        <v>220516.78680519355</v>
      </c>
      <c r="S8" s="10"/>
    </row>
    <row r="9" spans="3:19" x14ac:dyDescent="0.25">
      <c r="C9" s="35">
        <f t="shared" si="1"/>
        <v>4</v>
      </c>
      <c r="D9" s="35" t="s">
        <v>153</v>
      </c>
      <c r="E9" s="35">
        <v>9</v>
      </c>
      <c r="F9" s="154">
        <v>26552</v>
      </c>
      <c r="G9" s="155">
        <f t="shared" si="2"/>
        <v>238968</v>
      </c>
      <c r="H9" s="9">
        <v>7</v>
      </c>
      <c r="I9" s="9">
        <f>+VLOOKUP(D9,PAYSHEET!C7:F74,4,0)+VLOOKUP(D9,PAYSHEET!C7:G74,5,0)</f>
        <v>230</v>
      </c>
      <c r="J9" s="38">
        <f>+VLOOKUP(D9,PAYSHEET!$C$4:$AI$71,33,0)</f>
        <v>193454.77038261291</v>
      </c>
      <c r="K9" s="38">
        <f>+VLOOKUP(D9,PAYSHEET!C7:AF74,30,0)</f>
        <v>155790</v>
      </c>
      <c r="L9" s="38">
        <f>+VLOOKUP(D9,PAYSHEET!C7:AA74,25,0)</f>
        <v>13354.83870967742</v>
      </c>
      <c r="M9" s="38">
        <f>+VLOOKUP(D9,PAYSHEET!$C$4:$AG$70,31,0)</f>
        <v>14467.741935483871</v>
      </c>
      <c r="N9" s="38">
        <f>+VLOOKUP(D9,PAYSHEET!C7:AB73,26,0)</f>
        <v>261.06511906451613</v>
      </c>
      <c r="O9" s="38">
        <f>+VLOOKUP(D9,PAYSHEET!C7:AH73,32,0)</f>
        <v>8131.2821826129039</v>
      </c>
      <c r="P9" s="36">
        <f>+VLOOKUP(D9,PAYSHEET!C7:AD73,28,0)</f>
        <v>0</v>
      </c>
      <c r="Q9" s="36">
        <f>+VLOOKUP(D9,PAYSHEET!C7:AC73,27,0)</f>
        <v>1450</v>
      </c>
      <c r="R9" s="38">
        <f t="shared" si="0"/>
        <v>193454.77038261291</v>
      </c>
      <c r="S9" s="10" t="s">
        <v>326</v>
      </c>
    </row>
    <row r="10" spans="3:19" x14ac:dyDescent="0.25">
      <c r="C10" s="35">
        <f t="shared" si="1"/>
        <v>5</v>
      </c>
      <c r="D10" s="35" t="s">
        <v>154</v>
      </c>
      <c r="E10" s="35">
        <v>4</v>
      </c>
      <c r="F10" s="154">
        <v>26472</v>
      </c>
      <c r="G10" s="155">
        <f t="shared" si="2"/>
        <v>105888</v>
      </c>
      <c r="H10" s="9">
        <v>4</v>
      </c>
      <c r="I10" s="9">
        <f>+VLOOKUP(D10,PAYSHEET!C8:F75,4,0)+VLOOKUP(D10,PAYSHEET!C8:G75,5,0)</f>
        <v>92</v>
      </c>
      <c r="J10" s="38">
        <f>+VLOOKUP(D10,PAYSHEET!$C$4:$AI$71,33,0)</f>
        <v>77822.307445161292</v>
      </c>
      <c r="K10" s="38">
        <f>+VLOOKUP(D10,PAYSHEET!C8:AF75,30,0)</f>
        <v>62143</v>
      </c>
      <c r="L10" s="38">
        <f>+VLOOKUP(D10,PAYSHEET!C8:AA75,25,0)</f>
        <v>5341.9354838709678</v>
      </c>
      <c r="M10" s="38">
        <f>+VLOOKUP(D10,PAYSHEET!$C$4:$AG$70,31,0)</f>
        <v>5787.0967741935483</v>
      </c>
      <c r="N10" s="38">
        <f>+VLOOKUP(D10,PAYSHEET!C8:AB74,26,0)</f>
        <v>0</v>
      </c>
      <c r="O10" s="38">
        <f>+VLOOKUP(D10,PAYSHEET!C8:AH74,32,0)</f>
        <v>4000</v>
      </c>
      <c r="P10" s="36">
        <f>+VLOOKUP(D10,PAYSHEET!C8:AD74,28,0)</f>
        <v>0</v>
      </c>
      <c r="Q10" s="36">
        <f>+VLOOKUP(D10,PAYSHEET!C8:AC74,27,0)</f>
        <v>550</v>
      </c>
      <c r="R10" s="38">
        <f t="shared" si="0"/>
        <v>77822.307445161292</v>
      </c>
      <c r="S10" s="10"/>
    </row>
    <row r="11" spans="3:19" x14ac:dyDescent="0.25">
      <c r="C11" s="35">
        <f t="shared" si="1"/>
        <v>6</v>
      </c>
      <c r="D11" s="35" t="s">
        <v>155</v>
      </c>
      <c r="E11" s="35">
        <v>4</v>
      </c>
      <c r="F11" s="154">
        <v>26472</v>
      </c>
      <c r="G11" s="155">
        <f t="shared" si="2"/>
        <v>105888</v>
      </c>
      <c r="H11" s="9">
        <v>4</v>
      </c>
      <c r="I11" s="9">
        <f>+VLOOKUP(D11,PAYSHEET!C9:F76,4,0)+VLOOKUP(D11,PAYSHEET!C9:G76,5,0)</f>
        <v>124</v>
      </c>
      <c r="J11" s="38">
        <f>+VLOOKUP(D11,PAYSHEET!$C$4:$AI$71,33,0)</f>
        <v>106960.455</v>
      </c>
      <c r="K11" s="38">
        <f>+VLOOKUP(D11,PAYSHEET!C9:AF76,30,0)</f>
        <v>87160</v>
      </c>
      <c r="L11" s="38">
        <f>+VLOOKUP(D11,PAYSHEET!C9:AA76,25,0)</f>
        <v>7200</v>
      </c>
      <c r="M11" s="38">
        <f>+VLOOKUP(D11,PAYSHEET!$C$4:$AG$70,31,0)</f>
        <v>7800</v>
      </c>
      <c r="N11" s="38">
        <f>+VLOOKUP(D11,PAYSHEET!C9:AB75,26,0)</f>
        <v>0</v>
      </c>
      <c r="O11" s="38">
        <f>+VLOOKUP(D11,PAYSHEET!C9:AH75,32,0)</f>
        <v>4000</v>
      </c>
      <c r="P11" s="36">
        <f>+VLOOKUP(D11,PAYSHEET!C9:AD75,28,0)</f>
        <v>0</v>
      </c>
      <c r="Q11" s="36">
        <f>+VLOOKUP(D11,PAYSHEET!C9:AC75,27,0)</f>
        <v>800</v>
      </c>
      <c r="R11" s="38">
        <f t="shared" si="0"/>
        <v>106960.455</v>
      </c>
      <c r="S11" s="10"/>
    </row>
    <row r="12" spans="3:19" x14ac:dyDescent="0.25">
      <c r="C12" s="35">
        <f t="shared" si="1"/>
        <v>7</v>
      </c>
      <c r="D12" s="35" t="s">
        <v>156</v>
      </c>
      <c r="E12" s="35">
        <v>9</v>
      </c>
      <c r="F12" s="154">
        <v>26959</v>
      </c>
      <c r="G12" s="155">
        <f t="shared" si="2"/>
        <v>242631</v>
      </c>
      <c r="H12" s="9">
        <v>8</v>
      </c>
      <c r="I12" s="9">
        <f>+VLOOKUP(D12,PAYSHEET!C10:F77,4,0)+VLOOKUP(D12,PAYSHEET!C10:G77,5,0)</f>
        <v>188</v>
      </c>
      <c r="J12" s="38">
        <f>+VLOOKUP(D12,PAYSHEET!$C$4:$AI$71,33,0)</f>
        <v>167309.22131612903</v>
      </c>
      <c r="K12" s="38">
        <f>+VLOOKUP(D12,PAYSHEET!C10:AF77,30,0)</f>
        <v>133618</v>
      </c>
      <c r="L12" s="38">
        <f>+VLOOKUP(D12,PAYSHEET!C10:AA77,25,0)</f>
        <v>10916.129032258064</v>
      </c>
      <c r="M12" s="38">
        <f>+VLOOKUP(D12,PAYSHEET!$C$4:$AG$70,31,0)</f>
        <v>11825.8064516129</v>
      </c>
      <c r="N12" s="38">
        <f>+VLOOKUP(D12,PAYSHEET!C10:AB76,26,0)</f>
        <v>0</v>
      </c>
      <c r="O12" s="38">
        <f>+VLOOKUP(D12,PAYSHEET!C10:AH76,32,0)</f>
        <v>10000</v>
      </c>
      <c r="P12" s="36">
        <f>+VLOOKUP(D12,PAYSHEET!C10:AD76,28,0)</f>
        <v>0</v>
      </c>
      <c r="Q12" s="36">
        <f>+VLOOKUP(D12,PAYSHEET!C10:AC76,27,0)</f>
        <v>950</v>
      </c>
      <c r="R12" s="38">
        <f t="shared" si="0"/>
        <v>167309.22131612903</v>
      </c>
      <c r="S12" s="10" t="s">
        <v>326</v>
      </c>
    </row>
    <row r="13" spans="3:19" x14ac:dyDescent="0.25">
      <c r="C13" s="35">
        <f t="shared" si="1"/>
        <v>8</v>
      </c>
      <c r="D13" s="35" t="s">
        <v>157</v>
      </c>
      <c r="E13" s="35">
        <v>1</v>
      </c>
      <c r="F13" s="154">
        <v>26959</v>
      </c>
      <c r="G13" s="155">
        <f t="shared" si="2"/>
        <v>26959</v>
      </c>
      <c r="H13" s="9">
        <v>1</v>
      </c>
      <c r="I13" s="9">
        <f>+VLOOKUP(D13,PAYSHEET!C14:F78,4,0)+VLOOKUP(D13,PAYSHEET!C14:G78,5,0)</f>
        <v>26</v>
      </c>
      <c r="J13" s="38">
        <f>+VLOOKUP(D13,PAYSHEET!$C$4:$AI$71,33,0)</f>
        <v>23603.070645161293</v>
      </c>
      <c r="K13" s="38">
        <f>+VLOOKUP(D13,PAYSHEET!C14:AF78,30,0)</f>
        <v>19258</v>
      </c>
      <c r="L13" s="38">
        <f>+VLOOKUP(D13,PAYSHEET!C14:AA78,25,0)</f>
        <v>1509.6774193548388</v>
      </c>
      <c r="M13" s="38">
        <f>+VLOOKUP(D13,PAYSHEET!$C$4:$AG$70,31,0)</f>
        <v>1635.4838709677422</v>
      </c>
      <c r="N13" s="38">
        <f>+VLOOKUP(D13,PAYSHEET!C14:AB77,26,0)</f>
        <v>0</v>
      </c>
      <c r="O13" s="38">
        <f>+VLOOKUP(D13,PAYSHEET!C14:AH77,32,0)</f>
        <v>1000</v>
      </c>
      <c r="P13" s="36">
        <f>+VLOOKUP(D13,PAYSHEET!C14:AD77,28,0)</f>
        <v>0</v>
      </c>
      <c r="Q13" s="36">
        <f>+VLOOKUP(D13,PAYSHEET!C14:AC77,27,0)</f>
        <v>200</v>
      </c>
      <c r="R13" s="38">
        <f t="shared" si="0"/>
        <v>23603.070645161293</v>
      </c>
      <c r="S13" s="10" t="s">
        <v>326</v>
      </c>
    </row>
    <row r="14" spans="3:19" x14ac:dyDescent="0.25">
      <c r="C14" s="35">
        <f>C13+1</f>
        <v>9</v>
      </c>
      <c r="D14" s="35" t="s">
        <v>158</v>
      </c>
      <c r="E14" s="35">
        <v>1</v>
      </c>
      <c r="F14" s="154">
        <v>27140</v>
      </c>
      <c r="G14" s="155">
        <f t="shared" si="2"/>
        <v>27140</v>
      </c>
      <c r="H14" s="9">
        <v>1</v>
      </c>
      <c r="I14" s="9">
        <f>+VLOOKUP(D14,PAYSHEET!C15:F79,4,0)+VLOOKUP(D14,PAYSHEET!C15:G79,5,0)</f>
        <v>31</v>
      </c>
      <c r="J14" s="38">
        <f>+VLOOKUP(D14,PAYSHEET!$C$4:$AI$71,33,0)</f>
        <v>27139.896000000001</v>
      </c>
      <c r="K14" s="38">
        <f>+VLOOKUP(D14,PAYSHEET!C15:AF79,30,0)</f>
        <v>22190</v>
      </c>
      <c r="L14" s="38">
        <f>+VLOOKUP(D14,PAYSHEET!C15:AA79,25,0)</f>
        <v>1800</v>
      </c>
      <c r="M14" s="38">
        <f>+VLOOKUP(D14,PAYSHEET!$C$4:$AG$70,31,0)</f>
        <v>1950</v>
      </c>
      <c r="N14" s="38">
        <f>+VLOOKUP(D14,PAYSHEET!C15:AB78,26,0)</f>
        <v>0</v>
      </c>
      <c r="O14" s="38">
        <f>+VLOOKUP(D14,PAYSHEET!C15:AH78,32,0)</f>
        <v>1000</v>
      </c>
      <c r="P14" s="36">
        <f>+VLOOKUP(D14,PAYSHEET!C15:AD78,28,0)</f>
        <v>0</v>
      </c>
      <c r="Q14" s="36">
        <f>+VLOOKUP(D14,PAYSHEET!C15:AC78,27,0)</f>
        <v>200</v>
      </c>
      <c r="R14" s="38">
        <f t="shared" si="0"/>
        <v>27139.896000000001</v>
      </c>
      <c r="S14" s="10"/>
    </row>
    <row r="15" spans="3:19" x14ac:dyDescent="0.25">
      <c r="C15" s="35">
        <f t="shared" si="1"/>
        <v>10</v>
      </c>
      <c r="D15" s="7" t="s">
        <v>159</v>
      </c>
      <c r="E15" s="35">
        <v>1</v>
      </c>
      <c r="F15" s="154">
        <v>27140</v>
      </c>
      <c r="G15" s="155">
        <f t="shared" si="2"/>
        <v>27140</v>
      </c>
      <c r="H15" s="9">
        <v>1</v>
      </c>
      <c r="I15" s="9">
        <f>+VLOOKUP(D15,PAYSHEET!C16:F80,4,0)+VLOOKUP(D15,PAYSHEET!C16:G80,5,0)</f>
        <v>31</v>
      </c>
      <c r="J15" s="38">
        <f>+VLOOKUP(D15,PAYSHEET!$C$4:$AI$71,33,0)</f>
        <v>27139.896000000001</v>
      </c>
      <c r="K15" s="38">
        <f>+VLOOKUP(D15,PAYSHEET!C16:AF80,30,0)</f>
        <v>22190</v>
      </c>
      <c r="L15" s="38">
        <f>+VLOOKUP(D15,PAYSHEET!C16:AA80,25,0)</f>
        <v>1800</v>
      </c>
      <c r="M15" s="38">
        <f>+VLOOKUP(D15,PAYSHEET!$C$4:$AG$70,31,0)</f>
        <v>1950</v>
      </c>
      <c r="N15" s="38">
        <f>+VLOOKUP(D15,PAYSHEET!C16:AB79,26,0)</f>
        <v>0</v>
      </c>
      <c r="O15" s="38">
        <f>+VLOOKUP(D15,PAYSHEET!C16:AH79,32,0)</f>
        <v>1000</v>
      </c>
      <c r="P15" s="36">
        <f>+VLOOKUP(D15,PAYSHEET!C16:AD79,28,0)</f>
        <v>0</v>
      </c>
      <c r="Q15" s="36">
        <f>+VLOOKUP(D15,PAYSHEET!C16:AC79,27,0)</f>
        <v>200</v>
      </c>
      <c r="R15" s="38">
        <f t="shared" si="0"/>
        <v>27139.896000000001</v>
      </c>
      <c r="S15" s="10"/>
    </row>
    <row r="16" spans="3:19" x14ac:dyDescent="0.25">
      <c r="C16" s="35">
        <f t="shared" si="1"/>
        <v>11</v>
      </c>
      <c r="D16" s="7" t="s">
        <v>162</v>
      </c>
      <c r="E16" s="35">
        <v>1</v>
      </c>
      <c r="F16" s="154">
        <v>27140</v>
      </c>
      <c r="G16" s="155">
        <f t="shared" si="2"/>
        <v>27140</v>
      </c>
      <c r="H16" s="9">
        <v>1</v>
      </c>
      <c r="I16" s="9">
        <f>+VLOOKUP(D16,PAYSHEET!C16:F81,4,0)+VLOOKUP(D16,PAYSHEET!C16:G81,5,0)</f>
        <v>31</v>
      </c>
      <c r="J16" s="38">
        <f>+VLOOKUP(D16,PAYSHEET!$C$4:$AI$71,33,0)</f>
        <v>25950.015000000003</v>
      </c>
      <c r="K16" s="38">
        <f>+VLOOKUP(D16,PAYSHEET!C16:AF81,30,0)</f>
        <v>21000</v>
      </c>
      <c r="L16" s="38">
        <f>+VLOOKUP(D16,PAYSHEET!C16:AA81,25,0)</f>
        <v>1800</v>
      </c>
      <c r="M16" s="38">
        <f>+VLOOKUP(D16,PAYSHEET!$C$4:$AG$70,31,0)</f>
        <v>1950</v>
      </c>
      <c r="N16" s="38">
        <f>+VLOOKUP(D16,PAYSHEET!C16:AB80,26,0)</f>
        <v>0</v>
      </c>
      <c r="O16" s="38">
        <f>+VLOOKUP(D16,PAYSHEET!C16:AH80,32,0)</f>
        <v>1000</v>
      </c>
      <c r="P16" s="36">
        <f>+VLOOKUP(D16,PAYSHEET!C16:AD80,28,0)</f>
        <v>0</v>
      </c>
      <c r="Q16" s="36">
        <f>+VLOOKUP(D16,PAYSHEET!C16:AC80,27,0)</f>
        <v>200</v>
      </c>
      <c r="R16" s="38">
        <f t="shared" si="0"/>
        <v>25950.015000000003</v>
      </c>
      <c r="S16" s="10"/>
    </row>
    <row r="17" spans="3:20" x14ac:dyDescent="0.25">
      <c r="C17" s="35">
        <f t="shared" si="1"/>
        <v>12</v>
      </c>
      <c r="D17" s="7" t="s">
        <v>325</v>
      </c>
      <c r="E17" s="35">
        <v>1</v>
      </c>
      <c r="F17" s="154">
        <v>27140</v>
      </c>
      <c r="G17" s="155">
        <f t="shared" ref="G17" si="3">F17*E17</f>
        <v>27140</v>
      </c>
      <c r="H17" s="9">
        <v>1</v>
      </c>
      <c r="I17" s="9">
        <f>+VLOOKUP(D17,PAYSHEET!C16:F82,4,0)+VLOOKUP(D17,PAYSHEET!C16:G82,5,0)</f>
        <v>31</v>
      </c>
      <c r="J17" s="38">
        <f>+VLOOKUP(D17,PAYSHEET!$C$4:$AI$71,33,0)</f>
        <v>27139.896000000001</v>
      </c>
      <c r="K17" s="38">
        <f>+VLOOKUP(D17,PAYSHEET!C16:AF82,30,0)</f>
        <v>22190</v>
      </c>
      <c r="L17" s="38">
        <f>+VLOOKUP(D17,PAYSHEET!C16:AA82,25,0)</f>
        <v>1800</v>
      </c>
      <c r="M17" s="38">
        <f>+VLOOKUP(D17,PAYSHEET!$C$4:$AG$70,31,0)</f>
        <v>1950</v>
      </c>
      <c r="N17" s="38">
        <f>+VLOOKUP(D17,PAYSHEET!C16:AB81,26,0)</f>
        <v>0</v>
      </c>
      <c r="O17" s="38">
        <f>+VLOOKUP(D17,PAYSHEET!C16:AH81,32,0)</f>
        <v>1000</v>
      </c>
      <c r="P17" s="36">
        <f>+VLOOKUP(D17,PAYSHEET!C16:AD81,28,0)</f>
        <v>0</v>
      </c>
      <c r="Q17" s="36">
        <f>+VLOOKUP(D17,PAYSHEET!C16:AC81,27,0)</f>
        <v>200</v>
      </c>
      <c r="R17" s="38">
        <f t="shared" si="0"/>
        <v>27139.896000000001</v>
      </c>
      <c r="S17" s="10"/>
    </row>
    <row r="18" spans="3:20" x14ac:dyDescent="0.25">
      <c r="C18" s="9"/>
      <c r="D18" s="9"/>
      <c r="E18" s="1">
        <f>SUM(E6:E17)</f>
        <v>51</v>
      </c>
      <c r="F18" s="1"/>
      <c r="G18" s="11">
        <f>SUM(G6:G17)</f>
        <v>1415940</v>
      </c>
      <c r="H18" s="11">
        <f>SUM(H6:H17)</f>
        <v>47</v>
      </c>
      <c r="I18" s="11">
        <f t="shared" ref="I18" si="4">SUM(I6:I17)</f>
        <v>1315</v>
      </c>
      <c r="J18" s="11">
        <f>SUM(J6:J17)</f>
        <v>1171114.5500555481</v>
      </c>
      <c r="K18" s="11">
        <f t="shared" ref="K18:R18" si="5">SUM(K6:K17)</f>
        <v>953579</v>
      </c>
      <c r="L18" s="11">
        <f t="shared" si="5"/>
        <v>76354.838709677409</v>
      </c>
      <c r="M18" s="11">
        <f t="shared" si="5"/>
        <v>82717.741935483864</v>
      </c>
      <c r="N18" s="11">
        <f t="shared" si="5"/>
        <v>1034.0226284516129</v>
      </c>
      <c r="O18" s="11">
        <f t="shared" si="5"/>
        <v>49480.764723290325</v>
      </c>
      <c r="P18" s="11">
        <f t="shared" si="5"/>
        <v>0</v>
      </c>
      <c r="Q18" s="11">
        <f t="shared" si="5"/>
        <v>7950</v>
      </c>
      <c r="R18" s="11">
        <f t="shared" si="5"/>
        <v>1171114.5500555481</v>
      </c>
      <c r="S18" s="10">
        <f>R18-PAYSHEET!AI71</f>
        <v>0</v>
      </c>
      <c r="T18" s="10"/>
    </row>
    <row r="19" spans="3:20" x14ac:dyDescent="0.25">
      <c r="M19" s="366" t="s">
        <v>160</v>
      </c>
      <c r="N19" s="366"/>
      <c r="O19" s="366"/>
      <c r="P19" s="15"/>
      <c r="Q19" s="15"/>
      <c r="R19" s="29">
        <f>R18*8%</f>
        <v>93689.164004443854</v>
      </c>
    </row>
    <row r="20" spans="3:20" x14ac:dyDescent="0.25">
      <c r="M20" s="362" t="s">
        <v>247</v>
      </c>
      <c r="N20" s="362"/>
      <c r="O20" s="362"/>
      <c r="P20" s="15"/>
      <c r="Q20" s="15"/>
      <c r="R20" s="17">
        <f>R18+R19</f>
        <v>1264803.714059992</v>
      </c>
      <c r="S20" s="10"/>
    </row>
    <row r="21" spans="3:20" x14ac:dyDescent="0.25">
      <c r="I21" s="10"/>
      <c r="K21" s="10"/>
      <c r="M21" s="366" t="s">
        <v>336</v>
      </c>
      <c r="N21" s="366"/>
      <c r="O21" s="366"/>
      <c r="P21" s="15"/>
      <c r="Q21" s="15"/>
      <c r="R21" s="29">
        <f>INVOICE!D34</f>
        <v>14465</v>
      </c>
    </row>
    <row r="22" spans="3:20" x14ac:dyDescent="0.25">
      <c r="M22" s="362" t="s">
        <v>246</v>
      </c>
      <c r="N22" s="362"/>
      <c r="O22" s="362"/>
      <c r="P22" s="30"/>
      <c r="Q22" s="30"/>
      <c r="R22" s="17">
        <f>ROUND((R20+R21),0)</f>
        <v>1279269</v>
      </c>
      <c r="S22" s="10" t="e">
        <f>R22-INVOICE!D37</f>
        <v>#REF!</v>
      </c>
    </row>
    <row r="24" spans="3:20" x14ac:dyDescent="0.25">
      <c r="R24" s="10"/>
    </row>
  </sheetData>
  <mergeCells count="7">
    <mergeCell ref="M22:O22"/>
    <mergeCell ref="C4:G4"/>
    <mergeCell ref="H4:J4"/>
    <mergeCell ref="K4:R4"/>
    <mergeCell ref="M19:O19"/>
    <mergeCell ref="M20:O20"/>
    <mergeCell ref="M21:O21"/>
  </mergeCells>
  <pageMargins left="0.41" right="0.28999999999999998" top="0.75" bottom="0.75" header="0.3" footer="0.3"/>
  <pageSetup paperSize="9" scale="47"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INVOICE</vt:lpstr>
      <vt:lpstr>ATTENDANCE</vt:lpstr>
      <vt:lpstr>PAYSHEET</vt:lpstr>
      <vt:lpstr>FULL</vt:lpstr>
      <vt:lpstr>BANK STATEMENT</vt:lpstr>
      <vt:lpstr>PF ESI SUMMARY</vt:lpstr>
      <vt:lpstr>Sheet1</vt:lpstr>
      <vt:lpstr>INVOICE BREAKUP</vt:lpstr>
      <vt:lpstr>INVOICE!Print_Area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dc:creator>
  <cp:lastModifiedBy>24Sips</cp:lastModifiedBy>
  <cp:lastPrinted>2026-08-07T15:13:46Z</cp:lastPrinted>
  <dcterms:created xsi:type="dcterms:W3CDTF">2024-07-10T11:00:25Z</dcterms:created>
  <dcterms:modified xsi:type="dcterms:W3CDTF">2026-08-11T09:41:46Z</dcterms:modified>
</cp:coreProperties>
</file>