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Sips\Desktop\REVATHI-12-08-2025\Joining candidates\"/>
    </mc:Choice>
  </mc:AlternateContent>
  <xr:revisionPtr revIDLastSave="0" documentId="13_ncr:1_{AE49FA71-372E-448F-B030-327E26A53FCE}" xr6:coauthVersionLast="47" xr6:coauthVersionMax="47" xr10:uidLastSave="{00000000-0000-0000-0000-000000000000}"/>
  <bookViews>
    <workbookView xWindow="-110" yWindow="-110" windowWidth="19420" windowHeight="10300" firstSheet="25" activeTab="29" xr2:uid="{00000000-000D-0000-FFFF-FFFF00000000}"/>
  </bookViews>
  <sheets>
    <sheet name="M&amp;D&amp; SOFTSOFTSERVICES" sheetId="1" r:id="rId1"/>
    <sheet name="Sheet2" sheetId="2" state="hidden" r:id="rId2"/>
    <sheet name="JULY" sheetId="3" state="hidden" r:id="rId3"/>
    <sheet name="AUG" sheetId="4" r:id="rId4"/>
    <sheet name="Sep" sheetId="5" r:id="rId5"/>
    <sheet name="OCT" sheetId="7" r:id="rId6"/>
    <sheet name="DEC" sheetId="10" r:id="rId7"/>
    <sheet name="Sheet4" sheetId="11" r:id="rId8"/>
    <sheet name="NOV" sheetId="6" r:id="rId9"/>
    <sheet name="Sheet5" sheetId="12" r:id="rId10"/>
    <sheet name="jan-2025" sheetId="13" r:id="rId11"/>
    <sheet name="FEB2025" sheetId="14" r:id="rId12"/>
    <sheet name="Sheet8" sheetId="28" r:id="rId13"/>
    <sheet name="march 2025" sheetId="15" r:id="rId14"/>
    <sheet name="April2025" sheetId="16" r:id="rId15"/>
    <sheet name="April Insurances candidates" sheetId="19" r:id="rId16"/>
    <sheet name="May -2025" sheetId="17" r:id="rId17"/>
    <sheet name="June-2025" sheetId="18" r:id="rId18"/>
    <sheet name="july -2025" sheetId="20" r:id="rId19"/>
    <sheet name="Sheet7" sheetId="22" r:id="rId20"/>
    <sheet name="Sheet6" sheetId="21" r:id="rId21"/>
    <sheet name="August" sheetId="23" r:id="rId22"/>
    <sheet name="September-2025" sheetId="24" r:id="rId23"/>
    <sheet name="October-2025" sheetId="25" r:id="rId24"/>
    <sheet name="November-2025" sheetId="26" r:id="rId25"/>
    <sheet name="December- 2025" sheetId="27" r:id="rId26"/>
    <sheet name="January- 2026" sheetId="29" r:id="rId27"/>
    <sheet name="FEBRUARY-2026" sheetId="30" r:id="rId28"/>
    <sheet name="March -2026" sheetId="31" r:id="rId29"/>
    <sheet name="APRIL-2026" sheetId="32" r:id="rId30"/>
    <sheet name="Sheet3" sheetId="9" state="hidden" r:id="rId31"/>
    <sheet name="Sheet1" sheetId="8" state="hidden" r:id="rId32"/>
  </sheets>
  <definedNames>
    <definedName name="_xlnm._FilterDatabase" localSheetId="14" hidden="1">#N/A</definedName>
    <definedName name="_xlnm._FilterDatabase" localSheetId="21" hidden="1">August!$A$3:$I$3</definedName>
    <definedName name="_xlnm._FilterDatabase" localSheetId="25" hidden="1">'December- 2025'!$A$2:$J$15</definedName>
    <definedName name="_xlnm._FilterDatabase" localSheetId="26" hidden="1">'January- 2026'!$A$2:$K$34</definedName>
    <definedName name="_xlnm._FilterDatabase" localSheetId="18" hidden="1">#N/A</definedName>
    <definedName name="_xlnm._FilterDatabase" localSheetId="17" hidden="1">#N/A</definedName>
    <definedName name="_xlnm._FilterDatabase" localSheetId="0" hidden="1">#N/A</definedName>
    <definedName name="_xlnm._FilterDatabase" localSheetId="13" hidden="1">#N/A</definedName>
    <definedName name="_xlnm._FilterDatabase" localSheetId="16" hidden="1">#N/A</definedName>
    <definedName name="_xlnm._FilterDatabase" localSheetId="24" hidden="1">'November-2025'!$A$2:$J$34</definedName>
    <definedName name="_xlnm._FilterDatabase" localSheetId="23" hidden="1">'October-2025'!$A$2:$J$22</definedName>
    <definedName name="_xlnm._FilterDatabase" localSheetId="22" hidden="1">'September-2025'!$A$2:$J$40</definedName>
  </definedNames>
  <calcPr calcId="191029"/>
</workbook>
</file>

<file path=xl/calcChain.xml><?xml version="1.0" encoding="utf-8"?>
<calcChain xmlns="http://schemas.openxmlformats.org/spreadsheetml/2006/main">
  <c r="A30" i="17" l="1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11" i="19"/>
  <c r="A10" i="19"/>
  <c r="A9" i="19"/>
  <c r="A8" i="19"/>
  <c r="A7" i="19"/>
  <c r="A6" i="19"/>
  <c r="A5" i="19"/>
  <c r="A4" i="19"/>
  <c r="A3" i="19"/>
  <c r="A84" i="16"/>
  <c r="A83" i="16"/>
  <c r="A82" i="16"/>
  <c r="A81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B7" i="14"/>
  <c r="C17" i="12"/>
  <c r="C16" i="12"/>
  <c r="H11" i="12"/>
  <c r="B5" i="3"/>
  <c r="Q23" i="1"/>
  <c r="B3" i="7"/>
</calcChain>
</file>

<file path=xl/sharedStrings.xml><?xml version="1.0" encoding="utf-8"?>
<sst xmlns="http://schemas.openxmlformats.org/spreadsheetml/2006/main" count="3861" uniqueCount="1580">
  <si>
    <t>S.NO</t>
  </si>
  <si>
    <t>Employee code</t>
  </si>
  <si>
    <t>Name of the Employee</t>
  </si>
  <si>
    <t>UAN</t>
  </si>
  <si>
    <t>ESI</t>
  </si>
  <si>
    <t>Date of joining</t>
  </si>
  <si>
    <t>site name</t>
  </si>
  <si>
    <t>Desigination</t>
  </si>
  <si>
    <t>REASONS</t>
  </si>
  <si>
    <t>natsingh srikanth</t>
  </si>
  <si>
    <t>NSL</t>
  </si>
  <si>
    <t>ELECTRICAN</t>
  </si>
  <si>
    <t>GUMMA CHARAN</t>
  </si>
  <si>
    <t>MIDAS B4</t>
  </si>
  <si>
    <t>BMS</t>
  </si>
  <si>
    <t>ERUGU VISWA</t>
  </si>
  <si>
    <t> 5220955918</t>
  </si>
  <si>
    <t>ELECTRICIAN</t>
  </si>
  <si>
    <t>AKULA PURNACHANDRARAO</t>
  </si>
  <si>
    <t> 5220950821</t>
  </si>
  <si>
    <t>MIDASB4</t>
  </si>
  <si>
    <t>MBMS OPERATOR</t>
  </si>
  <si>
    <t>PAMULA PRAVEEN</t>
  </si>
  <si>
    <t>MIDAS B6</t>
  </si>
  <si>
    <t>PRABINA RAJAN PAITAL</t>
  </si>
  <si>
    <t>PLUMBER</t>
  </si>
  <si>
    <t>SALENDRI MADHU</t>
  </si>
  <si>
    <t>BORE RANJITH</t>
  </si>
  <si>
    <t> 5220951749</t>
  </si>
  <si>
    <t>HAVC</t>
  </si>
  <si>
    <t>SETTEM DHARAM TEJA</t>
  </si>
  <si>
    <t> 5220951879</t>
  </si>
  <si>
    <t>DIVYA SREE B7</t>
  </si>
  <si>
    <t>NETHULA SUDHIR KUMAR</t>
  </si>
  <si>
    <t>MIDAS B7</t>
  </si>
  <si>
    <t>BMS OPERATOR</t>
  </si>
  <si>
    <t>STDHESWAR BISWAL</t>
  </si>
  <si>
    <t>INSURANCES</t>
  </si>
  <si>
    <t>MIDASB7</t>
  </si>
  <si>
    <t xml:space="preserve"> </t>
  </si>
  <si>
    <t>POTHA RAJULA GANESH</t>
  </si>
  <si>
    <t>MST</t>
  </si>
  <si>
    <t>AADHARA AUNTHECATION ERROR</t>
  </si>
  <si>
    <t>ballemVENKATESHAM</t>
  </si>
  <si>
    <t>DG OPERATOR</t>
  </si>
  <si>
    <t>SHAIK JOHNVALI</t>
  </si>
  <si>
    <t>NB HEALTH CARE</t>
  </si>
  <si>
    <t>CHELLURI Mohan Kumar</t>
  </si>
  <si>
    <t>vattipulusu hema sai kumar</t>
  </si>
  <si>
    <t>LEVEN CORE</t>
  </si>
  <si>
    <t xml:space="preserve"> THUMMASTEPHEN PANL</t>
  </si>
  <si>
    <t>INDUPALLI MAHESH BABU</t>
  </si>
  <si>
    <t>INNPOLOIES</t>
  </si>
  <si>
    <t>CHEERALA HARI KRISHNA</t>
  </si>
  <si>
    <t>B1&amp;B2MIDAS</t>
  </si>
  <si>
    <t>GARA YUVARAJU</t>
  </si>
  <si>
    <t>TECHNICIAN</t>
  </si>
  <si>
    <t>SUPERVISIOR</t>
  </si>
  <si>
    <t>KARNATI SAI BABA</t>
  </si>
  <si>
    <t>TALLABATI KHADAR BASHA</t>
  </si>
  <si>
    <t>PABITRA MALIK</t>
  </si>
  <si>
    <t>BALAGA APPANNA</t>
  </si>
  <si>
    <t>ANURUDHA SAMAL</t>
  </si>
  <si>
    <t>CHINTHA KUNTA GANESH</t>
  </si>
  <si>
    <t>SAGAR KUMAR BEHERA</t>
  </si>
  <si>
    <t>NEELAIAHGARI SUDHAKAR</t>
  </si>
  <si>
    <t>KUMMARA RAJYALAKSHMI</t>
  </si>
  <si>
    <t>TECH SUPERVISIOR</t>
  </si>
  <si>
    <t>SURYA PRAKASH ROUT</t>
  </si>
  <si>
    <t>KSHIROD KUMAR DAS</t>
  </si>
  <si>
    <t>TANGIRALA KANNAIAH</t>
  </si>
  <si>
    <t>KAKARLA BASHA</t>
  </si>
  <si>
    <t>BURGU NAGENRA BABU</t>
  </si>
  <si>
    <t>POTHUGANTI SADDAM</t>
  </si>
  <si>
    <t>SUDHIR KUMAR RAUTARTY</t>
  </si>
  <si>
    <t>FACILITY EXECUTIVE</t>
  </si>
  <si>
    <t>NAMINI AVINASH</t>
  </si>
  <si>
    <t>BANK ACCOUNT</t>
  </si>
  <si>
    <t>JOGENDRA SETHI</t>
  </si>
  <si>
    <t>GOLLA SURESH KUMAR</t>
  </si>
  <si>
    <t>AC OPERATOR</t>
  </si>
  <si>
    <t>CHANDRA PRAKASH MOHANTY</t>
  </si>
  <si>
    <t>SUVANKAR BISWARANJAN MALLICK</t>
  </si>
  <si>
    <t>TEC H SUPERVISIOR</t>
  </si>
  <si>
    <t>KOULURI KASHMIR VALI</t>
  </si>
  <si>
    <t>HAVC OPERATOR</t>
  </si>
  <si>
    <t>KAKARLA BASH HAREEF</t>
  </si>
  <si>
    <t>HAJNALE VISHAL KUMAR</t>
  </si>
  <si>
    <t>ALLAUDDIN MAINUDDIN KHAJURE</t>
  </si>
  <si>
    <t>welder</t>
  </si>
  <si>
    <t>Adem naresh</t>
  </si>
  <si>
    <t>electrican</t>
  </si>
  <si>
    <t>MUTHYALA VENKATESH</t>
  </si>
  <si>
    <t>PAINTER</t>
  </si>
  <si>
    <t>p.viswanath</t>
  </si>
  <si>
    <t>Nsl</t>
  </si>
  <si>
    <t>CH.PRASHANTH</t>
  </si>
  <si>
    <t>ARX</t>
  </si>
  <si>
    <t>Bogolu upendra</t>
  </si>
  <si>
    <t>MD . Anwar</t>
  </si>
  <si>
    <t>MASON</t>
  </si>
  <si>
    <t>MARRI RAVI KANTH</t>
  </si>
  <si>
    <t>AC TECHNIQICAN</t>
  </si>
  <si>
    <t>SANGISETTY VENKATA JAGADEESH</t>
  </si>
  <si>
    <t>ETA RAMA SWAMY</t>
  </si>
  <si>
    <t>MAMILLA VENKATESWARLU</t>
  </si>
  <si>
    <t>MUKES SRICHANDAN</t>
  </si>
  <si>
    <t>ANANDA SHA</t>
  </si>
  <si>
    <t>EMP CODE</t>
  </si>
  <si>
    <t>NAME OF THE EMPLOYEE</t>
  </si>
  <si>
    <t>DATE OF JOINING</t>
  </si>
  <si>
    <t>SITE</t>
  </si>
  <si>
    <t>DESIGINATION</t>
  </si>
  <si>
    <t>POCHAMMA PARAVATHI BAI</t>
  </si>
  <si>
    <t>EVERSEEN</t>
  </si>
  <si>
    <t>HOUSING KEEPING</t>
  </si>
  <si>
    <t>sarim UDDIN LASAKR</t>
  </si>
  <si>
    <t>CAPS</t>
  </si>
  <si>
    <t>ABDUL HANNAN LASKAR</t>
  </si>
  <si>
    <t>CHITNIDI GANGA BHAVANI</t>
  </si>
  <si>
    <t>ZENOTI</t>
  </si>
  <si>
    <t>AADHARA XEROX</t>
  </si>
  <si>
    <t>SILUVERU UDAYA</t>
  </si>
  <si>
    <t>Subsini behera</t>
  </si>
  <si>
    <t>ABDUL SAMIN MUZUMDER</t>
  </si>
  <si>
    <t>BHASKAR BEHERA</t>
  </si>
  <si>
    <t> 5041705721</t>
  </si>
  <si>
    <t>Manoranjan Raj</t>
  </si>
  <si>
    <t>RADHA MOHAN DHIR</t>
  </si>
  <si>
    <t>PABITRA JENA</t>
  </si>
  <si>
    <t>GITARANI SAMAL</t>
  </si>
  <si>
    <t xml:space="preserve">	101887957097</t>
  </si>
  <si>
    <t>pandenti sioynu</t>
  </si>
  <si>
    <t> 5220978910</t>
  </si>
  <si>
    <t>muthyala vikas</t>
  </si>
  <si>
    <t>masam shoba</t>
  </si>
  <si>
    <t>VORIKUTI KRISHNAVENI</t>
  </si>
  <si>
    <t>SAHURAL AHMED LASKAR</t>
  </si>
  <si>
    <t>NEPOLIAN ORAON</t>
  </si>
  <si>
    <t>NEWDESIC</t>
  </si>
  <si>
    <t>ACCOUNT ISSUSED</t>
  </si>
  <si>
    <t>HETERO</t>
  </si>
  <si>
    <t>AJMEERA JYOTHI</t>
  </si>
  <si>
    <t>K.SUDHA</t>
  </si>
  <si>
    <t>CHITTURI LAKSHMI</t>
  </si>
  <si>
    <t>OTP</t>
  </si>
  <si>
    <t>CHITTURI MADHU SUDHANARAO</t>
  </si>
  <si>
    <t>BANOTH VERANNA</t>
  </si>
  <si>
    <t>NETHAVATHSANTHU</t>
  </si>
  <si>
    <t>BANTHO VANITHA</t>
  </si>
  <si>
    <t>AJMEERA GANESH</t>
  </si>
  <si>
    <t>DHAVARTH PARAVATHI</t>
  </si>
  <si>
    <t>DUBAKULA INDHUVATHI</t>
  </si>
  <si>
    <t>MUDAVATH RAMESH</t>
  </si>
  <si>
    <t>MUDAVATH NEELAMMA</t>
  </si>
  <si>
    <t>KAMMARI MOUNIKA</t>
  </si>
  <si>
    <t>SHANKAR GUGLOTU</t>
  </si>
  <si>
    <t>FATHER NAME OR WIFE NAME</t>
  </si>
  <si>
    <t>RIBUL HUSSAIN</t>
  </si>
  <si>
    <t>RAMAVATH POOJA</t>
  </si>
  <si>
    <t>caps</t>
  </si>
  <si>
    <t>M. SOUJANAYA</t>
  </si>
  <si>
    <t>Rite soft</t>
  </si>
  <si>
    <t>M.AMBAJI</t>
  </si>
  <si>
    <t>BADAVATHU NARESH</t>
  </si>
  <si>
    <t>VANARASI ASHA</t>
  </si>
  <si>
    <t>KODAMACHILI CHARAN TEJA</t>
  </si>
  <si>
    <t>MINATI DHAIR</t>
  </si>
  <si>
    <t>NOJBUL HOQUE MOZUMDER</t>
  </si>
  <si>
    <t>EASTMAN</t>
  </si>
  <si>
    <t>SOFT SERVICES NEW JOINERS</t>
  </si>
  <si>
    <t>M&amp;E SERVICES NEW JOINERS</t>
  </si>
  <si>
    <t>GRAND TOTAL</t>
  </si>
  <si>
    <t>SANKULA  GOURAMMA</t>
  </si>
  <si>
    <t>SINNO PRASANTHA</t>
  </si>
  <si>
    <t>CADEPLAY</t>
  </si>
  <si>
    <t>DEVI DHURWEY</t>
  </si>
  <si>
    <t>OLD</t>
  </si>
  <si>
    <t>KANDURU MADHU</t>
  </si>
  <si>
    <t>GUESS</t>
  </si>
  <si>
    <t>PATHEPURSM BALA KRISHNA</t>
  </si>
  <si>
    <t>NSL-UPPAL</t>
  </si>
  <si>
    <t>ANISETTI MADHU BABU</t>
  </si>
  <si>
    <t>GVDC</t>
  </si>
  <si>
    <t>SHIFT ENGINEER</t>
  </si>
  <si>
    <t>SHAIK SAIDULU</t>
  </si>
  <si>
    <t>Q-CITY</t>
  </si>
  <si>
    <t>VADLA SRAVAN KUMAR</t>
  </si>
  <si>
    <t>CLEAN HARBOUR</t>
  </si>
  <si>
    <t>HOUSE KEEPING</t>
  </si>
  <si>
    <t>covergone</t>
  </si>
  <si>
    <t>Norbat bara</t>
  </si>
  <si>
    <t>k. sunita Achary</t>
  </si>
  <si>
    <t>East man</t>
  </si>
  <si>
    <t>chella Nava deep</t>
  </si>
  <si>
    <t>Ashok kumar mallik</t>
  </si>
  <si>
    <t>S.Surendra babu</t>
  </si>
  <si>
    <t>plumber</t>
  </si>
  <si>
    <t>poliboinyan Anil kumar</t>
  </si>
  <si>
    <t>C1</t>
  </si>
  <si>
    <t xml:space="preserve">    Dunna Sandeep</t>
  </si>
  <si>
    <t>Alauddin</t>
  </si>
  <si>
    <t>DIVYA SREE B3</t>
  </si>
  <si>
    <t>M&amp;E  ESI &amp; PF</t>
  </si>
  <si>
    <t>potnuru mokha lingam</t>
  </si>
  <si>
    <t>Nagaram Rajesh</t>
  </si>
  <si>
    <t>electrician</t>
  </si>
  <si>
    <t>UDDAGIRI RAVI</t>
  </si>
  <si>
    <t>DIVYASREEB7</t>
  </si>
  <si>
    <t>GV</t>
  </si>
  <si>
    <t>divyasreeB1</t>
  </si>
  <si>
    <t>carpenter</t>
  </si>
  <si>
    <t>TIRTHA MALIK</t>
  </si>
  <si>
    <t>AVULA NAGESWAR REDDY</t>
  </si>
  <si>
    <t>DIVYA SREE B1</t>
  </si>
  <si>
    <t>QCITY</t>
  </si>
  <si>
    <t>DUDEKULA SHEAKSHA VALI</t>
  </si>
  <si>
    <t>SOFT SERVICES</t>
  </si>
  <si>
    <t>GARDASU SAI KUMAR</t>
  </si>
  <si>
    <t>MUJIBUR ROHAM CHODHURY</t>
  </si>
  <si>
    <t>BASUTGHAR ANURADHA</t>
  </si>
  <si>
    <t>EastMAN</t>
  </si>
  <si>
    <t>SEKUL ISLAM MAJUMDAR</t>
  </si>
  <si>
    <t>AASIYA</t>
  </si>
  <si>
    <t>BARRE SWAPANA</t>
  </si>
  <si>
    <t>RITE SOFTWARE</t>
  </si>
  <si>
    <t>AJMEERA SHIRISJHA</t>
  </si>
  <si>
    <t>MAMIDI JSHWANTH KUMAR</t>
  </si>
  <si>
    <t>DIVYA SREE B6</t>
  </si>
  <si>
    <t>NEW ACCOUNT REQUIRED</t>
  </si>
  <si>
    <t>NAME CHANGE</t>
  </si>
  <si>
    <t>FAMILY DETAILS</t>
  </si>
  <si>
    <t>SHAIK NAGOOR SHAREEF</t>
  </si>
  <si>
    <t>INSURANCE</t>
  </si>
  <si>
    <t>CLEAN HABOUR</t>
  </si>
  <si>
    <t>RYALI SAMARNADH VADAYAR</t>
  </si>
  <si>
    <t>EAST MAN</t>
  </si>
  <si>
    <t>GUDE ASHOK KUMAR</t>
  </si>
  <si>
    <t>NAKUL DHINIGA</t>
  </si>
  <si>
    <t>GOOGLE</t>
  </si>
  <si>
    <t>PARKING ASSISTANT</t>
  </si>
  <si>
    <t>BIPLAB BARAH</t>
  </si>
  <si>
    <t>SHAIK KHADEER PASHA</t>
  </si>
  <si>
    <t>CG BHARATHI</t>
  </si>
  <si>
    <t>CONVERGON</t>
  </si>
  <si>
    <t>HARISH CHANDRA BHAJ</t>
  </si>
  <si>
    <t>CHITYALA DEEPAK</t>
  </si>
  <si>
    <t>FIRE TECHNICIAN</t>
  </si>
  <si>
    <t>MD AZAHARUDDIN</t>
  </si>
  <si>
    <t>HAVC TECHNICIAN</t>
  </si>
  <si>
    <t>CHAPPIDI PURNA MAHESH</t>
  </si>
  <si>
    <t>DIPAK KUMAR MALIK</t>
  </si>
  <si>
    <t>shekar basappa</t>
  </si>
  <si>
    <t>ZIABUR RHAMAN</t>
  </si>
  <si>
    <t>KAMPALLY VEERANNA</t>
  </si>
  <si>
    <t>JAHANGIR ALOM</t>
  </si>
  <si>
    <t>BILAL AHMED BARBHUIYA</t>
  </si>
  <si>
    <t>Ranjit behera</t>
  </si>
  <si>
    <t>samudrala praveen</t>
  </si>
  <si>
    <t>insurances</t>
  </si>
  <si>
    <t>AVUGADDA KUMARI</t>
  </si>
  <si>
    <t>hetero</t>
  </si>
  <si>
    <t>Electrican</t>
  </si>
  <si>
    <t>Qcity</t>
  </si>
  <si>
    <t>burugu ashok</t>
  </si>
  <si>
    <t>SAUMYA RANJAN SAMAL</t>
  </si>
  <si>
    <t>Eastman</t>
  </si>
  <si>
    <t>Thanniru jyothi</t>
  </si>
  <si>
    <t>Insurance</t>
  </si>
  <si>
    <t>pantry boy</t>
  </si>
  <si>
    <t>IFTADUL ISLAM</t>
  </si>
  <si>
    <t>BHOLA SANKAR DASH</t>
  </si>
  <si>
    <t>clean habour</t>
  </si>
  <si>
    <t>B.siva</t>
  </si>
  <si>
    <t>DivyaSreeB4</t>
  </si>
  <si>
    <t>VADALA BAHANU</t>
  </si>
  <si>
    <t>Chappidi purna mahesh</t>
  </si>
  <si>
    <t>Touch Stone</t>
  </si>
  <si>
    <t>Electricial operator</t>
  </si>
  <si>
    <t>Divya SreeB4</t>
  </si>
  <si>
    <t>Divya SreeB7</t>
  </si>
  <si>
    <t> 5221268097</t>
  </si>
  <si>
    <t>DANDEBOINA SAI KIRAN</t>
  </si>
  <si>
    <t>MAHIBUR RAHMAN</t>
  </si>
  <si>
    <t>colletigent</t>
  </si>
  <si>
    <t>SIRAMDAS AVINASH</t>
  </si>
  <si>
    <t>NSL UPPALA</t>
  </si>
  <si>
    <t>MD.SAJID KHAN</t>
  </si>
  <si>
    <t>MD TALIM ANSARI</t>
  </si>
  <si>
    <t>AMANULLAH KHAN</t>
  </si>
  <si>
    <t>P. SRINIVASULU</t>
  </si>
  <si>
    <t>D.NAGESH BABU</t>
  </si>
  <si>
    <t>ISUKAPALLE KALAYAN</t>
  </si>
  <si>
    <t>ISUNEPALLI PERM</t>
  </si>
  <si>
    <t>RUDRAKANT BEDANT</t>
  </si>
  <si>
    <t>VALLAPU PRAVEEN</t>
  </si>
  <si>
    <t>L&amp;T</t>
  </si>
  <si>
    <t>BaikadiAkshya kumar</t>
  </si>
  <si>
    <t>DIVYA SREEB3</t>
  </si>
  <si>
    <t>Divya sree</t>
  </si>
  <si>
    <t> 5221310585</t>
  </si>
  <si>
    <t>priya ranjan khan</t>
  </si>
  <si>
    <t>Q -city</t>
  </si>
  <si>
    <t>Davari sainath</t>
  </si>
  <si>
    <t>office Boy</t>
  </si>
  <si>
    <t>Hetero</t>
  </si>
  <si>
    <t>Devendra peddabennela</t>
  </si>
  <si>
    <t>Housekeeping</t>
  </si>
  <si>
    <t>MAHETAB KHAJAMIYA BAGWAN</t>
  </si>
  <si>
    <t>G PRAVEEN KUMAR</t>
  </si>
  <si>
    <t>PANTRY BOY</t>
  </si>
  <si>
    <t>Sapavat Chitti</t>
  </si>
  <si>
    <t>Tagaram Suvartha</t>
  </si>
  <si>
    <t>T. jayamma</t>
  </si>
  <si>
    <t>Mangali chittemma</t>
  </si>
  <si>
    <t>Thonta Srikanth</t>
  </si>
  <si>
    <t>sansira begum Mazumder</t>
  </si>
  <si>
    <t>E jitendra goud</t>
  </si>
  <si>
    <t>WE HUB</t>
  </si>
  <si>
    <t>Atakula sandeep Reddy</t>
  </si>
  <si>
    <t>HK.supervisior</t>
  </si>
  <si>
    <t>otp</t>
  </si>
  <si>
    <t>Divya sree B6</t>
  </si>
  <si>
    <t>Electrician</t>
  </si>
  <si>
    <t>KUNTA SWAMY</t>
  </si>
  <si>
    <t>abscon</t>
  </si>
  <si>
    <t>Rintu singha</t>
  </si>
  <si>
    <t>Insurances</t>
  </si>
  <si>
    <t>google</t>
  </si>
  <si>
    <t>parking assistant</t>
  </si>
  <si>
    <t>Sridhar malik</t>
  </si>
  <si>
    <t>Divya sreeB7</t>
  </si>
  <si>
    <t>Sodari Rajendra</t>
  </si>
  <si>
    <t>SUJIT KUMAR NAYAK</t>
  </si>
  <si>
    <t>PADIDALA PRAKASH</t>
  </si>
  <si>
    <t>P KANAKAMMA</t>
  </si>
  <si>
    <t>SAMUDRALA BHARGAVI</t>
  </si>
  <si>
    <t>DUGRA THAPA</t>
  </si>
  <si>
    <t>MUKSIDUL ISLAM</t>
  </si>
  <si>
    <t>TDCX</t>
  </si>
  <si>
    <t>ENVIRI</t>
  </si>
  <si>
    <t>DEEPAK DAS</t>
  </si>
  <si>
    <t>DIVYASREE B3</t>
  </si>
  <si>
    <t> 5221346814</t>
  </si>
  <si>
    <t>vonkara Deepesh</t>
  </si>
  <si>
    <t>RAKESH TARAI</t>
  </si>
  <si>
    <t>TUTU BORAH HAZARIKA</t>
  </si>
  <si>
    <t>SANGEETA DEVI DUNGEL</t>
  </si>
  <si>
    <t>IMAN UDDIN LASKAR</t>
  </si>
  <si>
    <t>janani si</t>
  </si>
  <si>
    <t>TAPHAN KUMAR SI</t>
  </si>
  <si>
    <t>AKHIL</t>
  </si>
  <si>
    <t>SALAM UDDIN MIA</t>
  </si>
  <si>
    <t> 5221366841</t>
  </si>
  <si>
    <t>SIMMA DALIRAJU</t>
  </si>
  <si>
    <t>DG-OPERATOR</t>
  </si>
  <si>
    <t>Abdul barik</t>
  </si>
  <si>
    <t>Mallala Rajasekhar</t>
  </si>
  <si>
    <t>supervisior</t>
  </si>
  <si>
    <t> 5347898981</t>
  </si>
  <si>
    <t> 5221373793</t>
  </si>
  <si>
    <t>SAHARUL ISLAM CHOUDHURY</t>
  </si>
  <si>
    <t>Caps</t>
  </si>
  <si>
    <t>bank account</t>
  </si>
  <si>
    <t>family details</t>
  </si>
  <si>
    <t>TAMIRIA PURUSOTHAM</t>
  </si>
  <si>
    <t>Abcond</t>
  </si>
  <si>
    <t>VELPULA SANDEEP</t>
  </si>
  <si>
    <t>MIDAS-B7</t>
  </si>
  <si>
    <t>NARESH DAS</t>
  </si>
  <si>
    <t>MIDAS -B1</t>
  </si>
  <si>
    <t>MANMGALARAPU DHEERAJ</t>
  </si>
  <si>
    <t>MIDAS -B6</t>
  </si>
  <si>
    <t>GODISHELA SHIVA SAI</t>
  </si>
  <si>
    <t>ABU KAIF</t>
  </si>
  <si>
    <t>MIDAS- B3</t>
  </si>
  <si>
    <t>MD ZEESHAN KHAN</t>
  </si>
  <si>
    <t>MD.TALIB</t>
  </si>
  <si>
    <t>BOLLEDDU RAM BABU</t>
  </si>
  <si>
    <t>MOKALLA BALA KRISHNA</t>
  </si>
  <si>
    <t>DEEPAK MALIK</t>
  </si>
  <si>
    <t>MUKALLA MOHAN RAO</t>
  </si>
  <si>
    <t>MIDAS -B3</t>
  </si>
  <si>
    <t>MIDA-B6</t>
  </si>
  <si>
    <t>CHEBROLU RAVI TEJA</t>
  </si>
  <si>
    <t>JAJIMOGGALA SATISH KUMAR</t>
  </si>
  <si>
    <t>THALARI ARCHANA</t>
  </si>
  <si>
    <t>MALLE POGU NIKHIL</t>
  </si>
  <si>
    <t>M AKHIL</t>
  </si>
  <si>
    <t>Amit kumar Behera</t>
  </si>
  <si>
    <t>CHANDAN BEHERA</t>
  </si>
  <si>
    <t>havc operator</t>
  </si>
  <si>
    <t>midas b7</t>
  </si>
  <si>
    <t>dg operator</t>
  </si>
  <si>
    <t>MIDAS-B6</t>
  </si>
  <si>
    <t>BMS OPEARTOR</t>
  </si>
  <si>
    <t>l&amp;t</t>
  </si>
  <si>
    <t>S.No</t>
  </si>
  <si>
    <t>Jahur uddin barbhuiya</t>
  </si>
  <si>
    <t>House keeping</t>
  </si>
  <si>
    <t>neha sharma</t>
  </si>
  <si>
    <t>Aasiya</t>
  </si>
  <si>
    <t>Shaik Shajahan</t>
  </si>
  <si>
    <t>vijay kumar</t>
  </si>
  <si>
    <t>MOHAMMED MUJAHERUL ISLAM</t>
  </si>
  <si>
    <t>bolleddu ram babu</t>
  </si>
  <si>
    <t>Amit kumar behera</t>
  </si>
  <si>
    <t>exist numbers</t>
  </si>
  <si>
    <t>deepak malik</t>
  </si>
  <si>
    <t>mukkalla mohan Rao</t>
  </si>
  <si>
    <t>Abu kaif</t>
  </si>
  <si>
    <t>md talib</t>
  </si>
  <si>
    <t>Enviri</t>
  </si>
  <si>
    <t>Converagon</t>
  </si>
  <si>
    <t>RAMAVAATH PEDDA LALITHA</t>
  </si>
  <si>
    <t>Devi Singh Basor</t>
  </si>
  <si>
    <t>LEFT</t>
  </si>
  <si>
    <t>MIDAS B1</t>
  </si>
  <si>
    <t>sabbir Ahmed Mazumder</t>
  </si>
  <si>
    <t>shahin Ahmed barbhuiya</t>
  </si>
  <si>
    <t>Ajay Kumar Ben</t>
  </si>
  <si>
    <t>Mahaboobee</t>
  </si>
  <si>
    <t>Arun Basor</t>
  </si>
  <si>
    <t>imran hussian mazumder</t>
  </si>
  <si>
    <t>manish kumar</t>
  </si>
  <si>
    <t>insurance</t>
  </si>
  <si>
    <t>BMS operator</t>
  </si>
  <si>
    <t>Demograghic issuse</t>
  </si>
  <si>
    <t>DARAVATH RAJITHA</t>
  </si>
  <si>
    <t>DANEYAL KHAN</t>
  </si>
  <si>
    <t>DEMOGRAGHIC ISSUSE</t>
  </si>
  <si>
    <t>MIDAS-B3</t>
  </si>
  <si>
    <t> 5221450942</t>
  </si>
  <si>
    <t>HIRENDRA KUMAR PATLU</t>
  </si>
  <si>
    <t>PUSHPENDRA KUMAR</t>
  </si>
  <si>
    <t>CHHOTE LAL</t>
  </si>
  <si>
    <t>KURAGANTI GOWTHAMI</t>
  </si>
  <si>
    <t>CADEPOLY</t>
  </si>
  <si>
    <t>KACHALA SANTOSH KUMAR</t>
  </si>
  <si>
    <t>24SIPS</t>
  </si>
  <si>
    <t>TECHNICAL MANGER</t>
  </si>
  <si>
    <t>MidasB3</t>
  </si>
  <si>
    <t>midas B6</t>
  </si>
  <si>
    <t>Mirujul Islam</t>
  </si>
  <si>
    <t>MD.DANISH</t>
  </si>
  <si>
    <t>GALI SANDEEP</t>
  </si>
  <si>
    <t>KORNANA ABHI</t>
  </si>
  <si>
    <t>Midas -B4</t>
  </si>
  <si>
    <t>HAVC Technican</t>
  </si>
  <si>
    <t>midas -B3</t>
  </si>
  <si>
    <t>B.M.S Operator</t>
  </si>
  <si>
    <t>K .MANJULA</t>
  </si>
  <si>
    <t>ABCOND</t>
  </si>
  <si>
    <t>M&amp;E joniee for the month - Nov</t>
  </si>
  <si>
    <t>]</t>
  </si>
  <si>
    <t>SANJITA XAXA</t>
  </si>
  <si>
    <t>SIBARAM BEHERA</t>
  </si>
  <si>
    <t>FARHAN ALAM</t>
  </si>
  <si>
    <t>MIDAS B3</t>
  </si>
  <si>
    <t>Faizan khan</t>
  </si>
  <si>
    <t>GULLAPUDI PREETHI</t>
  </si>
  <si>
    <t>clean Habour</t>
  </si>
  <si>
    <t>HR-executive</t>
  </si>
  <si>
    <t>Soft Services for the month - Nov</t>
  </si>
  <si>
    <t>kallem krupakar</t>
  </si>
  <si>
    <t>uppala NSL</t>
  </si>
  <si>
    <t>Biswajit Sahoo</t>
  </si>
  <si>
    <t>Midas B1</t>
  </si>
  <si>
    <t>p.v.v. Sai Durgesh</t>
  </si>
  <si>
    <t>Muddada Syamala Roa</t>
  </si>
  <si>
    <t xml:space="preserve">MIDAS </t>
  </si>
  <si>
    <t> 5221499088</t>
  </si>
  <si>
    <t>NENVATHA SUJATHA</t>
  </si>
  <si>
    <t>5221509363</t>
  </si>
  <si>
    <t xml:space="preserve"> M&amp;E </t>
  </si>
  <si>
    <t> 5221510127</t>
  </si>
  <si>
    <t>MALLADI VENKATESH</t>
  </si>
  <si>
    <t>5221514932</t>
  </si>
  <si>
    <t> 5221515001</t>
  </si>
  <si>
    <t>KAMMU RAMESH</t>
  </si>
  <si>
    <t>MENDA DILLISWARA RAO</t>
  </si>
  <si>
    <t>SHAJAN AHMED BARBHUIYA</t>
  </si>
  <si>
    <t>KANCHARLUA PRASHANTH</t>
  </si>
  <si>
    <t>MITIDUR RAHMAN CHODHURY</t>
  </si>
  <si>
    <t>BIJINEPALLI SRIHARI</t>
  </si>
  <si>
    <t>VIRENDRA</t>
  </si>
  <si>
    <t>Suman Das</t>
  </si>
  <si>
    <t>Sohidal islam</t>
  </si>
  <si>
    <t>cotelligent</t>
  </si>
  <si>
    <t>House keeping boy</t>
  </si>
  <si>
    <t>East Man</t>
  </si>
  <si>
    <t>cadepoly</t>
  </si>
  <si>
    <t>chandni sharma</t>
  </si>
  <si>
    <t>House keeping lady</t>
  </si>
  <si>
    <t>Divya sree B1</t>
  </si>
  <si>
    <t>11211</t>
  </si>
  <si>
    <t xml:space="preserve">MORUGU ARVIND </t>
  </si>
  <si>
    <t>ASIYA SULTANA</t>
  </si>
  <si>
    <t>B.KRISHNAIAH</t>
  </si>
  <si>
    <t>Ramavath pooja</t>
  </si>
  <si>
    <t> 5220511471</t>
  </si>
  <si>
    <t>M. LAXMI NARAYANA</t>
  </si>
  <si>
    <t>MASSION</t>
  </si>
  <si>
    <t>102141829556</t>
  </si>
  <si>
    <t>Divya sree B3</t>
  </si>
  <si>
    <t>102106814769</t>
  </si>
  <si>
    <t>KANDIKONDA TARUN</t>
  </si>
  <si>
    <t>MATANGI SATEESH</t>
  </si>
  <si>
    <t>5221535346</t>
  </si>
  <si>
    <t>INNOPOLIS</t>
  </si>
  <si>
    <t> 5221535602</t>
  </si>
  <si>
    <t>VELPULA ASRIKANTH</t>
  </si>
  <si>
    <t>BANOTH VINOD KUMAR</t>
  </si>
  <si>
    <t xml:space="preserve">	101329673607</t>
  </si>
  <si>
    <t>divya sreeb3</t>
  </si>
  <si>
    <t>RESHMA BEGUM</t>
  </si>
  <si>
    <t>enviri</t>
  </si>
  <si>
    <t>Resasons</t>
  </si>
  <si>
    <t>Ramesh chandran malik</t>
  </si>
  <si>
    <t>prem kumar</t>
  </si>
  <si>
    <t>s. abhilash</t>
  </si>
  <si>
    <t>kadixam varan teja</t>
  </si>
  <si>
    <t xml:space="preserve">joining date, family pass port size </t>
  </si>
  <si>
    <t>Aadhara card , family aadhara , famuily passport size photos bank account xerox</t>
  </si>
  <si>
    <t>Ampolu venkateshwar Roa</t>
  </si>
  <si>
    <t xml:space="preserve">family pass port size </t>
  </si>
  <si>
    <t>Raja prasad sahoo</t>
  </si>
  <si>
    <t>kadamanchh</t>
  </si>
  <si>
    <t>MEERDODDI GNANESHWAR</t>
  </si>
  <si>
    <t>left</t>
  </si>
  <si>
    <t>kadiham varun teju</t>
  </si>
  <si>
    <t>midas B4</t>
  </si>
  <si>
    <t>RAJA PRASAD SAHOO</t>
  </si>
  <si>
    <t>WELDER</t>
  </si>
  <si>
    <t>AMPOLU VENKATESWARAROA</t>
  </si>
  <si>
    <t>PREMKUMAR</t>
  </si>
  <si>
    <t>qcity</t>
  </si>
  <si>
    <t>PARUPALLY KARTHIK</t>
  </si>
  <si>
    <t>RAMESH CHANDRA MALIK</t>
  </si>
  <si>
    <t>KADAMANCHI SAIDAIAH</t>
  </si>
  <si>
    <t>EMPLOYEE CODE</t>
  </si>
  <si>
    <t>SITE NAME</t>
  </si>
  <si>
    <t>DUDEKULA YAKUB PASHA</t>
  </si>
  <si>
    <t>HK BOY</t>
  </si>
  <si>
    <t>ESI PENDING FAMILY PHOTOS, MOTHER AADHARA CARD</t>
  </si>
  <si>
    <t>VALLALA PRANITH GOUD</t>
  </si>
  <si>
    <t>OFFICE BOY</t>
  </si>
  <si>
    <t>FAMILY PHOTOS</t>
  </si>
  <si>
    <t>ANKIT</t>
  </si>
  <si>
    <t> 5220415752</t>
  </si>
  <si>
    <t>BANOTHU LAXMI</t>
  </si>
  <si>
    <t>HK lady</t>
  </si>
  <si>
    <t xml:space="preserve">ESI PENDING FAMILY PHOTOS,  AADHARA CARD, </t>
  </si>
  <si>
    <t>BANOTHU SAROJA</t>
  </si>
  <si>
    <t>BANOTH LAKPATHI</t>
  </si>
  <si>
    <t> 5220926951</t>
  </si>
  <si>
    <t>HAMIDULLA BARBHUIYA</t>
  </si>
  <si>
    <t>HKBOY</t>
  </si>
  <si>
    <t>pooja</t>
  </si>
  <si>
    <t>HK LADY</t>
  </si>
  <si>
    <t>RAJAMMA</t>
  </si>
  <si>
    <t xml:space="preserve"> BHARATI RAJ</t>
  </si>
  <si>
    <t>abcond</t>
  </si>
  <si>
    <t>pasupulaeti brahmam</t>
  </si>
  <si>
    <t>S.harish</t>
  </si>
  <si>
    <t>BATHRI KIRAN</t>
  </si>
  <si>
    <t>MARRI SRI HARI</t>
  </si>
  <si>
    <t>Nampalli venkatesh</t>
  </si>
  <si>
    <t>k.manjula</t>
  </si>
  <si>
    <t>Rite software</t>
  </si>
  <si>
    <t>east man</t>
  </si>
  <si>
    <t>HK boy</t>
  </si>
  <si>
    <t>sadulqul Islam</t>
  </si>
  <si>
    <t>sallam uddin mia</t>
  </si>
  <si>
    <t>enivire</t>
  </si>
  <si>
    <t>santoosh yadav</t>
  </si>
  <si>
    <t>Dgoperator</t>
  </si>
  <si>
    <t>Technical supervisor</t>
  </si>
  <si>
    <t>divya sree b6</t>
  </si>
  <si>
    <t>M&amp;E joniee for the month - DEC</t>
  </si>
  <si>
    <t>M kranthi</t>
  </si>
  <si>
    <t>REVELLI HEMANTH</t>
  </si>
  <si>
    <t> 5221618572</t>
  </si>
  <si>
    <t>SANNILA ABHILASH</t>
  </si>
  <si>
    <t>SHAHABUDDIN KHAN</t>
  </si>
  <si>
    <t>midas b3</t>
  </si>
  <si>
    <t>Rehana begum</t>
  </si>
  <si>
    <t>JABUR HUSSAIN LASKAR</t>
  </si>
  <si>
    <t>CADEPLOY</t>
  </si>
  <si>
    <t>hkboy</t>
  </si>
  <si>
    <t>WAHIDULLA LASKAR</t>
  </si>
  <si>
    <t>ENIVIRI</t>
  </si>
  <si>
    <t>hk BOY</t>
  </si>
  <si>
    <t>KABIL HUSSIAN LASKAR</t>
  </si>
  <si>
    <t>PRITIRAJAN NAYAK</t>
  </si>
  <si>
    <t>BURHAN AHMED LAKLAR</t>
  </si>
  <si>
    <t>sakira begum laskar</t>
  </si>
  <si>
    <t>vinod prasad</t>
  </si>
  <si>
    <t>M LAKSHMI NARAYAN</t>
  </si>
  <si>
    <t xml:space="preserve">MASTRI </t>
  </si>
  <si>
    <t>GADDAM RUSHIKESH</t>
  </si>
  <si>
    <t>RAHIM UDDIN LASKAR</t>
  </si>
  <si>
    <t>BAHARUL ALAM BARBHUIYA</t>
  </si>
  <si>
    <t>CARPENTER</t>
  </si>
  <si>
    <t>PUDI ASOK</t>
  </si>
  <si>
    <t>CH.PRASANNA KUMAR</t>
  </si>
  <si>
    <t>CINOPOLISIES</t>
  </si>
  <si>
    <t>P. CHANDRA SEKHAR PATRA</t>
  </si>
  <si>
    <t>KAMMSGANI SANJAY</t>
  </si>
  <si>
    <t>varikuppala Renuka</t>
  </si>
  <si>
    <t>kukudapaala renuka</t>
  </si>
  <si>
    <t>NUR AHMED LASKAR</t>
  </si>
  <si>
    <t>HK-BOY</t>
  </si>
  <si>
    <t>GADDIGOPULA CHANDRASEKHAR</t>
  </si>
  <si>
    <t>MUTHYALA MAMTHA</t>
  </si>
  <si>
    <t>SHAIK AFIZA</t>
  </si>
  <si>
    <t>MERAJ BEGUM</t>
  </si>
  <si>
    <t>CHILUKA LAXMI</t>
  </si>
  <si>
    <t>Eritho singh</t>
  </si>
  <si>
    <t>SHAGAR GEETA</t>
  </si>
  <si>
    <t>MALLEPAGA KALYANI</t>
  </si>
  <si>
    <t>GITARANI DHIR</t>
  </si>
  <si>
    <t>GOPAL ROUT</t>
  </si>
  <si>
    <t>CHINTHALA PAVAN KUMAR</t>
  </si>
  <si>
    <t>SEGGAM KRISHNA</t>
  </si>
  <si>
    <t>MIDASB6</t>
  </si>
  <si>
    <t>mohammad gouse</t>
  </si>
  <si>
    <t>TALLA KARTHIK REDDY</t>
  </si>
  <si>
    <t>Convergon</t>
  </si>
  <si>
    <t>PANNEERUSATISH</t>
  </si>
  <si>
    <t>panneeru sathish</t>
  </si>
  <si>
    <t>peddagolla pochaiah</t>
  </si>
  <si>
    <t>Soriful Islam</t>
  </si>
  <si>
    <t>Clean Habours</t>
  </si>
  <si>
    <t>shoriful Islam</t>
  </si>
  <si>
    <t>SAJJAPURAM SRIDEVI</t>
  </si>
  <si>
    <t>ROBIJUL ISLAM LASKAR</t>
  </si>
  <si>
    <t>KASTALA GOWTHAMI</t>
  </si>
  <si>
    <t>ibrahim khalial hussian</t>
  </si>
  <si>
    <t>SABITA DEO</t>
  </si>
  <si>
    <t>MD ABID</t>
  </si>
  <si>
    <t>PONNANA SOMESWARA RAO</t>
  </si>
  <si>
    <t>KABIR HUSSEN BARBHUIYA</t>
  </si>
  <si>
    <t>PUTTAPATTIE LAXAMAIAH</t>
  </si>
  <si>
    <t>Soft Services for the month - jAN</t>
  </si>
  <si>
    <t>M&amp;E joniee for the month -JAN</t>
  </si>
  <si>
    <t>Dulal Hussian barbhuioya</t>
  </si>
  <si>
    <t>zenoti</t>
  </si>
  <si>
    <t>MANORANJAN RAJ</t>
  </si>
  <si>
    <t>VUGGELLI JYOTHI</t>
  </si>
  <si>
    <t>B0da vijaya</t>
  </si>
  <si>
    <t>Akunuri sravan</t>
  </si>
  <si>
    <t>manchala anuradha</t>
  </si>
  <si>
    <t>NAKKA DAMAYANTH</t>
  </si>
  <si>
    <t>SHYMALA RAHUL REDDY</t>
  </si>
  <si>
    <t>KOMMULA DEVA RAJU</t>
  </si>
  <si>
    <t>B Raj kumar goud</t>
  </si>
  <si>
    <t>manoj sharma</t>
  </si>
  <si>
    <t>SURANI BANDAIAH</t>
  </si>
  <si>
    <t>TRIBHUWAN KUMAR PANDA</t>
  </si>
  <si>
    <t xml:space="preserve">Google </t>
  </si>
  <si>
    <t>Reasons</t>
  </si>
  <si>
    <t>M&amp;E joniee for the month -Feb</t>
  </si>
  <si>
    <t>Soft Services for the month - Feb</t>
  </si>
  <si>
    <t>Madasu Nagendra Babu</t>
  </si>
  <si>
    <t> 5220583495</t>
  </si>
  <si>
    <t>pottipogu raju</t>
  </si>
  <si>
    <t>SHAIK SIRAJ</t>
  </si>
  <si>
    <t>MOTUPALLI RAVI SHANKAR DURGA</t>
  </si>
  <si>
    <t>BMS OPEATOR</t>
  </si>
  <si>
    <t>RAVI NAIK</t>
  </si>
  <si>
    <t>NSL-UPPALA</t>
  </si>
  <si>
    <t>MD.asif</t>
  </si>
  <si>
    <t>BALARAM ROUT</t>
  </si>
  <si>
    <t>parking boy</t>
  </si>
  <si>
    <t>office boy</t>
  </si>
  <si>
    <t>MANGALI SURESH KUMAR</t>
  </si>
  <si>
    <t>SONI DEVI</t>
  </si>
  <si>
    <t>House Keeping</t>
  </si>
  <si>
    <t xml:space="preserve"> NILAM naik</t>
  </si>
  <si>
    <t>Vangaru sanjay</t>
  </si>
  <si>
    <t>CHINTARLAPALLI MANJUNATHA BABU</t>
  </si>
  <si>
    <t>VASA SHIVA KUMARM</t>
  </si>
  <si>
    <t>midas B1</t>
  </si>
  <si>
    <t>RAYUDU JAYAKRISHNA</t>
  </si>
  <si>
    <t>Midas b1</t>
  </si>
  <si>
    <t>Badisa Sunil</t>
  </si>
  <si>
    <t>kalidindi satya sai varma</t>
  </si>
  <si>
    <t>Rayudu jaya krishna</t>
  </si>
  <si>
    <t>fmaily passport size photos</t>
  </si>
  <si>
    <t>Badisa sunil</t>
  </si>
  <si>
    <t>Dudimetla larence</t>
  </si>
  <si>
    <t>fmaily passport size photos with family aadhara cards</t>
  </si>
  <si>
    <t>Govind pandurang rajarpalla</t>
  </si>
  <si>
    <t xml:space="preserve">Aadhara card , family passport size photos </t>
  </si>
  <si>
    <t>vasa shiva kumar</t>
  </si>
  <si>
    <t>Dudimetla Larences</t>
  </si>
  <si>
    <t>DG -operator</t>
  </si>
  <si>
    <t>RAJU BHIMRAO DURNE</t>
  </si>
  <si>
    <t>MIDAS</t>
  </si>
  <si>
    <t>Anrock</t>
  </si>
  <si>
    <t>jr.office boy</t>
  </si>
  <si>
    <t>KAMRUL ISLAM CHOUDHURY</t>
  </si>
  <si>
    <t>Balaji talpula</t>
  </si>
  <si>
    <t>vara prasad Reddy</t>
  </si>
  <si>
    <t>KATTHULA SAROJA</t>
  </si>
  <si>
    <t>Zenoti</t>
  </si>
  <si>
    <t xml:space="preserve">RAKESH KUMAR </t>
  </si>
  <si>
    <t>mellipaka laxmi manasa</t>
  </si>
  <si>
    <t>SABITA WARE</t>
  </si>
  <si>
    <t>cadeploy</t>
  </si>
  <si>
    <t>DILWAR HUSSAIN LASKAR</t>
  </si>
  <si>
    <t>Kishore Kumar Thapa</t>
  </si>
  <si>
    <t> 5221821075</t>
  </si>
  <si>
    <t>yangal Ramesh Narsayya</t>
  </si>
  <si>
    <t>Bokka Manikanta</t>
  </si>
  <si>
    <t>Q-City</t>
  </si>
  <si>
    <t>fire technician</t>
  </si>
  <si>
    <t>GOLLAPUDI NAGARAJU</t>
  </si>
  <si>
    <t>MACHEPALLY SRINIVAS</t>
  </si>
  <si>
    <t>masion</t>
  </si>
  <si>
    <t>Biswaranjan behera</t>
  </si>
  <si>
    <t>Divya Sree B7</t>
  </si>
  <si>
    <t>Maddela subrarayudu</t>
  </si>
  <si>
    <t>Rudraboina Sudharshah</t>
  </si>
  <si>
    <t>A.jithendra kumar</t>
  </si>
  <si>
    <t>Swarnapu pranitha</t>
  </si>
  <si>
    <t>Sabir AhmedLaskar</t>
  </si>
  <si>
    <t>Soft Services New joniee for the month -Mar</t>
  </si>
  <si>
    <t>jabir Hussian Shelt</t>
  </si>
  <si>
    <t>Housekeeping BOY</t>
  </si>
  <si>
    <t>Housekeeping Boy</t>
  </si>
  <si>
    <t>Rahal Ahemd Barbhuiya</t>
  </si>
  <si>
    <t>CENEENOLA KRISHNA</t>
  </si>
  <si>
    <t xml:space="preserve">Name </t>
  </si>
  <si>
    <t>Resons</t>
  </si>
  <si>
    <t>rudraboina sudharshan</t>
  </si>
  <si>
    <t>family aadhara card, pass port size photos</t>
  </si>
  <si>
    <t>yangal ramesh narsayya</t>
  </si>
  <si>
    <t>machepally srinivas</t>
  </si>
  <si>
    <t>p. srinivas</t>
  </si>
  <si>
    <t>family aadhara card, pass port size photos, date of joining</t>
  </si>
  <si>
    <t>Technical  supervisior</t>
  </si>
  <si>
    <t>Mamilla padmavathi</t>
  </si>
  <si>
    <t>Housekeeping lady</t>
  </si>
  <si>
    <t>EDUNURI RADHA</t>
  </si>
  <si>
    <t> 5221864962</t>
  </si>
  <si>
    <t>PALLA SRINIVAS</t>
  </si>
  <si>
    <t>Divya Sree B1</t>
  </si>
  <si>
    <t> 5221882923</t>
  </si>
  <si>
    <t>Nsl -uppal</t>
  </si>
  <si>
    <t>M&amp;E Joniee For The Month -Mar</t>
  </si>
  <si>
    <t>GOVARDHANA VENUGOPAL</t>
  </si>
  <si>
    <t>Technician</t>
  </si>
  <si>
    <t>NIRUTI NAGARAJU</t>
  </si>
  <si>
    <t>GVRX</t>
  </si>
  <si>
    <t>MADHU smita shee</t>
  </si>
  <si>
    <r>
      <t>Insurancei</t>
    </r>
    <r>
      <rPr>
        <sz val="11"/>
        <color theme="1"/>
        <rFont val="Calibri"/>
        <family val="2"/>
        <scheme val="minor"/>
      </rPr>
      <t>insurances</t>
    </r>
  </si>
  <si>
    <t>enivir</t>
  </si>
  <si>
    <t>Devarakonda siva sai Hareesh</t>
  </si>
  <si>
    <t>k kalpana</t>
  </si>
  <si>
    <t>ch .Rajesh</t>
  </si>
  <si>
    <t>Myla sudhakar</t>
  </si>
  <si>
    <t>Sukamancti arvanid swamy</t>
  </si>
  <si>
    <t>sourav malik</t>
  </si>
  <si>
    <t>Bodike raju</t>
  </si>
  <si>
    <t>Moa Alom Barbhuiya</t>
  </si>
  <si>
    <t>M. parameshwar</t>
  </si>
  <si>
    <t>marampudi mahima raju</t>
  </si>
  <si>
    <t>Mohd. Amir faroqui</t>
  </si>
  <si>
    <t>Tamiri purusotham</t>
  </si>
  <si>
    <t>Ampolu Bala krishna</t>
  </si>
  <si>
    <t>Azmol hussian Bharbhuiya</t>
  </si>
  <si>
    <t>chakali Naveen</t>
  </si>
  <si>
    <t>Painter</t>
  </si>
  <si>
    <t>Q-city</t>
  </si>
  <si>
    <t>Fire Technician</t>
  </si>
  <si>
    <t>Divya Sree B8</t>
  </si>
  <si>
    <t> 5221945059</t>
  </si>
  <si>
    <t>NSL-uppal</t>
  </si>
  <si>
    <t>DG operator</t>
  </si>
  <si>
    <t>Ganjimala Akhil</t>
  </si>
  <si>
    <t> 5220549705</t>
  </si>
  <si>
    <t>painter</t>
  </si>
  <si>
    <t>Supervisor</t>
  </si>
  <si>
    <t>SHAFIQ ANSARI</t>
  </si>
  <si>
    <t>Havc Technician</t>
  </si>
  <si>
    <t>G . Revati</t>
  </si>
  <si>
    <t>K.mahesh</t>
  </si>
  <si>
    <t>Divya Sree B4</t>
  </si>
  <si>
    <t>B.M.S opeartor</t>
  </si>
  <si>
    <t>kondeti Eswara rao</t>
  </si>
  <si>
    <t>chakali Bhargavi krishna</t>
  </si>
  <si>
    <t>POTA RAJU SAMITHA</t>
  </si>
  <si>
    <t>KETHA VIJAYALAKSHMI</t>
  </si>
  <si>
    <t>ASADUL MIA MAZUMDER</t>
  </si>
  <si>
    <t>SURUBALI BHOI</t>
  </si>
  <si>
    <t>SONU KUMAR PASWAN</t>
  </si>
  <si>
    <t> 5221973355</t>
  </si>
  <si>
    <t>Borugadda SyamKumar</t>
  </si>
  <si>
    <t>executive</t>
  </si>
  <si>
    <t>BADAM SANDEEP</t>
  </si>
  <si>
    <t>G UPENDAR SAGAR</t>
  </si>
  <si>
    <t>SUPERVISOR</t>
  </si>
  <si>
    <t>M A FAIYAZ</t>
  </si>
  <si>
    <t>GANI HARI DAS</t>
  </si>
  <si>
    <t>ANUPATI SIVAKRISHNA</t>
  </si>
  <si>
    <t>KOPPISETTI MOHAN RAM</t>
  </si>
  <si>
    <t>K SANGAMESH</t>
  </si>
  <si>
    <t>ANGALAKURTHI NAVEEN</t>
  </si>
  <si>
    <t>SANGANA MADHAVA REDDY</t>
  </si>
  <si>
    <t>GUDAPUREDDY VENKATESWARA REDDY</t>
  </si>
  <si>
    <t>BOKKA SAI NAGA BHUSHANAM</t>
  </si>
  <si>
    <t>J CHAITANYA</t>
  </si>
  <si>
    <t>BMS Opeator</t>
  </si>
  <si>
    <t>MANOJ KUMAR DAS</t>
  </si>
  <si>
    <t>GUBBALA BHANU PRAKASH</t>
  </si>
  <si>
    <t>GONE VEERANNA</t>
  </si>
  <si>
    <t>DANOLA SATISH KUMAR</t>
  </si>
  <si>
    <t>MADDURI MADHUSUDHAN RAO</t>
  </si>
  <si>
    <t>PEER MOHAMMAD</t>
  </si>
  <si>
    <t>BASANTA KUMAR SETHY</t>
  </si>
  <si>
    <t>Plumber</t>
  </si>
  <si>
    <t>RANJAN MALIK</t>
  </si>
  <si>
    <t>SHANKARIGARI BALAKRISHNA</t>
  </si>
  <si>
    <t>Mr. RAMESH CHOWHAN KORRAVATH</t>
  </si>
  <si>
    <t>mason</t>
  </si>
  <si>
    <t>SHAIK ILIYAS</t>
  </si>
  <si>
    <t>DUNNA SANDEEP</t>
  </si>
  <si>
    <t>supervisor</t>
  </si>
  <si>
    <t> 5221773427</t>
  </si>
  <si>
    <t> 5218703782</t>
  </si>
  <si>
    <t> 5218458402</t>
  </si>
  <si>
    <t>venkatesh</t>
  </si>
  <si>
    <t> 5212551804</t>
  </si>
  <si>
    <t> 5220166892</t>
  </si>
  <si>
    <t>Noorullah ansari</t>
  </si>
  <si>
    <t> 5221219813</t>
  </si>
  <si>
    <t> 5221233348</t>
  </si>
  <si>
    <t>Mohammed Ibrahim</t>
  </si>
  <si>
    <t>MD ishityaque</t>
  </si>
  <si>
    <t> 5218599195</t>
  </si>
  <si>
    <t>BIKRAM ROUT</t>
  </si>
  <si>
    <t>JAGABANDHU GHADEI</t>
  </si>
  <si>
    <t> 5219303035</t>
  </si>
  <si>
    <t>KAMATAM PRABHAKAR</t>
  </si>
  <si>
    <t>SHIBASIS SAMAL</t>
  </si>
  <si>
    <t> 5216256193</t>
  </si>
  <si>
    <t>RANJIT MOHALIK</t>
  </si>
  <si>
    <t>ALOK KUMAR MAJHI</t>
  </si>
  <si>
    <t> 5219268594</t>
  </si>
  <si>
    <t> 5221134976</t>
  </si>
  <si>
    <t>ABcond</t>
  </si>
  <si>
    <t>ARIF RAZA</t>
  </si>
  <si>
    <t> 5221987416</t>
  </si>
  <si>
    <t>CH RAMAKRISHNA</t>
  </si>
  <si>
    <t>MADDURI ANIL</t>
  </si>
  <si>
    <t> 5221989251</t>
  </si>
  <si>
    <t>Madiga Suresh</t>
  </si>
  <si>
    <t>A/C  NUMBER</t>
  </si>
  <si>
    <t>RITO BAI</t>
  </si>
  <si>
    <t> 5221989793</t>
  </si>
  <si>
    <t>DHAREDDY SANTHOSH REDDY</t>
  </si>
  <si>
    <t>HK Supervisor</t>
  </si>
  <si>
    <t>SARASWATI ADHIKARI</t>
  </si>
  <si>
    <t>Hk lady</t>
  </si>
  <si>
    <t> 5220004412</t>
  </si>
  <si>
    <t>Hk maid</t>
  </si>
  <si>
    <t>Rojalin mahanaik</t>
  </si>
  <si>
    <t>MOHAMMED AZIZ AHMED</t>
  </si>
  <si>
    <t>PISATI MOUNIKA</t>
  </si>
  <si>
    <t>REKA HAIMA</t>
  </si>
  <si>
    <t>Arco infotech</t>
  </si>
  <si>
    <t>NADARAPU SARANGAPANI</t>
  </si>
  <si>
    <t>Noorullah Ansari</t>
  </si>
  <si>
    <t>KOMMU RAJU</t>
  </si>
  <si>
    <t>SANDEEP KUMAR</t>
  </si>
  <si>
    <t>head office</t>
  </si>
  <si>
    <t>Ballem Vantesham</t>
  </si>
  <si>
    <t>KOTIPALLI JYOTHI BABU</t>
  </si>
  <si>
    <t>KORNU RAMMOHAN</t>
  </si>
  <si>
    <t>Hold</t>
  </si>
  <si>
    <t> 7900636538</t>
  </si>
  <si>
    <t> 5222013466</t>
  </si>
  <si>
    <t>Aadhara update</t>
  </si>
  <si>
    <t>OFFICE EXECUTIVE</t>
  </si>
  <si>
    <t>kumari chethri</t>
  </si>
  <si>
    <t> 5215480630</t>
  </si>
  <si>
    <t>SOBIR UDDIN LASKAR</t>
  </si>
  <si>
    <t>MEHBOOBBEE</t>
  </si>
  <si>
    <t> 5222022545</t>
  </si>
  <si>
    <t>Anemoni vijay lakshmi</t>
  </si>
  <si>
    <t>pisati mounika</t>
  </si>
  <si>
    <t>Mogili Gattaiah</t>
  </si>
  <si>
    <t>soni devi</t>
  </si>
  <si>
    <t>babita kumari</t>
  </si>
  <si>
    <t>jyothi devi</t>
  </si>
  <si>
    <t>shabhanu begum</t>
  </si>
  <si>
    <t>Nirkar jena</t>
  </si>
  <si>
    <t>hk boy</t>
  </si>
  <si>
    <t> 5220873006</t>
  </si>
  <si>
    <t>SAFIK UDDIN LASKAR</t>
  </si>
  <si>
    <t>ABDUL KAYUM LASKAR</t>
  </si>
  <si>
    <t>AYUB UDDIN LASKAR</t>
  </si>
  <si>
    <t>modmed</t>
  </si>
  <si>
    <t>Hk boy</t>
  </si>
  <si>
    <t>SABA BEGUM</t>
  </si>
  <si>
    <t>hk lady</t>
  </si>
  <si>
    <t>VALLAPU LINGAIAH</t>
  </si>
  <si>
    <t>CHANDPASHAN HASANN SHAIKH</t>
  </si>
  <si>
    <t>PUJARI PADMA</t>
  </si>
  <si>
    <t>kuruganti syamkumar</t>
  </si>
  <si>
    <t>person photo , family details Aadhara card , pan card</t>
  </si>
  <si>
    <t>Dasatgari ansari</t>
  </si>
  <si>
    <t>Date of Joiningperson photo , family details Aadhara card , pan card</t>
  </si>
  <si>
    <t>Bank Details</t>
  </si>
  <si>
    <t>Harish khan</t>
  </si>
  <si>
    <t>Fmaily details</t>
  </si>
  <si>
    <t>Arif Ali</t>
  </si>
  <si>
    <t>Alok Kumar jean</t>
  </si>
  <si>
    <t>M.sasi kiran</t>
  </si>
  <si>
    <t>family details Aadhara card , pan card</t>
  </si>
  <si>
    <t>Aditya Behera</t>
  </si>
  <si>
    <t>DASARI PRASAD</t>
  </si>
  <si>
    <t>Esi wroung</t>
  </si>
  <si>
    <t xml:space="preserve">Nsl </t>
  </si>
  <si>
    <t>RIYAZ KHAN</t>
  </si>
  <si>
    <t>family photos</t>
  </si>
  <si>
    <t>SATYAJIT SETHY</t>
  </si>
  <si>
    <t>Divya sree b3</t>
  </si>
  <si>
    <t>SHAIK JOHN VALI</t>
  </si>
  <si>
    <t>Modmed</t>
  </si>
  <si>
    <t>RAYAKOT CHINTALI RAVIKANTH</t>
  </si>
  <si>
    <t>MUDIMADUGULA SRAVAN KUMAR</t>
  </si>
  <si>
    <t>SANABOYINA SURENDRA BABU</t>
  </si>
  <si>
    <t>Divya sree B7</t>
  </si>
  <si>
    <t>SUBRTA MALIK</t>
  </si>
  <si>
    <t>family details Aadhara card ,pass -port size photos</t>
  </si>
  <si>
    <t>CHANDRAKANTA PATRA</t>
  </si>
  <si>
    <t>INDRAJIT MALIK</t>
  </si>
  <si>
    <t>family details Aadhara card ,pass -port size photos, JOINING DATE MARRIED OR UNMARRIED</t>
  </si>
  <si>
    <t>SUSHIL KUMAR SHARMA</t>
  </si>
  <si>
    <t>New account numberor esi number</t>
  </si>
  <si>
    <t>RAJA MALIK</t>
  </si>
  <si>
    <t>Divya SreeB1</t>
  </si>
  <si>
    <t>Family photos and aadhara cards</t>
  </si>
  <si>
    <t>Aadhara card family aadhara cards, passport size photos</t>
  </si>
  <si>
    <t> 5222048103</t>
  </si>
  <si>
    <t> 5222048281</t>
  </si>
  <si>
    <t> 5218396644</t>
  </si>
  <si>
    <t>ANEMONI VIJAYLAKSHMI</t>
  </si>
  <si>
    <t>karnagari vennela</t>
  </si>
  <si>
    <t> 5220505199</t>
  </si>
  <si>
    <t>SARA BALA KRISHNA</t>
  </si>
  <si>
    <t>koduri padma</t>
  </si>
  <si>
    <t>. MARUF AHMED MAZUMDER</t>
  </si>
  <si>
    <t>ENIVIR</t>
  </si>
  <si>
    <t> 5221297432</t>
  </si>
  <si>
    <t>PARAMANANDA PRADHAN</t>
  </si>
  <si>
    <t>Cadeploy</t>
  </si>
  <si>
    <t xml:space="preserve">HK BOY </t>
  </si>
  <si>
    <t> 5219483044</t>
  </si>
  <si>
    <t>H RAJESH</t>
  </si>
  <si>
    <t>Kwe</t>
  </si>
  <si>
    <t>DORI SRINIVAS</t>
  </si>
  <si>
    <t> 5220131696</t>
  </si>
  <si>
    <t>Dasilla shantha</t>
  </si>
  <si>
    <t>mod med</t>
  </si>
  <si>
    <t> 5216357520</t>
  </si>
  <si>
    <t>SONABOINA SUDHAKAR</t>
  </si>
  <si>
    <t> 5219326291</t>
  </si>
  <si>
    <t>KODURI PRABHAKAR</t>
  </si>
  <si>
    <t>VENKATASWAMI VADLAKONDA</t>
  </si>
  <si>
    <t>BADHAVATH SURENDAR</t>
  </si>
  <si>
    <t>SONABOINA MOWNIKA</t>
  </si>
  <si>
    <t>BODA SURESH</t>
  </si>
  <si>
    <t>IKBAL HUSSAIN LASKAR</t>
  </si>
  <si>
    <t>SARAKKA VADLAKONDA</t>
  </si>
  <si>
    <t>ASADUR ROHAMAN LASKAR</t>
  </si>
  <si>
    <t>M SRINIVAS</t>
  </si>
  <si>
    <t>DILWAR HUSSIN LASKAR</t>
  </si>
  <si>
    <t>Rahim UDDIN SHEIKH</t>
  </si>
  <si>
    <t>UPASHE SUNITHA</t>
  </si>
  <si>
    <t>BANOTH RAMESH</t>
  </si>
  <si>
    <t>MOHAR KAIVART</t>
  </si>
  <si>
    <t> 5222071054</t>
  </si>
  <si>
    <t>DOMATHOTI VENKATESWARA RAO</t>
  </si>
  <si>
    <t>KARNAGARI LATHA</t>
  </si>
  <si>
    <t>SANTOSH KUMAR NISHAD</t>
  </si>
  <si>
    <t>KASHOLLA ARUNA</t>
  </si>
  <si>
    <t>PAPOLU VENKATRAVAMMA</t>
  </si>
  <si>
    <t>BODA KAVITHA</t>
  </si>
  <si>
    <t>JANANI SI</t>
  </si>
  <si>
    <t> 5218843382</t>
  </si>
  <si>
    <t>MD IBRAHIM ALI</t>
  </si>
  <si>
    <t>Claen Habours</t>
  </si>
  <si>
    <t>CHILVERA LAXMI</t>
  </si>
  <si>
    <t>BANOTH PARVATHI</t>
  </si>
  <si>
    <t>MAKONDA MANGAMMA</t>
  </si>
  <si>
    <t>CHINTHA ARUNAREKHA</t>
  </si>
  <si>
    <t>. KONATI BADRINATH</t>
  </si>
  <si>
    <t> 5609430010</t>
  </si>
  <si>
    <t> 5222089014</t>
  </si>
  <si>
    <t> 5222089196</t>
  </si>
  <si>
    <t>PASTHAM RANGADAS</t>
  </si>
  <si>
    <t>kommu raju</t>
  </si>
  <si>
    <t>B.Rama Krishna KISHORE</t>
  </si>
  <si>
    <t>GOTRU sundesh</t>
  </si>
  <si>
    <t>Azmloe hussian barbhuiya</t>
  </si>
  <si>
    <t> 5222090873</t>
  </si>
  <si>
    <t>MOHAMMAD MUNWAR ALI</t>
  </si>
  <si>
    <t>JANGILI MAHENDAR</t>
  </si>
  <si>
    <t>a</t>
  </si>
  <si>
    <t>ABDUL KALAM LASKAR</t>
  </si>
  <si>
    <t>tdcx</t>
  </si>
  <si>
    <t> 5222100059</t>
  </si>
  <si>
    <t>MALOTH MAHESH</t>
  </si>
  <si>
    <t> 5222100795</t>
  </si>
  <si>
    <t>TALLAindhu</t>
  </si>
  <si>
    <t>AADHARA UPDATE</t>
  </si>
  <si>
    <t> 5222101669</t>
  </si>
  <si>
    <t> 5222101977</t>
  </si>
  <si>
    <t> 5222102036</t>
  </si>
  <si>
    <t> 5222091104</t>
  </si>
  <si>
    <t>CHIRRA SANDEEP</t>
  </si>
  <si>
    <t> 5222102484</t>
  </si>
  <si>
    <t>Divya sree b1</t>
  </si>
  <si>
    <t> 5222102541</t>
  </si>
  <si>
    <t>ALALA VENKATESH</t>
  </si>
  <si>
    <t>aBCOND</t>
  </si>
  <si>
    <t> 5222116628</t>
  </si>
  <si>
    <t>TALURI Sai krishna</t>
  </si>
  <si>
    <t> 5222123601</t>
  </si>
  <si>
    <t xml:space="preserve">Dvvs murthy </t>
  </si>
  <si>
    <t>Head Office</t>
  </si>
  <si>
    <t>ESI/ Insurances</t>
  </si>
  <si>
    <t>Tech Manager</t>
  </si>
  <si>
    <t>Soumyarajan Lenka</t>
  </si>
  <si>
    <t>Aadhara card, Bank account, family details plus person  pass photo size photo</t>
  </si>
  <si>
    <t>kurukutla Ajay Babu</t>
  </si>
  <si>
    <t>Date of joining , Aadhara card , bank account family photos , with family aadhara cards</t>
  </si>
  <si>
    <t>Kotha Shiva Kumar</t>
  </si>
  <si>
    <t>samir kumar das</t>
  </si>
  <si>
    <t>Date of joining ,</t>
  </si>
  <si>
    <t xml:space="preserve">D. arun sai </t>
  </si>
  <si>
    <t>family details with photos</t>
  </si>
  <si>
    <t>sashi kanta patra</t>
  </si>
  <si>
    <t>TIPIRI ARAVIND</t>
  </si>
  <si>
    <t>Havc opeator</t>
  </si>
  <si>
    <t>NSL -UPPAL</t>
  </si>
  <si>
    <t>PANKAJ KUMAR MALIK</t>
  </si>
  <si>
    <t>AMIT BEHERA</t>
  </si>
  <si>
    <t>MAHABOOB SHARIFF</t>
  </si>
  <si>
    <t>EXECUTIVE</t>
  </si>
  <si>
    <t>PONNANA KARTEEK</t>
  </si>
  <si>
    <t>DIVITI ARUN SAI</t>
  </si>
  <si>
    <t>KOMMAGONI VENKANNA</t>
  </si>
  <si>
    <t>fire Technician</t>
  </si>
  <si>
    <t>INJARAPU SIMHADRI</t>
  </si>
  <si>
    <t>divya sree B6</t>
  </si>
  <si>
    <t> 5220028262</t>
  </si>
  <si>
    <t>BIJAYA KUMAR SAHOO</t>
  </si>
  <si>
    <t>SAMIR KUMAR DAS</t>
  </si>
  <si>
    <t>KOTHA SHIVA KUMAR</t>
  </si>
  <si>
    <t>Eleven core</t>
  </si>
  <si>
    <t>Mr. K NAVEEN kumar</t>
  </si>
  <si>
    <t>Divya Sree B6</t>
  </si>
  <si>
    <t>JAGABANDHU DAS</t>
  </si>
  <si>
    <t>GMR</t>
  </si>
  <si>
    <t>KARTTIK BEHERA</t>
  </si>
  <si>
    <t>HEMANTA PATRA</t>
  </si>
  <si>
    <t>G AMSHA</t>
  </si>
  <si>
    <t>MODMED</t>
  </si>
  <si>
    <t>GADDAM RAJESHWARI</t>
  </si>
  <si>
    <t>NUR UDDIN LASKAR</t>
  </si>
  <si>
    <t>NAJAM UDDIN CHOUDHURY</t>
  </si>
  <si>
    <t>Newdesic</t>
  </si>
  <si>
    <t>clean habours</t>
  </si>
  <si>
    <t>PRAKASH DHAL</t>
  </si>
  <si>
    <t>SAMIR THAYAL</t>
  </si>
  <si>
    <t>JAGANNATH MANDAL</t>
  </si>
  <si>
    <t>JAGANNATH NANDA</t>
  </si>
  <si>
    <t> 5218390794</t>
  </si>
  <si>
    <t>SUKADEB SI</t>
  </si>
  <si>
    <t>MUDIDANA VIJAYA LAXMI</t>
  </si>
  <si>
    <t> 5219936810</t>
  </si>
  <si>
    <t>GUJJULU PADMA</t>
  </si>
  <si>
    <t>GUJJULA ANITHA</t>
  </si>
  <si>
    <t> 5212725903</t>
  </si>
  <si>
    <t>BADANA JAGAN MOHAN RAO</t>
  </si>
  <si>
    <t>Divya Sree B3</t>
  </si>
  <si>
    <t>NIRMAL SWAIN</t>
  </si>
  <si>
    <t>Perurui venkata lakshmaiah</t>
  </si>
  <si>
    <t>Shift engineer</t>
  </si>
  <si>
    <t>AILONI RAJU</t>
  </si>
  <si>
    <t>DG- operator</t>
  </si>
  <si>
    <t> 2018202862</t>
  </si>
  <si>
    <t>RAYUDU ESWAR SATYA PAVAN</t>
  </si>
  <si>
    <t>DIVYA SREE B1 &amp; B2</t>
  </si>
  <si>
    <t>VEERABOINA TIRUPATAMMA</t>
  </si>
  <si>
    <t xml:space="preserve">Divya sree </t>
  </si>
  <si>
    <t> 5222166506</t>
  </si>
  <si>
    <t>MA NUMAN AHMED</t>
  </si>
  <si>
    <t>DIVYASREE B1</t>
  </si>
  <si>
    <t>PRATAP MALIK</t>
  </si>
  <si>
    <t>BATHULA RAJITHA</t>
  </si>
  <si>
    <t> 5219052554</t>
  </si>
  <si>
    <t>KANDULA VIJAYA</t>
  </si>
  <si>
    <t> 5219971821</t>
  </si>
  <si>
    <t>SUNKARI VENKATESWAR</t>
  </si>
  <si>
    <t> 5215828044</t>
  </si>
  <si>
    <t>DANDU VEERA VENKATA LAKSHMI</t>
  </si>
  <si>
    <t>MALKAPURAM PRAVEEN</t>
  </si>
  <si>
    <t>Cotelligent</t>
  </si>
  <si>
    <t>MEDEPALLY CHANDRAVATHI</t>
  </si>
  <si>
    <t>KUKKALA PADMA</t>
  </si>
  <si>
    <t>ASHIKUL ISLAM</t>
  </si>
  <si>
    <t>UPENDRA SI</t>
  </si>
  <si>
    <t>SHIB PRASAD DAS</t>
  </si>
  <si>
    <t> 5222173125</t>
  </si>
  <si>
    <t>THALASANI SRILATHA</t>
  </si>
  <si>
    <t> 5209104150</t>
  </si>
  <si>
    <t>RAJESH RAUL</t>
  </si>
  <si>
    <t> 5222174794</t>
  </si>
  <si>
    <t>KADRI SUGUNA</t>
  </si>
  <si>
    <t>SUBODH PATABANDHA</t>
  </si>
  <si>
    <t>ANTHATI KALYAN</t>
  </si>
  <si>
    <t>NARAYAN SENAPATI</t>
  </si>
  <si>
    <t>KUNCHALA NAGAVENKATA LAKSHMI</t>
  </si>
  <si>
    <t> 5221385165</t>
  </si>
  <si>
    <t>NALLAKAPU NAVANITHA</t>
  </si>
  <si>
    <t> 5219607314</t>
  </si>
  <si>
    <t>SUROJ SUNA</t>
  </si>
  <si>
    <t>kwe</t>
  </si>
  <si>
    <t>MITUN UDDIN LASKAR</t>
  </si>
  <si>
    <t>MARUF AHMED MAZUMDER</t>
  </si>
  <si>
    <t>Covergone</t>
  </si>
  <si>
    <t>SAYNA BEGUM MUZMUNDER</t>
  </si>
  <si>
    <t>ALTA HUSSAIN MAZUMDER</t>
  </si>
  <si>
    <t> 5222182882</t>
  </si>
  <si>
    <t> 5222183005</t>
  </si>
  <si>
    <t>SAPPIDI RANI</t>
  </si>
  <si>
    <t>SARA MANASA</t>
  </si>
  <si>
    <t>PROHIAD SAPKOTA</t>
  </si>
  <si>
    <t>perni bhanu prasad</t>
  </si>
  <si>
    <t>HUSAN UDDIN BARBHUIYA</t>
  </si>
  <si>
    <t>MYATARI NAGAMANI</t>
  </si>
  <si>
    <t> 5216111037</t>
  </si>
  <si>
    <t>kalapana dalnaik</t>
  </si>
  <si>
    <t>Ravi kumar</t>
  </si>
  <si>
    <t>BODAS MADHU</t>
  </si>
  <si>
    <t>Ranjit kumar behera</t>
  </si>
  <si>
    <t>Raupyaprakash mohanty</t>
  </si>
  <si>
    <t>Guturreddi Tripathi naidu</t>
  </si>
  <si>
    <t>mantri vasanthy kumar</t>
  </si>
  <si>
    <t>sidhsawara biswala</t>
  </si>
  <si>
    <t>kallol sen</t>
  </si>
  <si>
    <t>md.sayed anwar</t>
  </si>
  <si>
    <t>lokosani venkario reddy</t>
  </si>
  <si>
    <t>parwen khan</t>
  </si>
  <si>
    <t>Divya sree B4</t>
  </si>
  <si>
    <t>DG - opreator</t>
  </si>
  <si>
    <t>divya sree b8</t>
  </si>
  <si>
    <t>1. 24sips</t>
  </si>
  <si>
    <t>2.Divyatejaswini</t>
  </si>
  <si>
    <t>6.Divya@24sips.com</t>
  </si>
  <si>
    <t>3.9494870800.</t>
  </si>
  <si>
    <t>4. Chandra nagar naik, khanamet hno2/56/14/782 flat no: 103,Raaga Residency road no 44 madhapur, Ayyappa society, hrderabad, ranagreddy, telegana 500081.</t>
  </si>
  <si>
    <t>5Chandra nagar naik, khanamet hno2/56/14/782 flat no: 103,Raaga Residency road no 44 madhapur, Ayyappa society, hrderabad, ranagreddy, telegana 500081.</t>
  </si>
  <si>
    <t>7.GST NO: 36AACF20539PIZN</t>
  </si>
  <si>
    <t>8.PAN NO: AACPZ0539P</t>
  </si>
  <si>
    <t>SINDHYE OMKAR</t>
  </si>
  <si>
    <t>HK Boy</t>
  </si>
  <si>
    <t> 5220232344</t>
  </si>
  <si>
    <t>Arcoinfotech</t>
  </si>
  <si>
    <t>Momon hussian laskar</t>
  </si>
  <si>
    <t>SABUL HUSSAIN BARBHUIYA</t>
  </si>
  <si>
    <t> 5219822330</t>
  </si>
  <si>
    <t>ARKULU LAXMAN</t>
  </si>
  <si>
    <t>Mod Med</t>
  </si>
  <si>
    <t>JAHIR UDDIN BARBHUIYA</t>
  </si>
  <si>
    <t>H.rajesh</t>
  </si>
  <si>
    <t> 5222235381</t>
  </si>
  <si>
    <t>HAVC TECHNIQICIAN</t>
  </si>
  <si>
    <t>AADHARA ERROR</t>
  </si>
  <si>
    <t>chandraprakash Mohanty</t>
  </si>
  <si>
    <t> 5220154528</t>
  </si>
  <si>
    <t>Divya sree B1&amp;B2</t>
  </si>
  <si>
    <t>moka bharat</t>
  </si>
  <si>
    <t>paralapally Ravi</t>
  </si>
  <si>
    <t>Massion</t>
  </si>
  <si>
    <t> 5213840271</t>
  </si>
  <si>
    <t>CHILUKURI SHIVA</t>
  </si>
  <si>
    <t>Divya sree B8</t>
  </si>
  <si>
    <t>surya prakash rout</t>
  </si>
  <si>
    <t>SWARNAPU PRANITHA</t>
  </si>
  <si>
    <t>BMs</t>
  </si>
  <si>
    <t>saraswathi adhikari</t>
  </si>
  <si>
    <t>Aasye</t>
  </si>
  <si>
    <t>M&amp;E Joniee For The Month -JULY</t>
  </si>
  <si>
    <t>SOFTSERVICES-  FOR THE MONTH OF JULY</t>
  </si>
  <si>
    <t>VALASA LAVANAYA</t>
  </si>
  <si>
    <t>KARRI MOHAN RAO</t>
  </si>
  <si>
    <t>GATHPA VENKATESH</t>
  </si>
  <si>
    <t>DAMELA MANJULA</t>
  </si>
  <si>
    <t>Rite Software</t>
  </si>
  <si>
    <t>MUDDADA VENKATARAMANA</t>
  </si>
  <si>
    <t>Divyasree b6</t>
  </si>
  <si>
    <t>MD RISALAT ALAM</t>
  </si>
  <si>
    <t>kallol sen - family details/ account number</t>
  </si>
  <si>
    <t>muddada venkata ramana- account number</t>
  </si>
  <si>
    <t>surya prayakasha rout - account number</t>
  </si>
  <si>
    <t>moka bharath - account number</t>
  </si>
  <si>
    <t>venapatla ramcharan account number</t>
  </si>
  <si>
    <t>chwa amurtha reddy - account number</t>
  </si>
  <si>
    <t>KARRI KASTURI</t>
  </si>
  <si>
    <t> 5222273126</t>
  </si>
  <si>
    <t>MD MOFIJUL HAQUE</t>
  </si>
  <si>
    <t>izazul haque</t>
  </si>
  <si>
    <t>saraj kumar GHADAI</t>
  </si>
  <si>
    <t>divya sree</t>
  </si>
  <si>
    <t>VANAPATLA RAMCHARAN</t>
  </si>
  <si>
    <r>
      <rPr>
        <sz val="12"/>
        <color rgb="FF000000"/>
        <rFont val="Trebuchet MS"/>
        <family val="2"/>
      </rPr>
      <t>umE</t>
    </r>
    <r>
      <rPr>
        <sz val="11"/>
        <color rgb="FF000000"/>
        <rFont val="Trebuchet MS"/>
        <family val="2"/>
      </rPr>
      <t>SH MAHALIK</t>
    </r>
  </si>
  <si>
    <t>CHVVA AMRUTA REDDY</t>
  </si>
  <si>
    <t>HOLD</t>
  </si>
  <si>
    <t>ZA\</t>
  </si>
  <si>
    <t>MD IMRAN HUSSAIN MAZUMDER</t>
  </si>
  <si>
    <t>FAKRUL ISLAM</t>
  </si>
  <si>
    <t>MULLE BABI RANI</t>
  </si>
  <si>
    <t>HULSI BAI</t>
  </si>
  <si>
    <t>KHIKRAM</t>
  </si>
  <si>
    <t>MOHAMMED HAJEE PASHA</t>
  </si>
  <si>
    <t>POWER JYOTHI BAI</t>
  </si>
  <si>
    <t>SRIVANI B</t>
  </si>
  <si>
    <t>RAGHUNATH HARIJAN</t>
  </si>
  <si>
    <t>B7</t>
  </si>
  <si>
    <t>VASA SHIVA KUMAR</t>
  </si>
  <si>
    <t>RAMAVATHU SUNITHA BAI</t>
  </si>
  <si>
    <t>REHAN FISHAI</t>
  </si>
  <si>
    <t>DIVYA SREE</t>
  </si>
  <si>
    <t>HVAC OPERRATOR</t>
  </si>
  <si>
    <t>SAROJ BEHARA</t>
  </si>
  <si>
    <t>DIVYA SREE(B6)</t>
  </si>
  <si>
    <t>HAIDAR ALI</t>
  </si>
  <si>
    <t>CHANDAN MAHALIK</t>
  </si>
  <si>
    <t>B6</t>
  </si>
  <si>
    <t>MAN BAHADUR CHETRY</t>
  </si>
  <si>
    <t>MANJUNATHA C</t>
  </si>
  <si>
    <t>TRINET</t>
  </si>
  <si>
    <t>KARNATI SUDHAKAR</t>
  </si>
  <si>
    <t>ARIKATLA NAGENDRA REDDY</t>
  </si>
  <si>
    <t>PAGOTI SRINIVAS RAO</t>
  </si>
  <si>
    <t>ALAKUNTA MAMATHA</t>
  </si>
  <si>
    <t>ABDUR RAHMAN MAZUMDER</t>
  </si>
  <si>
    <t>ARJUN BEHERA</t>
  </si>
  <si>
    <t>BHUKYA SANTHOSH KUMAR</t>
  </si>
  <si>
    <t>Dliwar Hussain Laskar</t>
  </si>
  <si>
    <t>KEFAYET ULLAH</t>
  </si>
  <si>
    <t>SHAIK KARIMUN</t>
  </si>
  <si>
    <t>ABJAL HUSSAIN LASKAR</t>
  </si>
  <si>
    <t>Aaseya</t>
  </si>
  <si>
    <t>TRINATH GANTA</t>
  </si>
  <si>
    <t>HK  SUPERVISOR</t>
  </si>
  <si>
    <t>HETERO(AMZ)</t>
  </si>
  <si>
    <t>LILA KUMARI VARE</t>
  </si>
  <si>
    <t>AKULA PURNACHANDRA RAO</t>
  </si>
  <si>
    <t xml:space="preserve"> BMS  operator</t>
  </si>
  <si>
    <t>UMAKANTA PANDA</t>
  </si>
  <si>
    <t>24 sips</t>
  </si>
  <si>
    <t>Technical Manager</t>
  </si>
  <si>
    <t>SIDDHANT</t>
  </si>
  <si>
    <t>RAJAUL KARIM LASKAR</t>
  </si>
  <si>
    <t xml:space="preserve"> BONDI SATYAVATHI</t>
  </si>
  <si>
    <t>KABIL HUSSAIN MAZUMDER</t>
  </si>
  <si>
    <t>MD ABU SUFIAN</t>
  </si>
  <si>
    <t>NASEEMA BEGUM</t>
  </si>
  <si>
    <t xml:space="preserve"> B VAMSI KRISHNA</t>
  </si>
  <si>
    <t>KRISHNA DEVI</t>
  </si>
  <si>
    <t>ZAMIR UDDIN</t>
  </si>
  <si>
    <t xml:space="preserve"> M SAI MANI KANTA</t>
  </si>
  <si>
    <t>SOFTSERVICES-  FOR THE MONTH OF SEPTEMBER</t>
  </si>
  <si>
    <t>SOFTSERVICES-  FOR THE MONTH OF AUGUST</t>
  </si>
  <si>
    <t>GADDE REVATHI</t>
  </si>
  <si>
    <t>HR</t>
  </si>
  <si>
    <t>ASHIMA</t>
  </si>
  <si>
    <t>NAJIM UDDIN</t>
  </si>
  <si>
    <t>LUTFUR RAHMAN LASKAR</t>
  </si>
  <si>
    <t>GIFTORA</t>
  </si>
  <si>
    <t>24sips</t>
  </si>
  <si>
    <t>ABDUL MALIK</t>
  </si>
  <si>
    <t>Department</t>
  </si>
  <si>
    <t>Soft service</t>
  </si>
  <si>
    <t>CRM</t>
  </si>
  <si>
    <t xml:space="preserve"> BANOTH MOUNIKA</t>
  </si>
  <si>
    <t>S NAVEEN KUMAR</t>
  </si>
  <si>
    <t>With Out insurance</t>
  </si>
  <si>
    <t>BDE</t>
  </si>
  <si>
    <t>UTKARSHA VIJAY BHAGWAT</t>
  </si>
  <si>
    <t>celestial lithium</t>
  </si>
  <si>
    <t>BDE&amp;admin</t>
  </si>
  <si>
    <t>CMA</t>
  </si>
  <si>
    <t>RAJAPALAM RAMPRASAD</t>
  </si>
  <si>
    <t>DEVKI DHURWEY</t>
  </si>
  <si>
    <t>BAHARUL ISLAM BARBHUIYA</t>
  </si>
  <si>
    <t xml:space="preserve"> KUNTRU BULLI KRISHANA</t>
  </si>
  <si>
    <t>SOUDAMINI SAHU</t>
  </si>
  <si>
    <t>COTELLIGENT</t>
  </si>
  <si>
    <t>KWE</t>
  </si>
  <si>
    <t>DHARAMGUNDU REKHA</t>
  </si>
  <si>
    <t>AJARA BEE</t>
  </si>
  <si>
    <t>JAYANA BEGUM</t>
  </si>
  <si>
    <t> 5222413034</t>
  </si>
  <si>
    <t>KOTE MALLESWARI</t>
  </si>
  <si>
    <t>HK Superviser</t>
  </si>
  <si>
    <t>KUMMARI MAHESH</t>
  </si>
  <si>
    <t>WEHUB</t>
  </si>
  <si>
    <t>DEVI</t>
  </si>
  <si>
    <t>AMBEERU RAMESH</t>
  </si>
  <si>
    <t>SWAPAN DHAL</t>
  </si>
  <si>
    <t>NAGAVATH JYOTHI</t>
  </si>
  <si>
    <t>5221593873 -</t>
  </si>
  <si>
    <t>SANTU LAL</t>
  </si>
  <si>
    <t>RAHUL</t>
  </si>
  <si>
    <t>SOFTSERVICES-  FOR THE MONTH OF OCTOBER</t>
  </si>
  <si>
    <t>CHINMAYA SAHOO</t>
  </si>
  <si>
    <t>Google Kyoto</t>
  </si>
  <si>
    <t>Parking Assistant</t>
  </si>
  <si>
    <t>KASHANNOLLA SHILPA</t>
  </si>
  <si>
    <t>Caretaker</t>
  </si>
  <si>
    <t xml:space="preserve"> KARTIK DEO</t>
  </si>
  <si>
    <t>BODA NAGALAXMI</t>
  </si>
  <si>
    <t>ABDUL AHAD BARBHUIYA</t>
  </si>
  <si>
    <t>BHAGIRATHI UPENDER</t>
  </si>
  <si>
    <t>24 SIPS</t>
  </si>
  <si>
    <t>Leasing executive</t>
  </si>
  <si>
    <t>with  out insurance</t>
  </si>
  <si>
    <t>DEGALA YESWANTH RAVI TEJA</t>
  </si>
  <si>
    <t>Maneger-Finance&amp;Accounts</t>
  </si>
  <si>
    <t xml:space="preserve"> NASIR UDDIN BARBHUIYA</t>
  </si>
  <si>
    <t>KANNURI AKKAPATHRUDU</t>
  </si>
  <si>
    <t>Google</t>
  </si>
  <si>
    <t>ParkingHarshal</t>
  </si>
  <si>
    <t>Softservices</t>
  </si>
  <si>
    <t>MANOHAR SAH</t>
  </si>
  <si>
    <t xml:space="preserve"> MINAZ HUSSAIN MAZUMDER</t>
  </si>
  <si>
    <t>ROFIQUL ISLAM</t>
  </si>
  <si>
    <t>KURUKURI SIVADURGA</t>
  </si>
  <si>
    <t>HK Lady</t>
  </si>
  <si>
    <t xml:space="preserve"> PITLA DEVI</t>
  </si>
  <si>
    <t xml:space="preserve"> PAGADALA VIJAYALAXMI</t>
  </si>
  <si>
    <t>IMMIDISETTI CHAITANYA KARTHIK</t>
  </si>
  <si>
    <t>Without Insurance</t>
  </si>
  <si>
    <t>DigitalMarketing Executive</t>
  </si>
  <si>
    <t>B JYOTHI</t>
  </si>
  <si>
    <t>HOUSEMAID</t>
  </si>
  <si>
    <t xml:space="preserve"> DEPAVATH SUNITHA</t>
  </si>
  <si>
    <t>SIDDIK ALI</t>
  </si>
  <si>
    <t>REJAUL ISLAM MAZUMDER</t>
  </si>
  <si>
    <t>SRIPATHI UMA</t>
  </si>
  <si>
    <t>supervioser</t>
  </si>
  <si>
    <t>LONKA LAKSHMI</t>
  </si>
  <si>
    <t>ACHADUL HAQUE</t>
  </si>
  <si>
    <t>G ADITHYA</t>
  </si>
  <si>
    <t>MOJIBUR RAHMAN</t>
  </si>
  <si>
    <t>ABHISHEK</t>
  </si>
  <si>
    <t>venser</t>
  </si>
  <si>
    <t>VINOD PRASAD</t>
  </si>
  <si>
    <t>Venser</t>
  </si>
  <si>
    <t>NERADIGUNTA NARSAMMA</t>
  </si>
  <si>
    <t>SANGALA MAHESH</t>
  </si>
  <si>
    <t>Hetoro</t>
  </si>
  <si>
    <t xml:space="preserve"> ABDULLA  CHOUDHURY</t>
  </si>
  <si>
    <t>DEBA KUMAR DHALA</t>
  </si>
  <si>
    <t>MIRAJUL ISLAM</t>
  </si>
  <si>
    <t>RAHUL ISLAM</t>
  </si>
  <si>
    <t>SAHIN HUSSAIN LASKAR</t>
  </si>
  <si>
    <t>IMDADUL ALOM LASKAR</t>
  </si>
  <si>
    <t xml:space="preserve"> AJIT DEBNATH</t>
  </si>
  <si>
    <t xml:space="preserve"> VARTYA SANDHYA</t>
  </si>
  <si>
    <t>wehub</t>
  </si>
  <si>
    <t>HK SUPERVISOR</t>
  </si>
  <si>
    <t>BANDARI PRAVEEN KUMAR</t>
  </si>
  <si>
    <t>EXECUTVE</t>
  </si>
  <si>
    <t>MUBAROK ALI</t>
  </si>
  <si>
    <t>KALPONA SHARMA</t>
  </si>
  <si>
    <t>Aseya</t>
  </si>
  <si>
    <t>HKLADY</t>
  </si>
  <si>
    <t xml:space="preserve"> PALWAI KAVITHA</t>
  </si>
  <si>
    <t>ABJOL ALI</t>
  </si>
  <si>
    <t>TANSEEN BEGUM</t>
  </si>
  <si>
    <t>SOFTSERVICES -  FOR THE MONTH OF NOVEMBER</t>
  </si>
  <si>
    <t>PURRA SWAROOPA RANI</t>
  </si>
  <si>
    <t>JABIR HUSSAIN CHOUDHURY</t>
  </si>
  <si>
    <t>SHOBHA</t>
  </si>
  <si>
    <t xml:space="preserve"> AJAY KUMAR LAHARE</t>
  </si>
  <si>
    <t xml:space="preserve"> PARWATI BAI</t>
  </si>
  <si>
    <t>TELUGU INDIRA</t>
  </si>
  <si>
    <t>JASHODA RABHA</t>
  </si>
  <si>
    <t>AFELA BEGUM</t>
  </si>
  <si>
    <t>VADLA LAKSHMI</t>
  </si>
  <si>
    <t>RANJIT DUTTA</t>
  </si>
  <si>
    <t xml:space="preserve"> AJJU BEGUM</t>
  </si>
  <si>
    <t>BOJJA LAXMI</t>
  </si>
  <si>
    <t xml:space="preserve"> FARHANA BEGUM</t>
  </si>
  <si>
    <t>POGULA KAVITHA</t>
  </si>
  <si>
    <t xml:space="preserve"> ULAMPARTHI RATNAM</t>
  </si>
  <si>
    <t>KALAKOTI SRAVANTHI</t>
  </si>
  <si>
    <t>Naviri Gouri(P.GOWRI)</t>
  </si>
  <si>
    <t>GAMAGALLA JEVITHA</t>
  </si>
  <si>
    <t>SADIKUR RAHMAN</t>
  </si>
  <si>
    <t>SUKANTA MAHANAIK</t>
  </si>
  <si>
    <t>RAMANAMPALLY SAIDAMMA</t>
  </si>
  <si>
    <t>Acrofitech</t>
  </si>
  <si>
    <t>VARIKUPPALA RENUKA</t>
  </si>
  <si>
    <t>SOFOR UDDIN SHEKH</t>
  </si>
  <si>
    <t>vensar</t>
  </si>
  <si>
    <t>ROSE AHMED</t>
  </si>
  <si>
    <t>SAHAR UDDIN  MAZUMDER</t>
  </si>
  <si>
    <t>SOFTSERVICES-  FOR THE MONTH OF DECEMBER</t>
  </si>
  <si>
    <t>P VIJAYA LAXMI</t>
  </si>
  <si>
    <t>SOFTSERVICE</t>
  </si>
  <si>
    <t>SABAVAT DESLIBAI</t>
  </si>
  <si>
    <t>USHARANI MAHANAIK</t>
  </si>
  <si>
    <t>DILLJANBEGUM</t>
  </si>
  <si>
    <t>PREETHI</t>
  </si>
  <si>
    <t>TIRUPATHI  SUJATHA</t>
  </si>
  <si>
    <t>KATTULA RAJU</t>
  </si>
  <si>
    <t>SOFT SERVICE MANEGAR</t>
  </si>
  <si>
    <t>GOURISHANKAR CHOWDHURY</t>
  </si>
  <si>
    <t>AJAY CHOWDHURY</t>
  </si>
  <si>
    <t>SARIGOMMULA SRILATHA</t>
  </si>
  <si>
    <t xml:space="preserve"> SAMLESHWARI</t>
  </si>
  <si>
    <t>HK superviser</t>
  </si>
  <si>
    <t>RAMKUMAR BAN</t>
  </si>
  <si>
    <t>Pantry Boy</t>
  </si>
  <si>
    <t>ZIABUR RAHMAN</t>
  </si>
  <si>
    <t>c1</t>
  </si>
  <si>
    <t xml:space="preserve"> ABDUL SAMIN MAZUMDER</t>
  </si>
  <si>
    <t>AMGOTH MANJI</t>
  </si>
  <si>
    <t>AMGOTH GORI</t>
  </si>
  <si>
    <t>JADHAV RAHUL</t>
  </si>
  <si>
    <t>Office Boy</t>
  </si>
  <si>
    <t>KOIDUL MIA</t>
  </si>
  <si>
    <t>FAIJUL ISLAM</t>
  </si>
  <si>
    <t>RAJ GOALA</t>
  </si>
  <si>
    <t>Neudisec</t>
  </si>
  <si>
    <t>NAJRUL ISLAM MAZUMDER</t>
  </si>
  <si>
    <t xml:space="preserve"> DHAREDDY SANTHOSH REDDY</t>
  </si>
  <si>
    <t>Felid Executive</t>
  </si>
  <si>
    <t xml:space="preserve"> NALLA KRISHNA VENI</t>
  </si>
  <si>
    <t xml:space="preserve"> SHAIK RAFI</t>
  </si>
  <si>
    <t xml:space="preserve"> RAJU DAS</t>
  </si>
  <si>
    <t xml:space="preserve"> ASIT CHOWDHURY</t>
  </si>
  <si>
    <t xml:space="preserve"> CHETHAN S</t>
  </si>
  <si>
    <t xml:space="preserve"> MAHABOOB BASHA</t>
  </si>
  <si>
    <t xml:space="preserve"> ASHOK KUMAR DHAL</t>
  </si>
  <si>
    <t xml:space="preserve"> PANIGATOLU CHANNAMMA</t>
  </si>
  <si>
    <t>HAZIRA BEGOM LASKAR</t>
  </si>
  <si>
    <t>THANNIRU JYOTHI</t>
  </si>
  <si>
    <t>5218168 723</t>
  </si>
  <si>
    <t>SOFTSERVICES-  FOR THE MONTH OF January</t>
  </si>
  <si>
    <t xml:space="preserve"> VISHNU MOHANA RAO</t>
  </si>
  <si>
    <t xml:space="preserve"> Insurances</t>
  </si>
  <si>
    <t xml:space="preserve"> PALIKI APPARAO</t>
  </si>
  <si>
    <t xml:space="preserve"> GOPI LAL</t>
  </si>
  <si>
    <t xml:space="preserve"> LOVELY DAS</t>
  </si>
  <si>
    <t xml:space="preserve"> SWAPAN TANTRIPAUL</t>
  </si>
  <si>
    <t xml:space="preserve"> NIROD BHANJA</t>
  </si>
  <si>
    <t>DAMMU PRASAD</t>
  </si>
  <si>
    <t>BITTU BAHADUR PRADHAN</t>
  </si>
  <si>
    <t>ABHIJIT GOGOI</t>
  </si>
  <si>
    <t>DRIVER</t>
  </si>
  <si>
    <t>AZIZUR RAHMAN</t>
  </si>
  <si>
    <t>CHINTA PADMA VATHI</t>
  </si>
  <si>
    <t>THANK LAKSHMI</t>
  </si>
  <si>
    <t>CHANDU PATTEY</t>
  </si>
  <si>
    <t>PAPOLU RANJITH KUMAR</t>
  </si>
  <si>
    <t>MOHAMMED SHEKHEL</t>
  </si>
  <si>
    <t>SANSIRA BEGAM MAZUMDER</t>
  </si>
  <si>
    <t>cottligent</t>
  </si>
  <si>
    <t>LAKKOJU RATNA KUMARI</t>
  </si>
  <si>
    <t xml:space="preserve"> SULTAN AHMMED</t>
  </si>
  <si>
    <t xml:space="preserve"> BEJJAM ANIL KUMAR</t>
  </si>
  <si>
    <t xml:space="preserve"> NOMULA PRABHUDAS</t>
  </si>
  <si>
    <t>KARIKE VANAJA</t>
  </si>
  <si>
    <t>SOFTSERVICES-  FOR THE MONTH OF FEBRUARY</t>
  </si>
  <si>
    <t>SOFTSERVICES-  FOR THE MONTH OF MARCH</t>
  </si>
  <si>
    <t>BOLLUM SURESH</t>
  </si>
  <si>
    <t>JIADUL RAHMAN BARBHUIYA</t>
  </si>
  <si>
    <t>NELAMMA</t>
  </si>
  <si>
    <t>ABUL TAHIR</t>
  </si>
  <si>
    <t>PERUMALLA SRINIVASULU</t>
  </si>
  <si>
    <t>BOTSA SRINU</t>
  </si>
  <si>
    <t>ATTILI SURESH BABU</t>
  </si>
  <si>
    <t>KUNI DHAL</t>
  </si>
  <si>
    <t>SUDHAGANI ANITHA</t>
  </si>
  <si>
    <t>BAPANAPALLY NAVEENKUMAR</t>
  </si>
  <si>
    <t>NADARGI SRINIVAS</t>
  </si>
  <si>
    <t>LALITHA BAI</t>
  </si>
  <si>
    <t>ANJAMMA</t>
  </si>
  <si>
    <t>RAYAPURI ANUSHA</t>
  </si>
  <si>
    <t>PEETLA SHARADA</t>
  </si>
  <si>
    <t>DASI ANURADHA</t>
  </si>
  <si>
    <t>DUBAKULA JAGADEESH</t>
  </si>
  <si>
    <t>SAYYAD AFSAR</t>
  </si>
  <si>
    <t>FARUL HUSSAIN LASKAR</t>
  </si>
  <si>
    <t>JUBAIR HUSSAIN BARBHUIYA</t>
  </si>
  <si>
    <t>ANTHONY FALLIOUS JOSEPH</t>
  </si>
  <si>
    <t>IRFANA BEGUM</t>
  </si>
  <si>
    <t>PANDURANG</t>
  </si>
  <si>
    <t>VEERAPAGA RAMBABU</t>
  </si>
  <si>
    <t>SUNKARA ARUN KUMAR</t>
  </si>
  <si>
    <t>UMASHANKAR KHANDEY</t>
  </si>
  <si>
    <t>SANGEETA</t>
  </si>
  <si>
    <t>DEEPAK KUMAR RAI</t>
  </si>
  <si>
    <t>ANIMESH TANTUBAI</t>
  </si>
  <si>
    <t>MOHAMMAD SARWER BEE</t>
  </si>
  <si>
    <t>PATHAKOTI KRISHNA</t>
  </si>
  <si>
    <t>PATHALAVATHU SRAVANI BAI</t>
  </si>
  <si>
    <t>VADLA UDAYA BHANU</t>
  </si>
  <si>
    <t>KAMLESH PASWAN</t>
  </si>
  <si>
    <t>RANJU KUMARI</t>
  </si>
  <si>
    <t>BISWANATH SATANAMI</t>
  </si>
  <si>
    <t>JOYNAL HUSSAIN LASKAR</t>
  </si>
  <si>
    <t>MODMED TECHNOLOGIES INDIA PRIVATE LIMITED</t>
  </si>
  <si>
    <t>Clean Harbors India LLP</t>
  </si>
  <si>
    <t>TDCX DIGILAB INDIA PRIVATE LIMITED</t>
  </si>
  <si>
    <t>Eastman Chemical India Pvt. Ltd.</t>
  </si>
  <si>
    <t>Hetero Labs Limited</t>
  </si>
  <si>
    <t>24 SIPS(HEADOFFICE)</t>
  </si>
  <si>
    <t>WEHUB Foundation</t>
  </si>
  <si>
    <t>ZENOTI INDIA PRIVATE LIMITED</t>
  </si>
  <si>
    <t>ARCOFINTECH PRIVATE LIMITED</t>
  </si>
  <si>
    <t>CADEPLOY ENGINEERING PRIVATE LIMITED</t>
  </si>
  <si>
    <t>ISS FACILITY SERVICES INDIA PRIVATE LIMITED</t>
  </si>
  <si>
    <t>Hk Lady</t>
  </si>
  <si>
    <t>SOFTSERVICES-  FOR THE MONTH OF APRIL</t>
  </si>
  <si>
    <t>KAKULARAM BALARAJU</t>
  </si>
  <si>
    <t>ARJUN THAPA</t>
  </si>
  <si>
    <t>GANJI VEERANJANEYULU</t>
  </si>
  <si>
    <t>SUNIL TANTRIPAUL</t>
  </si>
  <si>
    <t>JASHIM UDDIN</t>
  </si>
  <si>
    <t>SK QASIM ALI</t>
  </si>
  <si>
    <t>KHAIRUL ISLAM SHEK</t>
  </si>
  <si>
    <t>KONETI SHANKAR</t>
  </si>
  <si>
    <t>SATHISH PAWAR</t>
  </si>
  <si>
    <t>GANDHAM GANDHI</t>
  </si>
  <si>
    <t>AJAY KUMAR KATHLE</t>
  </si>
  <si>
    <t>MILAN SHARMA</t>
  </si>
  <si>
    <t>JADAV KAILAS</t>
  </si>
  <si>
    <t>SK TASLIM</t>
  </si>
  <si>
    <t>PARESH KUMAR DEY</t>
  </si>
  <si>
    <t>LAKSHMIDHARA BHANJA</t>
  </si>
  <si>
    <t>TATLA MADHAVI</t>
  </si>
  <si>
    <t>RUBINA BEGUM</t>
  </si>
  <si>
    <t>MAMIDI RAMADEVI</t>
  </si>
  <si>
    <t>NUR ISLAM LASKAR</t>
  </si>
  <si>
    <t>FARZANA BEGUM</t>
  </si>
  <si>
    <t>NANNUSAB</t>
  </si>
  <si>
    <t>SANJIDA KHATUN</t>
  </si>
  <si>
    <t>KANCHARI MALATHI</t>
  </si>
  <si>
    <t>SARIM UDDIN BARBHUIYA</t>
  </si>
  <si>
    <t>RAMULU NAYAK</t>
  </si>
  <si>
    <t>GUTTULA SAI KUMAR</t>
  </si>
  <si>
    <t>SHANTHA BAI</t>
  </si>
  <si>
    <t>BANOTHU KAVITHA</t>
  </si>
  <si>
    <t>KUMBAM PRAMEELA</t>
  </si>
  <si>
    <t>REDDEPOGU SARALA</t>
  </si>
  <si>
    <t>KATTAGANI MOUNIKA</t>
  </si>
  <si>
    <t>ASHOK KUMAR DHIRHE</t>
  </si>
  <si>
    <t>GUNDARAM ADITYA</t>
  </si>
  <si>
    <t>NENAVATH SRINU</t>
  </si>
  <si>
    <t>M D SHOHEB</t>
  </si>
  <si>
    <t>ATIYA BEGUM</t>
  </si>
  <si>
    <t>Adar card issue</t>
  </si>
  <si>
    <t>NA</t>
  </si>
  <si>
    <t>GMR HYDERABAD INTERNATIONAL AIRPORT LIMITED</t>
  </si>
  <si>
    <t>Neudesic Technologies Pvt Ltd.</t>
  </si>
  <si>
    <t>MANAGER</t>
  </si>
  <si>
    <t>SOFT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</si>
</sst>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363636"/>
      <name val="Trebuchet MS"/>
      <family val="2"/>
    </font>
    <font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6"/>
      <color theme="1"/>
      <name val="Trebuchet MS"/>
      <family val="2"/>
    </font>
    <font>
      <b/>
      <sz val="10"/>
      <color theme="1"/>
      <name val="Calibri"/>
      <family val="2"/>
    </font>
    <font>
      <sz val="10"/>
      <color theme="1"/>
      <name val="Cambria"/>
      <family val="1"/>
    </font>
    <font>
      <sz val="10"/>
      <color rgb="FF363636"/>
      <name val="Cambria"/>
      <family val="1"/>
    </font>
    <font>
      <sz val="14"/>
      <color rgb="FF000000"/>
      <name val="Cambria"/>
      <family val="1"/>
    </font>
    <font>
      <b/>
      <sz val="10"/>
      <color theme="1"/>
      <name val="Cambria"/>
      <family val="1"/>
    </font>
    <font>
      <sz val="8"/>
      <color rgb="FF363636"/>
      <name val="Cambria"/>
      <family val="1"/>
    </font>
    <font>
      <sz val="10"/>
      <color rgb="FF000000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0"/>
      <color rgb="FF363636"/>
      <name val="Trebuchet MS"/>
      <family val="2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8"/>
      <color rgb="FF000000"/>
      <name val="Times New Roman"/>
      <family val="1"/>
    </font>
    <font>
      <sz val="11"/>
      <color rgb="FF363636"/>
      <name val="Trebuchet MS"/>
      <family val="2"/>
    </font>
    <font>
      <sz val="14"/>
      <color theme="1"/>
      <name val="Calibri"/>
      <family val="2"/>
      <scheme val="minor"/>
    </font>
    <font>
      <sz val="14"/>
      <color rgb="FF363636"/>
      <name val="Trebuchet MS"/>
      <family val="2"/>
    </font>
    <font>
      <sz val="12"/>
      <color rgb="FF363636"/>
      <name val="Trebuchet MS"/>
      <family val="2"/>
    </font>
    <font>
      <sz val="12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63636"/>
      <name val="Trebuchet MS"/>
      <family val="2"/>
    </font>
    <font>
      <sz val="16"/>
      <color rgb="FF363636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Segoe UI"/>
      <family val="2"/>
    </font>
    <font>
      <sz val="16"/>
      <color rgb="FFFF0000"/>
      <name val="Trebuchet MS"/>
      <family val="2"/>
    </font>
    <font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63636"/>
      <name val="Sitka Subheading"/>
    </font>
    <font>
      <b/>
      <sz val="11"/>
      <color rgb="FF742902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Trebuchet MS"/>
      <family val="2"/>
    </font>
    <font>
      <sz val="11"/>
      <color rgb="FF000000"/>
      <name val="Trebuchet MS"/>
      <family val="2"/>
    </font>
    <font>
      <sz val="14"/>
      <color theme="1"/>
      <name val="Arial"/>
      <family val="2"/>
    </font>
    <font>
      <sz val="11"/>
      <color theme="1"/>
      <name val="Segoe U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rgb="FF742902"/>
      <name val="Arial"/>
      <family val="2"/>
    </font>
    <font>
      <sz val="12"/>
      <color rgb="FF000000"/>
      <name val="Calibri"/>
      <family val="2"/>
      <scheme val="minor"/>
    </font>
    <font>
      <sz val="10"/>
      <color rgb="FF000000"/>
      <name val="Trebuchet MS"/>
      <family val="2"/>
    </font>
    <font>
      <b/>
      <sz val="11"/>
      <color rgb="FF000000"/>
      <name val="Trebuchet MS"/>
      <family val="2"/>
    </font>
    <font>
      <sz val="7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6"/>
      <color theme="1"/>
      <name val="Arial"/>
      <family val="2"/>
    </font>
    <font>
      <sz val="12"/>
      <color theme="1"/>
      <name val="Trebuchet MS"/>
      <family val="2"/>
    </font>
    <font>
      <sz val="12"/>
      <color theme="1"/>
      <name val="Times New Roman"/>
      <family val="1"/>
    </font>
    <font>
      <b/>
      <sz val="12"/>
      <color rgb="FF742902"/>
      <name val="Arial"/>
      <family val="2"/>
    </font>
    <font>
      <b/>
      <sz val="11"/>
      <color rgb="FF742902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742902"/>
      <name val="Times New Roman"/>
      <family val="1"/>
    </font>
    <font>
      <sz val="10"/>
      <color rgb="FFFF0000"/>
      <name val="Times New Roman"/>
      <family val="1"/>
    </font>
    <font>
      <sz val="12"/>
      <color rgb="FF742902"/>
      <name val="Arial"/>
      <family val="2"/>
    </font>
    <font>
      <sz val="11"/>
      <color rgb="FF742902"/>
      <name val="Arial"/>
      <family val="2"/>
    </font>
    <font>
      <sz val="14"/>
      <color rgb="FF000000"/>
      <name val="Trebuchet MS"/>
      <family val="2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4" fillId="0" borderId="0" applyNumberFormat="0" applyFill="0" applyBorder="0" applyAlignment="0" applyProtection="0"/>
  </cellStyleXfs>
  <cellXfs count="38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vertical="top" wrapText="1"/>
    </xf>
    <xf numFmtId="1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8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9" fillId="3" borderId="1" xfId="0" applyNumberFormat="1" applyFont="1" applyFill="1" applyBorder="1" applyAlignment="1">
      <alignment horizontal="center" vertical="top" wrapText="1"/>
    </xf>
    <xf numFmtId="1" fontId="8" fillId="4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1" fontId="8" fillId="4" borderId="10" xfId="0" applyNumberFormat="1" applyFont="1" applyFill="1" applyBorder="1" applyAlignment="1">
      <alignment horizontal="center"/>
    </xf>
    <xf numFmtId="1" fontId="18" fillId="4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1" fontId="18" fillId="3" borderId="7" xfId="0" applyNumberFormat="1" applyFont="1" applyFill="1" applyBorder="1" applyAlignment="1">
      <alignment horizontal="center" vertical="top" wrapText="1"/>
    </xf>
    <xf numFmtId="1" fontId="3" fillId="6" borderId="1" xfId="0" applyNumberFormat="1" applyFont="1" applyFill="1" applyBorder="1" applyAlignment="1">
      <alignment horizontal="center" vertical="top" wrapText="1"/>
    </xf>
    <xf numFmtId="14" fontId="2" fillId="6" borderId="1" xfId="0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1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1" fontId="25" fillId="0" borderId="1" xfId="0" applyNumberFormat="1" applyFont="1" applyBorder="1" applyAlignment="1">
      <alignment horizontal="center"/>
    </xf>
    <xf numFmtId="0" fontId="24" fillId="0" borderId="1" xfId="0" applyFont="1" applyBorder="1"/>
    <xf numFmtId="1" fontId="26" fillId="3" borderId="1" xfId="0" applyNumberFormat="1" applyFont="1" applyFill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1" fontId="28" fillId="4" borderId="1" xfId="0" applyNumberFormat="1" applyFont="1" applyFill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1" fontId="28" fillId="0" borderId="1" xfId="0" applyNumberFormat="1" applyFont="1" applyBorder="1" applyAlignment="1">
      <alignment horizontal="center"/>
    </xf>
    <xf numFmtId="1" fontId="29" fillId="4" borderId="1" xfId="0" applyNumberFormat="1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1" fontId="29" fillId="4" borderId="1" xfId="0" applyNumberFormat="1" applyFont="1" applyFill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0" borderId="0" xfId="0" applyFont="1"/>
    <xf numFmtId="0" fontId="0" fillId="0" borderId="9" xfId="0" applyBorder="1" applyAlignment="1">
      <alignment horizontal="center"/>
    </xf>
    <xf numFmtId="0" fontId="32" fillId="0" borderId="1" xfId="0" applyFont="1" applyBorder="1" applyAlignment="1">
      <alignment horizontal="center"/>
    </xf>
    <xf numFmtId="1" fontId="32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1" fontId="34" fillId="0" borderId="1" xfId="0" applyNumberFormat="1" applyFont="1" applyBorder="1" applyAlignment="1">
      <alignment horizontal="center"/>
    </xf>
    <xf numFmtId="14" fontId="34" fillId="0" borderId="1" xfId="0" applyNumberFormat="1" applyFont="1" applyBorder="1" applyAlignment="1">
      <alignment horizontal="center"/>
    </xf>
    <xf numFmtId="1" fontId="32" fillId="3" borderId="1" xfId="0" applyNumberFormat="1" applyFont="1" applyFill="1" applyBorder="1" applyAlignment="1">
      <alignment horizontal="center" vertical="top" wrapText="1"/>
    </xf>
    <xf numFmtId="0" fontId="33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1" fontId="32" fillId="0" borderId="10" xfId="0" applyNumberFormat="1" applyFont="1" applyBorder="1" applyAlignment="1">
      <alignment horizontal="center"/>
    </xf>
    <xf numFmtId="1" fontId="32" fillId="3" borderId="10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1" fontId="35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top" wrapText="1"/>
    </xf>
    <xf numFmtId="1" fontId="6" fillId="5" borderId="1" xfId="0" applyNumberFormat="1" applyFont="1" applyFill="1" applyBorder="1" applyAlignment="1">
      <alignment horizontal="center" vertical="top" wrapText="1"/>
    </xf>
    <xf numFmtId="14" fontId="2" fillId="5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0" xfId="0" applyBorder="1"/>
    <xf numFmtId="0" fontId="0" fillId="0" borderId="6" xfId="0" applyBorder="1"/>
    <xf numFmtId="2" fontId="2" fillId="4" borderId="0" xfId="0" applyNumberFormat="1" applyFont="1" applyFill="1" applyAlignment="1">
      <alignment horizontal="center"/>
    </xf>
    <xf numFmtId="1" fontId="23" fillId="3" borderId="1" xfId="0" applyNumberFormat="1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" fontId="3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0" applyFont="1" applyBorder="1" applyAlignment="1">
      <alignment horizontal="left"/>
    </xf>
    <xf numFmtId="1" fontId="36" fillId="0" borderId="1" xfId="0" applyNumberFormat="1" applyFont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1" fontId="37" fillId="3" borderId="1" xfId="0" applyNumberFormat="1" applyFont="1" applyFill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/>
    </xf>
    <xf numFmtId="1" fontId="38" fillId="3" borderId="1" xfId="0" applyNumberFormat="1" applyFont="1" applyFill="1" applyBorder="1" applyAlignment="1">
      <alignment horizontal="center" vertical="top" wrapText="1"/>
    </xf>
    <xf numFmtId="0" fontId="39" fillId="0" borderId="9" xfId="0" applyFont="1" applyBorder="1" applyAlignment="1">
      <alignment horizontal="center"/>
    </xf>
    <xf numFmtId="1" fontId="0" fillId="3" borderId="1" xfId="0" applyNumberFormat="1" applyFill="1" applyBorder="1" applyAlignment="1">
      <alignment horizontal="center" vertical="top" wrapText="1"/>
    </xf>
    <xf numFmtId="0" fontId="4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2" fillId="4" borderId="0" xfId="0" applyFont="1" applyFill="1" applyAlignment="1">
      <alignment horizontal="center"/>
    </xf>
    <xf numFmtId="0" fontId="5" fillId="0" borderId="0" xfId="0" applyFont="1"/>
    <xf numFmtId="1" fontId="39" fillId="0" borderId="9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" fontId="38" fillId="8" borderId="1" xfId="0" applyNumberFormat="1" applyFont="1" applyFill="1" applyBorder="1" applyAlignment="1">
      <alignment horizontal="center"/>
    </xf>
    <xf numFmtId="1" fontId="38" fillId="8" borderId="1" xfId="0" applyNumberFormat="1" applyFont="1" applyFill="1" applyBorder="1" applyAlignment="1">
      <alignment horizontal="center" vertical="top" wrapText="1"/>
    </xf>
    <xf numFmtId="0" fontId="41" fillId="8" borderId="1" xfId="0" applyFont="1" applyFill="1" applyBorder="1" applyAlignment="1">
      <alignment horizontal="center"/>
    </xf>
    <xf numFmtId="14" fontId="41" fillId="8" borderId="1" xfId="0" applyNumberFormat="1" applyFont="1" applyFill="1" applyBorder="1" applyAlignment="1">
      <alignment horizontal="center"/>
    </xf>
    <xf numFmtId="1" fontId="23" fillId="3" borderId="8" xfId="0" applyNumberFormat="1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/>
    </xf>
    <xf numFmtId="0" fontId="43" fillId="0" borderId="0" xfId="0" applyFont="1"/>
    <xf numFmtId="1" fontId="19" fillId="0" borderId="1" xfId="0" applyNumberFormat="1" applyFont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5" fillId="0" borderId="1" xfId="0" applyFont="1" applyBorder="1"/>
    <xf numFmtId="0" fontId="39" fillId="8" borderId="1" xfId="0" applyFont="1" applyFill="1" applyBorder="1" applyAlignment="1">
      <alignment horizontal="center"/>
    </xf>
    <xf numFmtId="0" fontId="40" fillId="8" borderId="1" xfId="0" applyFont="1" applyFill="1" applyBorder="1" applyAlignment="1">
      <alignment horizontal="center"/>
    </xf>
    <xf numFmtId="1" fontId="38" fillId="4" borderId="1" xfId="0" applyNumberFormat="1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7" fillId="7" borderId="14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0" fontId="41" fillId="0" borderId="18" xfId="0" applyFont="1" applyBorder="1"/>
    <xf numFmtId="0" fontId="0" fillId="4" borderId="18" xfId="0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" fontId="38" fillId="0" borderId="20" xfId="0" applyNumberFormat="1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0" fillId="0" borderId="21" xfId="0" applyBorder="1"/>
    <xf numFmtId="0" fontId="44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45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" fontId="23" fillId="0" borderId="10" xfId="0" applyNumberFormat="1" applyFont="1" applyBorder="1" applyAlignment="1">
      <alignment horizontal="center"/>
    </xf>
    <xf numFmtId="1" fontId="23" fillId="4" borderId="1" xfId="0" applyNumberFormat="1" applyFont="1" applyFill="1" applyBorder="1" applyAlignment="1">
      <alignment horizontal="center" vertical="top" wrapText="1"/>
    </xf>
    <xf numFmtId="0" fontId="43" fillId="0" borderId="1" xfId="0" applyFont="1" applyBorder="1"/>
    <xf numFmtId="0" fontId="0" fillId="0" borderId="1" xfId="0" quotePrefix="1" applyBorder="1" applyAlignment="1">
      <alignment horizontal="center"/>
    </xf>
    <xf numFmtId="1" fontId="23" fillId="3" borderId="9" xfId="0" applyNumberFormat="1" applyFont="1" applyFill="1" applyBorder="1" applyAlignment="1">
      <alignment horizontal="center" vertical="top" wrapText="1"/>
    </xf>
    <xf numFmtId="0" fontId="39" fillId="0" borderId="10" xfId="0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22" xfId="0" applyBorder="1"/>
    <xf numFmtId="1" fontId="19" fillId="0" borderId="10" xfId="0" applyNumberFormat="1" applyFont="1" applyBorder="1" applyAlignment="1">
      <alignment horizontal="center"/>
    </xf>
    <xf numFmtId="0" fontId="23" fillId="3" borderId="1" xfId="0" applyFont="1" applyFill="1" applyBorder="1" applyAlignment="1">
      <alignment horizontal="center" vertical="top" wrapText="1"/>
    </xf>
    <xf numFmtId="14" fontId="0" fillId="0" borderId="10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47" fillId="0" borderId="1" xfId="0" applyFont="1" applyBorder="1"/>
    <xf numFmtId="1" fontId="49" fillId="0" borderId="1" xfId="0" applyNumberFormat="1" applyFont="1" applyBorder="1" applyAlignment="1">
      <alignment horizontal="center"/>
    </xf>
    <xf numFmtId="1" fontId="50" fillId="0" borderId="1" xfId="0" applyNumberFormat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50" fillId="0" borderId="1" xfId="0" applyFont="1" applyBorder="1" applyAlignment="1">
      <alignment horizontal="center"/>
    </xf>
    <xf numFmtId="1" fontId="52" fillId="0" borderId="1" xfId="0" applyNumberFormat="1" applyFont="1" applyBorder="1" applyAlignment="1">
      <alignment horizontal="center"/>
    </xf>
    <xf numFmtId="0" fontId="53" fillId="4" borderId="1" xfId="0" applyFont="1" applyFill="1" applyBorder="1" applyAlignment="1">
      <alignment horizontal="center"/>
    </xf>
    <xf numFmtId="1" fontId="53" fillId="0" borderId="1" xfId="0" applyNumberFormat="1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1" fontId="26" fillId="3" borderId="1" xfId="0" applyNumberFormat="1" applyFont="1" applyFill="1" applyBorder="1" applyAlignment="1">
      <alignment horizontal="center" vertical="center" wrapText="1"/>
    </xf>
    <xf numFmtId="1" fontId="23" fillId="3" borderId="1" xfId="0" applyNumberFormat="1" applyFont="1" applyFill="1" applyBorder="1" applyAlignment="1">
      <alignment horizontal="center" vertical="center" wrapText="1"/>
    </xf>
    <xf numFmtId="1" fontId="26" fillId="3" borderId="2" xfId="0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/>
    </xf>
    <xf numFmtId="0" fontId="0" fillId="2" borderId="0" xfId="0" applyFill="1"/>
    <xf numFmtId="1" fontId="49" fillId="0" borderId="10" xfId="0" applyNumberFormat="1" applyFont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40" fillId="4" borderId="1" xfId="0" applyFont="1" applyFill="1" applyBorder="1" applyAlignment="1">
      <alignment horizontal="center"/>
    </xf>
    <xf numFmtId="0" fontId="51" fillId="4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1" fillId="0" borderId="10" xfId="0" applyFont="1" applyBorder="1" applyAlignment="1">
      <alignment horizontal="center"/>
    </xf>
    <xf numFmtId="0" fontId="50" fillId="0" borderId="0" xfId="0" applyFont="1" applyAlignment="1">
      <alignment horizontal="center"/>
    </xf>
    <xf numFmtId="1" fontId="50" fillId="0" borderId="0" xfId="0" applyNumberFormat="1" applyFont="1" applyAlignment="1">
      <alignment horizontal="center"/>
    </xf>
    <xf numFmtId="0" fontId="0" fillId="2" borderId="1" xfId="0" applyFill="1" applyBorder="1"/>
    <xf numFmtId="0" fontId="38" fillId="4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0" borderId="6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9" fillId="0" borderId="12" xfId="0" applyFont="1" applyBorder="1" applyAlignment="1">
      <alignment horizontal="center"/>
    </xf>
    <xf numFmtId="1" fontId="58" fillId="0" borderId="1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0" fontId="59" fillId="0" borderId="0" xfId="0" applyFont="1"/>
    <xf numFmtId="0" fontId="19" fillId="2" borderId="10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0" fillId="9" borderId="1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2" borderId="10" xfId="0" applyFill="1" applyBorder="1"/>
    <xf numFmtId="0" fontId="43" fillId="2" borderId="1" xfId="0" applyFont="1" applyFill="1" applyBorder="1"/>
    <xf numFmtId="0" fontId="19" fillId="0" borderId="1" xfId="0" applyFont="1" applyBorder="1"/>
    <xf numFmtId="0" fontId="28" fillId="0" borderId="1" xfId="0" applyFont="1" applyBorder="1"/>
    <xf numFmtId="0" fontId="59" fillId="0" borderId="0" xfId="0" applyFont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0" fillId="4" borderId="1" xfId="0" applyFill="1" applyBorder="1"/>
    <xf numFmtId="0" fontId="0" fillId="10" borderId="0" xfId="0" applyFill="1"/>
    <xf numFmtId="0" fontId="0" fillId="10" borderId="1" xfId="0" applyFill="1" applyBorder="1"/>
    <xf numFmtId="0" fontId="0" fillId="5" borderId="0" xfId="0" applyFill="1"/>
    <xf numFmtId="0" fontId="0" fillId="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49" fillId="0" borderId="1" xfId="0" applyFont="1" applyBorder="1"/>
    <xf numFmtId="14" fontId="0" fillId="10" borderId="1" xfId="0" applyNumberFormat="1" applyFill="1" applyBorder="1" applyAlignment="1">
      <alignment horizontal="center"/>
    </xf>
    <xf numFmtId="0" fontId="49" fillId="11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49" fillId="4" borderId="1" xfId="0" applyFont="1" applyFill="1" applyBorder="1" applyAlignment="1">
      <alignment horizontal="center"/>
    </xf>
    <xf numFmtId="0" fontId="49" fillId="4" borderId="1" xfId="0" applyFont="1" applyFill="1" applyBorder="1"/>
    <xf numFmtId="1" fontId="49" fillId="4" borderId="1" xfId="0" applyNumberFormat="1" applyFont="1" applyFill="1" applyBorder="1" applyAlignment="1">
      <alignment horizontal="center"/>
    </xf>
    <xf numFmtId="0" fontId="19" fillId="4" borderId="1" xfId="0" applyFont="1" applyFill="1" applyBorder="1"/>
    <xf numFmtId="1" fontId="50" fillId="11" borderId="1" xfId="0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/>
    </xf>
    <xf numFmtId="0" fontId="43" fillId="0" borderId="10" xfId="0" applyFont="1" applyBorder="1"/>
    <xf numFmtId="14" fontId="0" fillId="5" borderId="1" xfId="0" applyNumberFormat="1" applyFill="1" applyBorder="1" applyAlignment="1">
      <alignment horizontal="center"/>
    </xf>
    <xf numFmtId="1" fontId="49" fillId="0" borderId="1" xfId="0" applyNumberFormat="1" applyFont="1" applyBorder="1"/>
    <xf numFmtId="1" fontId="49" fillId="11" borderId="1" xfId="0" applyNumberFormat="1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/>
    </xf>
    <xf numFmtId="0" fontId="41" fillId="4" borderId="0" xfId="0" applyFont="1" applyFill="1"/>
    <xf numFmtId="0" fontId="41" fillId="4" borderId="1" xfId="0" applyFont="1" applyFill="1" applyBorder="1"/>
    <xf numFmtId="0" fontId="38" fillId="4" borderId="1" xfId="0" applyFont="1" applyFill="1" applyBorder="1" applyAlignment="1">
      <alignment horizontal="center"/>
    </xf>
    <xf numFmtId="0" fontId="47" fillId="0" borderId="10" xfId="0" applyFont="1" applyBorder="1"/>
    <xf numFmtId="0" fontId="63" fillId="0" borderId="1" xfId="0" applyFont="1" applyBorder="1" applyAlignment="1">
      <alignment horizontal="center"/>
    </xf>
    <xf numFmtId="0" fontId="63" fillId="4" borderId="1" xfId="0" applyFont="1" applyFill="1" applyBorder="1" applyAlignment="1">
      <alignment horizontal="center"/>
    </xf>
    <xf numFmtId="0" fontId="63" fillId="5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/>
    </xf>
    <xf numFmtId="0" fontId="50" fillId="4" borderId="1" xfId="0" applyFont="1" applyFill="1" applyBorder="1" applyAlignment="1">
      <alignment horizontal="center"/>
    </xf>
    <xf numFmtId="1" fontId="50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2" fillId="4" borderId="1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59" fillId="0" borderId="1" xfId="0" applyNumberFormat="1" applyFont="1" applyBorder="1" applyAlignment="1">
      <alignment horizontal="center"/>
    </xf>
    <xf numFmtId="0" fontId="64" fillId="0" borderId="0" xfId="0" applyFont="1"/>
    <xf numFmtId="0" fontId="46" fillId="0" borderId="1" xfId="0" applyFont="1" applyBorder="1" applyAlignment="1">
      <alignment horizontal="left"/>
    </xf>
    <xf numFmtId="0" fontId="47" fillId="0" borderId="0" xfId="0" applyFont="1"/>
    <xf numFmtId="0" fontId="19" fillId="5" borderId="0" xfId="0" applyFont="1" applyFill="1" applyAlignment="1">
      <alignment horizontal="center"/>
    </xf>
    <xf numFmtId="0" fontId="4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" fontId="20" fillId="0" borderId="1" xfId="0" applyNumberFormat="1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0" fontId="39" fillId="0" borderId="1" xfId="0" applyFont="1" applyBorder="1"/>
    <xf numFmtId="0" fontId="65" fillId="0" borderId="1" xfId="0" applyFont="1" applyBorder="1" applyAlignment="1">
      <alignment horizontal="center"/>
    </xf>
    <xf numFmtId="1" fontId="39" fillId="0" borderId="1" xfId="0" applyNumberFormat="1" applyFont="1" applyBorder="1" applyAlignment="1">
      <alignment horizontal="center"/>
    </xf>
    <xf numFmtId="0" fontId="65" fillId="0" borderId="0" xfId="0" applyFont="1" applyAlignment="1">
      <alignment horizontal="center"/>
    </xf>
    <xf numFmtId="0" fontId="39" fillId="0" borderId="1" xfId="0" applyFont="1" applyBorder="1" applyAlignment="1">
      <alignment horizontal="left"/>
    </xf>
    <xf numFmtId="0" fontId="39" fillId="0" borderId="10" xfId="0" applyFont="1" applyBorder="1" applyAlignment="1">
      <alignment horizontal="center"/>
    </xf>
    <xf numFmtId="1" fontId="20" fillId="0" borderId="0" xfId="0" applyNumberFormat="1" applyFont="1" applyAlignment="1">
      <alignment horizontal="center"/>
    </xf>
    <xf numFmtId="1" fontId="39" fillId="0" borderId="8" xfId="0" applyNumberFormat="1" applyFont="1" applyBorder="1" applyAlignment="1">
      <alignment horizontal="center"/>
    </xf>
    <xf numFmtId="14" fontId="39" fillId="0" borderId="10" xfId="0" applyNumberFormat="1" applyFont="1" applyBorder="1" applyAlignment="1">
      <alignment horizontal="center"/>
    </xf>
    <xf numFmtId="0" fontId="39" fillId="0" borderId="10" xfId="0" applyFont="1" applyBorder="1"/>
    <xf numFmtId="1" fontId="39" fillId="4" borderId="1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2" borderId="1" xfId="0" applyFont="1" applyFill="1" applyBorder="1"/>
    <xf numFmtId="0" fontId="39" fillId="2" borderId="1" xfId="0" applyFont="1" applyFill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41" fillId="0" borderId="0" xfId="0" applyFont="1"/>
    <xf numFmtId="0" fontId="67" fillId="0" borderId="1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1" fontId="50" fillId="0" borderId="10" xfId="0" applyNumberFormat="1" applyFont="1" applyBorder="1" applyAlignment="1">
      <alignment horizontal="center"/>
    </xf>
    <xf numFmtId="0" fontId="64" fillId="0" borderId="10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4" fontId="68" fillId="0" borderId="1" xfId="0" applyNumberFormat="1" applyFont="1" applyBorder="1" applyAlignment="1">
      <alignment horizontal="center"/>
    </xf>
    <xf numFmtId="0" fontId="68" fillId="0" borderId="1" xfId="0" applyFont="1" applyBorder="1" applyAlignment="1">
      <alignment wrapText="1"/>
    </xf>
    <xf numFmtId="0" fontId="68" fillId="0" borderId="12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68" fillId="0" borderId="1" xfId="0" applyFont="1" applyBorder="1"/>
    <xf numFmtId="1" fontId="21" fillId="0" borderId="8" xfId="0" applyNumberFormat="1" applyFont="1" applyBorder="1" applyAlignment="1">
      <alignment horizontal="center"/>
    </xf>
    <xf numFmtId="0" fontId="68" fillId="0" borderId="1" xfId="0" applyFont="1" applyBorder="1" applyAlignment="1">
      <alignment horizontal="center" wrapText="1"/>
    </xf>
    <xf numFmtId="0" fontId="21" fillId="0" borderId="8" xfId="0" applyFont="1" applyBorder="1" applyAlignment="1">
      <alignment horizontal="center"/>
    </xf>
    <xf numFmtId="1" fontId="21" fillId="0" borderId="0" xfId="0" applyNumberFormat="1" applyFont="1" applyAlignment="1">
      <alignment horizontal="center"/>
    </xf>
    <xf numFmtId="1" fontId="21" fillId="0" borderId="24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" fontId="69" fillId="0" borderId="1" xfId="0" applyNumberFormat="1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70" fillId="0" borderId="8" xfId="0" applyFont="1" applyBorder="1" applyAlignment="1">
      <alignment horizontal="center"/>
    </xf>
    <xf numFmtId="0" fontId="70" fillId="0" borderId="1" xfId="0" applyFont="1" applyBorder="1" applyAlignment="1">
      <alignment horizontal="center" wrapText="1"/>
    </xf>
    <xf numFmtId="0" fontId="68" fillId="0" borderId="8" xfId="0" applyFont="1" applyBorder="1" applyAlignment="1">
      <alignment horizontal="center"/>
    </xf>
    <xf numFmtId="1" fontId="68" fillId="0" borderId="1" xfId="0" applyNumberFormat="1" applyFont="1" applyBorder="1"/>
    <xf numFmtId="1" fontId="68" fillId="0" borderId="1" xfId="0" applyNumberFormat="1" applyFont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41" fillId="0" borderId="1" xfId="0" applyFont="1" applyBorder="1"/>
    <xf numFmtId="0" fontId="49" fillId="0" borderId="8" xfId="0" applyFont="1" applyBorder="1" applyAlignment="1">
      <alignment horizontal="center"/>
    </xf>
    <xf numFmtId="1" fontId="49" fillId="0" borderId="9" xfId="0" applyNumberFormat="1" applyFont="1" applyBorder="1" applyAlignment="1">
      <alignment horizontal="center"/>
    </xf>
    <xf numFmtId="0" fontId="49" fillId="0" borderId="10" xfId="0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50" fillId="11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/>
    </xf>
    <xf numFmtId="15" fontId="49" fillId="0" borderId="0" xfId="0" applyNumberFormat="1" applyFont="1" applyAlignment="1">
      <alignment horizontal="center"/>
    </xf>
    <xf numFmtId="0" fontId="49" fillId="11" borderId="26" xfId="0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/>
    </xf>
    <xf numFmtId="1" fontId="19" fillId="0" borderId="27" xfId="0" applyNumberFormat="1" applyFont="1" applyBorder="1" applyAlignment="1">
      <alignment horizontal="center"/>
    </xf>
    <xf numFmtId="1" fontId="49" fillId="11" borderId="0" xfId="0" applyNumberFormat="1" applyFont="1" applyFill="1" applyAlignment="1">
      <alignment horizontal="center" vertical="center" wrapText="1"/>
    </xf>
    <xf numFmtId="1" fontId="49" fillId="0" borderId="8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1" xfId="0" applyFont="1" applyBorder="1" applyAlignment="1">
      <alignment horizontal="center"/>
    </xf>
    <xf numFmtId="1" fontId="46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74" fillId="0" borderId="1" xfId="1" applyBorder="1"/>
    <xf numFmtId="0" fontId="0" fillId="0" borderId="0" xfId="0" applyAlignment="1">
      <alignment wrapText="1"/>
    </xf>
    <xf numFmtId="0" fontId="64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5" fontId="49" fillId="0" borderId="1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0" fontId="4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19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3" fillId="4" borderId="1" xfId="0" applyFont="1" applyFill="1" applyBorder="1"/>
    <xf numFmtId="0" fontId="0" fillId="4" borderId="10" xfId="0" applyFill="1" applyBorder="1" applyAlignment="1">
      <alignment horizontal="center"/>
    </xf>
    <xf numFmtId="0" fontId="19" fillId="4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left"/>
    </xf>
    <xf numFmtId="0" fontId="43" fillId="4" borderId="1" xfId="0" applyFont="1" applyFill="1" applyBorder="1" applyAlignment="1">
      <alignment horizontal="center"/>
    </xf>
    <xf numFmtId="0" fontId="19" fillId="2" borderId="1" xfId="0" applyFont="1" applyFill="1" applyBorder="1" applyAlignment="1"/>
    <xf numFmtId="1" fontId="19" fillId="2" borderId="1" xfId="0" applyNumberFormat="1" applyFont="1" applyFill="1" applyBorder="1" applyAlignment="1"/>
    <xf numFmtId="0" fontId="0" fillId="2" borderId="1" xfId="0" applyFill="1" applyBorder="1" applyAlignment="1"/>
    <xf numFmtId="0" fontId="0" fillId="0" borderId="1" xfId="0" applyBorder="1" applyAlignment="1"/>
    <xf numFmtId="1" fontId="0" fillId="0" borderId="1" xfId="0" applyNumberFormat="1" applyBorder="1" applyAlignment="1"/>
    <xf numFmtId="14" fontId="0" fillId="0" borderId="1" xfId="0" applyNumberForma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Y61"/>
  <sheetViews>
    <sheetView topLeftCell="A55" zoomScale="77" zoomScaleNormal="77" workbookViewId="0">
      <selection activeCell="H67" sqref="H67"/>
    </sheetView>
  </sheetViews>
  <sheetFormatPr defaultRowHeight="14.5" x14ac:dyDescent="0.35"/>
  <cols>
    <col min="4" max="4" width="46.54296875" bestFit="1" customWidth="1"/>
    <col min="6" max="6" width="17.7265625" bestFit="1" customWidth="1"/>
    <col min="7" max="7" width="18.81640625" bestFit="1" customWidth="1"/>
    <col min="8" max="8" width="22.26953125" bestFit="1" customWidth="1"/>
    <col min="19" max="19" width="27.26953125" bestFit="1" customWidth="1"/>
    <col min="20" max="20" width="31.7265625" customWidth="1"/>
    <col min="21" max="21" width="15.6328125" bestFit="1" customWidth="1"/>
    <col min="22" max="22" width="14.36328125" bestFit="1" customWidth="1"/>
  </cols>
  <sheetData>
    <row r="3" spans="2:25" ht="21" x14ac:dyDescent="0.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Q3" s="18" t="s">
        <v>0</v>
      </c>
      <c r="R3" s="18" t="s">
        <v>108</v>
      </c>
      <c r="S3" s="18" t="s">
        <v>109</v>
      </c>
      <c r="T3" s="18" t="s">
        <v>3</v>
      </c>
      <c r="U3" s="18" t="s">
        <v>4</v>
      </c>
      <c r="V3" s="18" t="s">
        <v>110</v>
      </c>
      <c r="W3" s="18" t="s">
        <v>111</v>
      </c>
      <c r="X3" s="18" t="s">
        <v>112</v>
      </c>
      <c r="Y3" s="18" t="s">
        <v>8</v>
      </c>
    </row>
    <row r="4" spans="2:25" ht="21" x14ac:dyDescent="0.5">
      <c r="B4" s="2">
        <v>1</v>
      </c>
      <c r="C4" s="2">
        <v>10934</v>
      </c>
      <c r="D4" s="2" t="s">
        <v>9</v>
      </c>
      <c r="E4" s="3">
        <v>101974676370</v>
      </c>
      <c r="F4" s="16">
        <v>5219863945</v>
      </c>
      <c r="G4" s="4">
        <v>45454</v>
      </c>
      <c r="H4" s="2" t="s">
        <v>10</v>
      </c>
      <c r="I4" s="2" t="s">
        <v>11</v>
      </c>
      <c r="J4" s="2"/>
      <c r="Q4" s="19">
        <v>1</v>
      </c>
      <c r="R4" s="19">
        <v>10945</v>
      </c>
      <c r="S4" s="19" t="s">
        <v>113</v>
      </c>
      <c r="T4" s="20">
        <v>101461294922</v>
      </c>
      <c r="U4" s="21">
        <v>5216121501</v>
      </c>
      <c r="V4" s="22">
        <v>45453</v>
      </c>
      <c r="W4" s="19" t="s">
        <v>114</v>
      </c>
      <c r="X4" s="19" t="s">
        <v>115</v>
      </c>
      <c r="Y4" s="23"/>
    </row>
    <row r="5" spans="2:25" ht="21" x14ac:dyDescent="0.5">
      <c r="B5" s="2">
        <v>2</v>
      </c>
      <c r="C5" s="5">
        <v>10372</v>
      </c>
      <c r="D5" s="2" t="s">
        <v>12</v>
      </c>
      <c r="E5" s="6">
        <v>101848724135</v>
      </c>
      <c r="F5" s="16">
        <v>5218702900</v>
      </c>
      <c r="G5" s="4">
        <v>45454</v>
      </c>
      <c r="H5" s="2" t="s">
        <v>13</v>
      </c>
      <c r="I5" s="2" t="s">
        <v>14</v>
      </c>
      <c r="J5" s="2"/>
      <c r="Q5" s="19">
        <v>2</v>
      </c>
      <c r="R5" s="19">
        <v>10944</v>
      </c>
      <c r="S5" s="19" t="s">
        <v>116</v>
      </c>
      <c r="T5" s="20">
        <v>101721631405</v>
      </c>
      <c r="U5" s="21">
        <v>5219705664</v>
      </c>
      <c r="V5" s="22">
        <v>45455</v>
      </c>
      <c r="W5" s="19" t="s">
        <v>117</v>
      </c>
      <c r="X5" s="19" t="s">
        <v>115</v>
      </c>
      <c r="Y5" s="23"/>
    </row>
    <row r="6" spans="2:25" ht="21" x14ac:dyDescent="0.5">
      <c r="B6" s="2">
        <v>3</v>
      </c>
      <c r="C6" s="2">
        <v>10935</v>
      </c>
      <c r="D6" s="2" t="s">
        <v>15</v>
      </c>
      <c r="E6" s="3">
        <v>101832266943</v>
      </c>
      <c r="F6" s="16" t="s">
        <v>16</v>
      </c>
      <c r="G6" s="4">
        <v>45448</v>
      </c>
      <c r="H6" s="2" t="s">
        <v>10</v>
      </c>
      <c r="I6" s="2" t="s">
        <v>17</v>
      </c>
      <c r="J6" s="2"/>
      <c r="Q6" s="19">
        <v>3</v>
      </c>
      <c r="R6" s="19">
        <v>10946</v>
      </c>
      <c r="S6" s="19" t="s">
        <v>118</v>
      </c>
      <c r="T6" s="20">
        <v>101545857145</v>
      </c>
      <c r="U6" s="21">
        <v>5218709192</v>
      </c>
      <c r="V6" s="22">
        <v>45455</v>
      </c>
      <c r="W6" s="19" t="s">
        <v>117</v>
      </c>
      <c r="X6" s="19" t="s">
        <v>115</v>
      </c>
      <c r="Y6" s="19"/>
    </row>
    <row r="7" spans="2:25" ht="21" x14ac:dyDescent="0.5">
      <c r="B7" s="2">
        <v>4</v>
      </c>
      <c r="C7" s="2">
        <v>10936</v>
      </c>
      <c r="D7" s="2" t="s">
        <v>18</v>
      </c>
      <c r="E7" s="6">
        <v>101970363135</v>
      </c>
      <c r="F7" s="16" t="s">
        <v>19</v>
      </c>
      <c r="G7" s="4">
        <v>45446</v>
      </c>
      <c r="H7" s="2" t="s">
        <v>20</v>
      </c>
      <c r="I7" s="2" t="s">
        <v>21</v>
      </c>
      <c r="J7" s="2"/>
      <c r="Q7" s="19">
        <v>4</v>
      </c>
      <c r="R7" s="19">
        <v>10950</v>
      </c>
      <c r="S7" s="19" t="s">
        <v>119</v>
      </c>
      <c r="T7" s="20">
        <v>101513364506</v>
      </c>
      <c r="U7" s="21">
        <v>5216005996</v>
      </c>
      <c r="V7" s="22">
        <v>45444</v>
      </c>
      <c r="W7" s="19" t="s">
        <v>120</v>
      </c>
      <c r="X7" s="19" t="s">
        <v>57</v>
      </c>
      <c r="Y7" s="19" t="s">
        <v>121</v>
      </c>
    </row>
    <row r="8" spans="2:25" ht="21" x14ac:dyDescent="0.5">
      <c r="B8" s="2">
        <v>5</v>
      </c>
      <c r="C8" s="2">
        <v>10943</v>
      </c>
      <c r="D8" s="2" t="s">
        <v>22</v>
      </c>
      <c r="E8" s="6">
        <v>102083532953</v>
      </c>
      <c r="F8" s="16">
        <v>5220958197</v>
      </c>
      <c r="G8" s="4">
        <v>45450</v>
      </c>
      <c r="H8" s="2" t="s">
        <v>23</v>
      </c>
      <c r="I8" s="2" t="s">
        <v>17</v>
      </c>
      <c r="J8" s="2"/>
      <c r="Q8" s="19">
        <v>5</v>
      </c>
      <c r="R8" s="19">
        <v>10949</v>
      </c>
      <c r="S8" s="19" t="s">
        <v>122</v>
      </c>
      <c r="T8" s="20">
        <v>101209146397</v>
      </c>
      <c r="U8" s="21">
        <v>5209529979</v>
      </c>
      <c r="V8" s="22">
        <v>45444</v>
      </c>
      <c r="W8" s="19" t="s">
        <v>120</v>
      </c>
      <c r="X8" s="19" t="s">
        <v>115</v>
      </c>
      <c r="Y8" s="19"/>
    </row>
    <row r="9" spans="2:25" ht="21" x14ac:dyDescent="0.5">
      <c r="B9" s="2">
        <v>6</v>
      </c>
      <c r="C9" s="2">
        <v>10937</v>
      </c>
      <c r="D9" s="2" t="s">
        <v>24</v>
      </c>
      <c r="E9" s="3">
        <v>102082864005</v>
      </c>
      <c r="F9" s="16">
        <v>5220951064</v>
      </c>
      <c r="G9" s="4">
        <v>45456</v>
      </c>
      <c r="H9" s="2" t="s">
        <v>13</v>
      </c>
      <c r="I9" s="2" t="s">
        <v>25</v>
      </c>
      <c r="J9" s="2"/>
      <c r="Q9" s="19">
        <v>6</v>
      </c>
      <c r="R9" s="19">
        <v>10951</v>
      </c>
      <c r="S9" s="19" t="s">
        <v>123</v>
      </c>
      <c r="T9" s="20">
        <v>101562528089</v>
      </c>
      <c r="U9" s="21">
        <v>5220360622</v>
      </c>
      <c r="V9" s="22">
        <v>45444</v>
      </c>
      <c r="W9" s="19" t="s">
        <v>120</v>
      </c>
      <c r="X9" s="19" t="s">
        <v>115</v>
      </c>
      <c r="Y9" s="19"/>
    </row>
    <row r="10" spans="2:25" ht="21" x14ac:dyDescent="0.5">
      <c r="B10" s="2">
        <v>7</v>
      </c>
      <c r="C10" s="2">
        <v>10648</v>
      </c>
      <c r="D10" s="2" t="s">
        <v>26</v>
      </c>
      <c r="E10" s="6">
        <v>102002145724</v>
      </c>
      <c r="F10" s="16">
        <v>5220141416</v>
      </c>
      <c r="G10" s="4">
        <v>45460</v>
      </c>
      <c r="H10" s="2" t="s">
        <v>10</v>
      </c>
      <c r="I10" s="2" t="s">
        <v>17</v>
      </c>
      <c r="J10" s="2"/>
      <c r="Q10" s="19">
        <v>7</v>
      </c>
      <c r="R10" s="24">
        <v>10952</v>
      </c>
      <c r="S10" s="19" t="s">
        <v>124</v>
      </c>
      <c r="T10" s="20">
        <v>101835274895</v>
      </c>
      <c r="U10" s="21">
        <v>5218596289</v>
      </c>
      <c r="V10" s="22">
        <v>45461</v>
      </c>
      <c r="W10" s="19" t="s">
        <v>120</v>
      </c>
      <c r="X10" s="19" t="s">
        <v>115</v>
      </c>
      <c r="Y10" s="19"/>
    </row>
    <row r="11" spans="2:25" ht="21" x14ac:dyDescent="0.5">
      <c r="B11" s="2">
        <v>8</v>
      </c>
      <c r="C11" s="2">
        <v>10938</v>
      </c>
      <c r="D11" s="2" t="s">
        <v>27</v>
      </c>
      <c r="E11" s="6">
        <v>102082941651</v>
      </c>
      <c r="F11" s="16" t="s">
        <v>28</v>
      </c>
      <c r="G11" s="4">
        <v>45455</v>
      </c>
      <c r="H11" s="2" t="s">
        <v>10</v>
      </c>
      <c r="I11" s="2" t="s">
        <v>29</v>
      </c>
      <c r="J11" s="2"/>
      <c r="Q11" s="19">
        <v>8</v>
      </c>
      <c r="R11" s="19">
        <v>10953</v>
      </c>
      <c r="S11" s="19" t="s">
        <v>125</v>
      </c>
      <c r="T11" s="20">
        <v>101645636044</v>
      </c>
      <c r="U11" s="21" t="s">
        <v>126</v>
      </c>
      <c r="V11" s="22">
        <v>45453</v>
      </c>
      <c r="W11" s="19" t="s">
        <v>120</v>
      </c>
      <c r="X11" s="19" t="s">
        <v>115</v>
      </c>
      <c r="Y11" s="19"/>
    </row>
    <row r="12" spans="2:25" ht="21" x14ac:dyDescent="0.5">
      <c r="B12" s="2">
        <v>9</v>
      </c>
      <c r="C12" s="2">
        <v>10939</v>
      </c>
      <c r="D12" s="2" t="s">
        <v>30</v>
      </c>
      <c r="E12" s="3">
        <v>102082995439</v>
      </c>
      <c r="F12" s="16" t="s">
        <v>31</v>
      </c>
      <c r="G12" s="4">
        <v>45457</v>
      </c>
      <c r="H12" s="2" t="s">
        <v>32</v>
      </c>
      <c r="I12" s="2" t="s">
        <v>17</v>
      </c>
      <c r="J12" s="2"/>
      <c r="Q12" s="19">
        <v>9</v>
      </c>
      <c r="R12" s="19">
        <v>10954</v>
      </c>
      <c r="S12" s="19" t="s">
        <v>127</v>
      </c>
      <c r="T12" s="20">
        <v>101283487712</v>
      </c>
      <c r="U12" s="21">
        <v>5218443974</v>
      </c>
      <c r="V12" s="22">
        <v>45444</v>
      </c>
      <c r="W12" s="19" t="s">
        <v>120</v>
      </c>
      <c r="X12" s="19" t="s">
        <v>115</v>
      </c>
      <c r="Y12" s="19"/>
    </row>
    <row r="13" spans="2:25" ht="21" x14ac:dyDescent="0.5">
      <c r="B13" s="2">
        <v>10</v>
      </c>
      <c r="C13" s="2">
        <v>10940</v>
      </c>
      <c r="D13" s="2" t="s">
        <v>33</v>
      </c>
      <c r="E13" s="6">
        <v>100979189217</v>
      </c>
      <c r="F13" s="17">
        <v>5220952080</v>
      </c>
      <c r="G13" s="4">
        <v>45446</v>
      </c>
      <c r="H13" s="2" t="s">
        <v>34</v>
      </c>
      <c r="I13" s="2" t="s">
        <v>35</v>
      </c>
      <c r="J13" s="2"/>
      <c r="Q13" s="19">
        <v>10</v>
      </c>
      <c r="R13" s="19">
        <v>10955</v>
      </c>
      <c r="S13" s="19" t="s">
        <v>128</v>
      </c>
      <c r="T13" s="25">
        <v>100987186000</v>
      </c>
      <c r="U13" s="21">
        <v>5217974928</v>
      </c>
      <c r="V13" s="22">
        <v>45453</v>
      </c>
      <c r="W13" s="19" t="s">
        <v>120</v>
      </c>
      <c r="X13" s="19" t="s">
        <v>115</v>
      </c>
      <c r="Y13" s="19"/>
    </row>
    <row r="14" spans="2:25" ht="21" x14ac:dyDescent="0.5">
      <c r="B14" s="15">
        <v>11</v>
      </c>
      <c r="C14" s="15">
        <v>10941</v>
      </c>
      <c r="D14" s="15" t="s">
        <v>36</v>
      </c>
      <c r="E14" s="48">
        <v>102083040092</v>
      </c>
      <c r="F14" s="15" t="s">
        <v>37</v>
      </c>
      <c r="G14" s="49">
        <v>45456</v>
      </c>
      <c r="H14" s="15" t="s">
        <v>38</v>
      </c>
      <c r="I14" s="15" t="s">
        <v>25</v>
      </c>
      <c r="J14" s="15"/>
      <c r="Q14" s="19">
        <v>11</v>
      </c>
      <c r="R14" s="19">
        <v>10956</v>
      </c>
      <c r="S14" s="19" t="s">
        <v>129</v>
      </c>
      <c r="T14" s="20">
        <v>101574421599</v>
      </c>
      <c r="U14" s="21">
        <v>5216518672</v>
      </c>
      <c r="V14" s="22">
        <v>45459</v>
      </c>
      <c r="W14" s="19" t="s">
        <v>120</v>
      </c>
      <c r="X14" s="19" t="s">
        <v>115</v>
      </c>
      <c r="Y14" s="23"/>
    </row>
    <row r="15" spans="2:25" ht="21" x14ac:dyDescent="0.5">
      <c r="B15" s="2">
        <v>12</v>
      </c>
      <c r="C15" s="2" t="s">
        <v>39</v>
      </c>
      <c r="D15" s="2" t="s">
        <v>40</v>
      </c>
      <c r="E15" s="7"/>
      <c r="F15" s="17">
        <v>5220956121</v>
      </c>
      <c r="G15" s="4">
        <v>45460</v>
      </c>
      <c r="H15" s="2" t="s">
        <v>10</v>
      </c>
      <c r="I15" s="2" t="s">
        <v>41</v>
      </c>
      <c r="J15" s="2" t="s">
        <v>42</v>
      </c>
      <c r="Q15" s="19">
        <v>12</v>
      </c>
      <c r="R15" s="19">
        <v>10957</v>
      </c>
      <c r="S15" s="19" t="s">
        <v>130</v>
      </c>
      <c r="T15" s="26" t="s">
        <v>131</v>
      </c>
      <c r="U15" s="21">
        <v>5219960076</v>
      </c>
      <c r="V15" s="22">
        <v>45453</v>
      </c>
      <c r="W15" s="19" t="s">
        <v>120</v>
      </c>
      <c r="X15" s="19" t="s">
        <v>115</v>
      </c>
      <c r="Y15" s="23"/>
    </row>
    <row r="16" spans="2:25" ht="21" x14ac:dyDescent="0.5">
      <c r="B16" s="2">
        <v>13</v>
      </c>
      <c r="C16" s="2">
        <v>10214</v>
      </c>
      <c r="D16" s="2" t="s">
        <v>43</v>
      </c>
      <c r="E16" s="3">
        <v>100469573552</v>
      </c>
      <c r="F16" s="17">
        <v>5211376945</v>
      </c>
      <c r="G16" s="4">
        <v>45461</v>
      </c>
      <c r="H16" s="2" t="s">
        <v>23</v>
      </c>
      <c r="I16" s="2" t="s">
        <v>44</v>
      </c>
      <c r="J16" s="2"/>
      <c r="Q16" s="19">
        <v>13</v>
      </c>
      <c r="R16" s="19">
        <v>10958</v>
      </c>
      <c r="S16" s="19" t="s">
        <v>132</v>
      </c>
      <c r="T16" s="20">
        <v>101760282054</v>
      </c>
      <c r="U16" s="21" t="s">
        <v>133</v>
      </c>
      <c r="V16" s="22">
        <v>45458</v>
      </c>
      <c r="W16" s="19" t="s">
        <v>120</v>
      </c>
      <c r="X16" s="19" t="s">
        <v>115</v>
      </c>
      <c r="Y16" s="23"/>
    </row>
    <row r="17" spans="2:25" ht="21" x14ac:dyDescent="0.5">
      <c r="B17" s="2">
        <v>14</v>
      </c>
      <c r="C17" s="2">
        <v>10942</v>
      </c>
      <c r="D17" s="2" t="s">
        <v>45</v>
      </c>
      <c r="E17" s="6">
        <v>101725427714</v>
      </c>
      <c r="F17" s="17">
        <v>5217623899</v>
      </c>
      <c r="G17" s="4">
        <v>45449</v>
      </c>
      <c r="H17" s="2" t="s">
        <v>46</v>
      </c>
      <c r="I17" s="2" t="s">
        <v>41</v>
      </c>
      <c r="J17" s="2"/>
      <c r="Q17" s="19">
        <v>14</v>
      </c>
      <c r="R17" s="19">
        <v>10959</v>
      </c>
      <c r="S17" s="19" t="s">
        <v>134</v>
      </c>
      <c r="T17" s="20">
        <v>102084971643</v>
      </c>
      <c r="U17" s="21">
        <v>5220976071</v>
      </c>
      <c r="V17" s="22">
        <v>45444</v>
      </c>
      <c r="W17" s="19" t="s">
        <v>120</v>
      </c>
      <c r="X17" s="19" t="s">
        <v>115</v>
      </c>
      <c r="Y17" s="23"/>
    </row>
    <row r="18" spans="2:25" ht="21" x14ac:dyDescent="0.5">
      <c r="B18" s="2">
        <v>15</v>
      </c>
      <c r="C18" s="2">
        <v>10947</v>
      </c>
      <c r="D18" s="2" t="s">
        <v>47</v>
      </c>
      <c r="E18" s="3">
        <v>101897031030</v>
      </c>
      <c r="F18" s="17">
        <v>7901037607</v>
      </c>
      <c r="G18" s="4">
        <v>45458</v>
      </c>
      <c r="H18" s="2"/>
      <c r="I18" s="2" t="s">
        <v>17</v>
      </c>
      <c r="J18" s="2"/>
      <c r="Q18" s="19">
        <v>15</v>
      </c>
      <c r="R18" s="19">
        <v>10960</v>
      </c>
      <c r="S18" s="19" t="s">
        <v>135</v>
      </c>
      <c r="T18" s="25">
        <v>101840632558</v>
      </c>
      <c r="U18" s="21">
        <v>5220979286</v>
      </c>
      <c r="V18" s="22">
        <v>45453</v>
      </c>
      <c r="W18" s="19" t="s">
        <v>120</v>
      </c>
      <c r="X18" s="19" t="s">
        <v>115</v>
      </c>
      <c r="Y18" s="23"/>
    </row>
    <row r="19" spans="2:25" ht="21" x14ac:dyDescent="0.5">
      <c r="B19" s="2">
        <v>16</v>
      </c>
      <c r="C19" s="2">
        <v>10948</v>
      </c>
      <c r="D19" s="2" t="s">
        <v>48</v>
      </c>
      <c r="E19" s="3">
        <v>101422147015</v>
      </c>
      <c r="F19" s="17">
        <v>5219293170</v>
      </c>
      <c r="G19" s="4">
        <v>45462</v>
      </c>
      <c r="H19" s="2" t="s">
        <v>23</v>
      </c>
      <c r="I19" s="2" t="s">
        <v>44</v>
      </c>
      <c r="J19" s="8"/>
      <c r="Q19" s="19">
        <v>16</v>
      </c>
      <c r="R19" s="19">
        <v>10961</v>
      </c>
      <c r="S19" s="19" t="s">
        <v>136</v>
      </c>
      <c r="T19" s="20">
        <v>101577443239</v>
      </c>
      <c r="U19" s="21">
        <v>5219203809</v>
      </c>
      <c r="V19" s="22">
        <v>45460</v>
      </c>
      <c r="W19" s="19" t="s">
        <v>120</v>
      </c>
      <c r="X19" s="19" t="s">
        <v>115</v>
      </c>
      <c r="Y19" s="23"/>
    </row>
    <row r="20" spans="2:25" ht="21" x14ac:dyDescent="0.5">
      <c r="B20" s="2">
        <v>18</v>
      </c>
      <c r="C20" s="2">
        <v>10962</v>
      </c>
      <c r="D20" s="2" t="s">
        <v>50</v>
      </c>
      <c r="E20" s="6">
        <v>102071708261</v>
      </c>
      <c r="F20" s="17">
        <v>5220974290</v>
      </c>
      <c r="G20" s="4">
        <v>45462</v>
      </c>
      <c r="H20" s="2" t="s">
        <v>13</v>
      </c>
      <c r="I20" s="2" t="s">
        <v>17</v>
      </c>
      <c r="J20" s="2"/>
      <c r="Q20" s="19">
        <v>18</v>
      </c>
      <c r="R20" s="19">
        <v>10964</v>
      </c>
      <c r="S20" s="19" t="s">
        <v>137</v>
      </c>
      <c r="T20" s="19">
        <v>101903408207</v>
      </c>
      <c r="U20" s="21">
        <v>5219927897</v>
      </c>
      <c r="V20" s="22">
        <v>45453</v>
      </c>
      <c r="W20" s="19" t="s">
        <v>120</v>
      </c>
      <c r="X20" s="19" t="s">
        <v>115</v>
      </c>
      <c r="Y20" s="23"/>
    </row>
    <row r="21" spans="2:25" ht="21" x14ac:dyDescent="0.5">
      <c r="B21" s="9">
        <v>19</v>
      </c>
      <c r="C21" s="9">
        <v>10972</v>
      </c>
      <c r="D21" s="9" t="s">
        <v>51</v>
      </c>
      <c r="E21" s="10">
        <v>102086162342</v>
      </c>
      <c r="F21" s="9">
        <v>5220978718</v>
      </c>
      <c r="G21" s="11">
        <v>45453</v>
      </c>
      <c r="H21" s="2" t="s">
        <v>52</v>
      </c>
      <c r="I21" s="2" t="s">
        <v>17</v>
      </c>
      <c r="J21" s="2"/>
      <c r="Q21" s="19">
        <v>19</v>
      </c>
      <c r="R21" s="19">
        <v>10972</v>
      </c>
      <c r="S21" s="19" t="s">
        <v>51</v>
      </c>
      <c r="T21" s="41">
        <v>102086162342</v>
      </c>
      <c r="U21" s="19">
        <v>5220978718</v>
      </c>
      <c r="V21" s="22">
        <v>45453</v>
      </c>
      <c r="W21" s="19" t="s">
        <v>120</v>
      </c>
      <c r="X21" s="19" t="s">
        <v>115</v>
      </c>
      <c r="Y21" s="23"/>
    </row>
    <row r="22" spans="2:25" ht="21" x14ac:dyDescent="0.5">
      <c r="B22" s="2">
        <v>20</v>
      </c>
      <c r="C22" s="2">
        <v>10973</v>
      </c>
      <c r="D22" s="2" t="s">
        <v>53</v>
      </c>
      <c r="E22" s="7">
        <v>102086166454</v>
      </c>
      <c r="F22" s="2">
        <v>5220980480</v>
      </c>
      <c r="G22" s="4">
        <v>45453</v>
      </c>
      <c r="H22" s="2" t="s">
        <v>49</v>
      </c>
      <c r="I22" s="2" t="s">
        <v>11</v>
      </c>
      <c r="J22" s="2"/>
      <c r="Q22" s="19">
        <v>20</v>
      </c>
      <c r="R22" s="19">
        <v>11036</v>
      </c>
      <c r="S22" s="39" t="s">
        <v>138</v>
      </c>
      <c r="T22" s="42">
        <v>101620329460</v>
      </c>
      <c r="U22" s="40">
        <v>5221030599</v>
      </c>
      <c r="V22" s="22">
        <v>45445</v>
      </c>
      <c r="W22" s="19" t="s">
        <v>139</v>
      </c>
      <c r="X22" s="19" t="s">
        <v>115</v>
      </c>
      <c r="Y22" s="23" t="s">
        <v>140</v>
      </c>
    </row>
    <row r="23" spans="2:25" ht="21" x14ac:dyDescent="0.5">
      <c r="B23" s="2">
        <v>22</v>
      </c>
      <c r="C23" s="2">
        <v>10975</v>
      </c>
      <c r="D23" s="2" t="s">
        <v>55</v>
      </c>
      <c r="E23" s="3">
        <v>102086190893</v>
      </c>
      <c r="F23" s="2">
        <v>5220989502</v>
      </c>
      <c r="G23" s="4">
        <v>45467</v>
      </c>
      <c r="H23" s="2" t="s">
        <v>54</v>
      </c>
      <c r="I23" s="2" t="s">
        <v>56</v>
      </c>
      <c r="J23" s="2"/>
      <c r="Q23" s="19">
        <f>20+1</f>
        <v>21</v>
      </c>
      <c r="R23" s="19">
        <v>11013</v>
      </c>
      <c r="S23" s="19" t="s">
        <v>142</v>
      </c>
      <c r="T23" s="26">
        <v>102088006073</v>
      </c>
      <c r="U23" s="19">
        <v>5221013239</v>
      </c>
      <c r="V23" s="22">
        <v>45440</v>
      </c>
      <c r="W23" s="19" t="s">
        <v>141</v>
      </c>
      <c r="X23" s="19" t="s">
        <v>115</v>
      </c>
      <c r="Y23" s="23"/>
    </row>
    <row r="24" spans="2:25" ht="21" x14ac:dyDescent="0.5">
      <c r="B24" s="2">
        <v>24</v>
      </c>
      <c r="C24" s="2">
        <v>10970</v>
      </c>
      <c r="D24" s="2" t="s">
        <v>58</v>
      </c>
      <c r="E24" s="7">
        <v>101397264446</v>
      </c>
      <c r="F24" s="2">
        <v>5219189859</v>
      </c>
      <c r="G24" s="4">
        <v>45457</v>
      </c>
      <c r="H24" s="2" t="s">
        <v>54</v>
      </c>
      <c r="I24" s="2" t="s">
        <v>11</v>
      </c>
      <c r="J24" s="2"/>
      <c r="Q24" s="19">
        <v>22</v>
      </c>
      <c r="R24" s="19">
        <v>11016</v>
      </c>
      <c r="S24" s="19" t="s">
        <v>143</v>
      </c>
      <c r="T24" s="26">
        <v>102088043276</v>
      </c>
      <c r="U24" s="19">
        <v>5221010470</v>
      </c>
      <c r="V24" s="22">
        <v>45439</v>
      </c>
      <c r="W24" s="19" t="s">
        <v>141</v>
      </c>
      <c r="X24" s="19" t="s">
        <v>115</v>
      </c>
      <c r="Y24" s="23"/>
    </row>
    <row r="25" spans="2:25" ht="21" x14ac:dyDescent="0.5">
      <c r="B25" s="2">
        <v>25</v>
      </c>
      <c r="C25" s="2">
        <v>10977</v>
      </c>
      <c r="D25" s="2" t="s">
        <v>59</v>
      </c>
      <c r="E25" s="6">
        <v>101823804746</v>
      </c>
      <c r="F25" s="2">
        <v>5218553222</v>
      </c>
      <c r="G25" s="4">
        <v>45457</v>
      </c>
      <c r="H25" s="2" t="s">
        <v>54</v>
      </c>
      <c r="I25" s="2" t="s">
        <v>44</v>
      </c>
      <c r="J25" s="2"/>
      <c r="Q25" s="19">
        <v>23</v>
      </c>
      <c r="R25" s="19">
        <v>11040</v>
      </c>
      <c r="S25" s="19" t="s">
        <v>144</v>
      </c>
      <c r="T25" s="45">
        <v>101367219775</v>
      </c>
      <c r="U25" s="19"/>
      <c r="V25" s="19"/>
      <c r="W25" s="19" t="s">
        <v>141</v>
      </c>
      <c r="X25" s="19" t="s">
        <v>115</v>
      </c>
      <c r="Y25" s="23" t="s">
        <v>145</v>
      </c>
    </row>
    <row r="26" spans="2:25" ht="21" x14ac:dyDescent="0.5">
      <c r="B26" s="2">
        <v>26</v>
      </c>
      <c r="C26" s="2">
        <v>10978</v>
      </c>
      <c r="D26" s="2" t="s">
        <v>60</v>
      </c>
      <c r="E26" s="3">
        <v>101574086938</v>
      </c>
      <c r="F26" s="2">
        <v>5219179350</v>
      </c>
      <c r="G26" s="4">
        <v>45457</v>
      </c>
      <c r="H26" s="2" t="s">
        <v>54</v>
      </c>
      <c r="I26" s="2" t="s">
        <v>25</v>
      </c>
      <c r="J26" s="2"/>
      <c r="Q26" s="19">
        <v>24</v>
      </c>
      <c r="R26" s="19">
        <v>11039</v>
      </c>
      <c r="S26" s="19" t="s">
        <v>146</v>
      </c>
      <c r="T26" s="45">
        <v>101564579410</v>
      </c>
      <c r="U26" s="54">
        <v>5221034974</v>
      </c>
      <c r="V26" s="22">
        <v>45417</v>
      </c>
      <c r="W26" s="19" t="s">
        <v>141</v>
      </c>
      <c r="X26" s="19" t="s">
        <v>115</v>
      </c>
      <c r="Y26" s="23" t="s">
        <v>145</v>
      </c>
    </row>
    <row r="27" spans="2:25" ht="21.5" thickBot="1" x14ac:dyDescent="0.55000000000000004">
      <c r="B27" s="2">
        <v>27</v>
      </c>
      <c r="C27" s="2">
        <v>10979</v>
      </c>
      <c r="D27" s="5" t="s">
        <v>61</v>
      </c>
      <c r="E27" s="3">
        <v>101460853033</v>
      </c>
      <c r="F27" s="2">
        <v>5219468803</v>
      </c>
      <c r="G27" s="4">
        <v>45457</v>
      </c>
      <c r="H27" s="2" t="s">
        <v>54</v>
      </c>
      <c r="I27" s="2" t="s">
        <v>11</v>
      </c>
      <c r="J27" s="2"/>
      <c r="Q27" s="19">
        <v>25</v>
      </c>
      <c r="R27" s="19">
        <v>11031</v>
      </c>
      <c r="S27" s="19" t="s">
        <v>147</v>
      </c>
      <c r="T27" s="20">
        <v>102088800151</v>
      </c>
      <c r="U27" s="19">
        <v>5221027402</v>
      </c>
      <c r="V27" s="22">
        <v>45440</v>
      </c>
      <c r="W27" s="19" t="s">
        <v>141</v>
      </c>
      <c r="X27" s="19" t="s">
        <v>115</v>
      </c>
      <c r="Y27" s="19"/>
    </row>
    <row r="28" spans="2:25" ht="21.5" thickBot="1" x14ac:dyDescent="0.55000000000000004">
      <c r="B28" s="2">
        <v>28</v>
      </c>
      <c r="C28" s="2">
        <v>10980</v>
      </c>
      <c r="D28" s="2" t="s">
        <v>62</v>
      </c>
      <c r="E28" s="3">
        <v>101455564664</v>
      </c>
      <c r="F28" s="2">
        <v>5215721386</v>
      </c>
      <c r="G28" s="4">
        <v>45457</v>
      </c>
      <c r="H28" s="2" t="s">
        <v>54</v>
      </c>
      <c r="I28" s="2" t="s">
        <v>25</v>
      </c>
      <c r="J28" s="2"/>
      <c r="Q28" s="19">
        <v>26</v>
      </c>
      <c r="R28" s="19">
        <v>11041</v>
      </c>
      <c r="S28" s="19" t="s">
        <v>148</v>
      </c>
      <c r="T28" s="47">
        <v>102089656878</v>
      </c>
      <c r="U28" s="19"/>
      <c r="V28" s="19"/>
      <c r="W28" s="19" t="s">
        <v>141</v>
      </c>
      <c r="X28" s="19" t="s">
        <v>115</v>
      </c>
      <c r="Y28" s="19"/>
    </row>
    <row r="29" spans="2:25" ht="21" x14ac:dyDescent="0.5">
      <c r="B29" s="2">
        <v>29</v>
      </c>
      <c r="C29" s="2">
        <v>10981</v>
      </c>
      <c r="D29" s="2" t="s">
        <v>63</v>
      </c>
      <c r="E29" s="3">
        <v>101730007908</v>
      </c>
      <c r="F29" s="2">
        <v>5217740757</v>
      </c>
      <c r="G29" s="4">
        <v>45457</v>
      </c>
      <c r="H29" s="2" t="s">
        <v>54</v>
      </c>
      <c r="I29" s="2" t="s">
        <v>35</v>
      </c>
      <c r="J29" s="2"/>
      <c r="Q29" s="19">
        <v>27</v>
      </c>
      <c r="R29" s="19">
        <v>11033</v>
      </c>
      <c r="S29" s="19" t="s">
        <v>149</v>
      </c>
      <c r="T29" s="26">
        <v>102088877622</v>
      </c>
      <c r="U29" s="19">
        <v>5221025852</v>
      </c>
      <c r="V29" s="22">
        <v>45440</v>
      </c>
      <c r="W29" s="19" t="s">
        <v>141</v>
      </c>
      <c r="X29" s="19" t="s">
        <v>115</v>
      </c>
      <c r="Y29" s="19"/>
    </row>
    <row r="30" spans="2:25" ht="21" x14ac:dyDescent="0.5">
      <c r="B30" s="2">
        <v>30</v>
      </c>
      <c r="C30" s="2">
        <v>10982</v>
      </c>
      <c r="D30" s="2" t="s">
        <v>64</v>
      </c>
      <c r="E30" s="3">
        <v>101296008357</v>
      </c>
      <c r="F30" s="2">
        <v>5219839704</v>
      </c>
      <c r="G30" s="4">
        <v>45457</v>
      </c>
      <c r="H30" s="2" t="s">
        <v>54</v>
      </c>
      <c r="I30" s="2" t="s">
        <v>17</v>
      </c>
      <c r="J30" s="2"/>
      <c r="Q30" s="19">
        <v>28</v>
      </c>
      <c r="R30" s="19">
        <v>11011</v>
      </c>
      <c r="S30" s="19" t="s">
        <v>150</v>
      </c>
      <c r="T30" s="26">
        <v>102087994011</v>
      </c>
      <c r="U30" s="19">
        <v>5221013333</v>
      </c>
      <c r="V30" s="22">
        <v>45440</v>
      </c>
      <c r="W30" s="19" t="s">
        <v>141</v>
      </c>
      <c r="X30" s="19" t="s">
        <v>115</v>
      </c>
      <c r="Y30" s="19"/>
    </row>
    <row r="31" spans="2:25" ht="21" x14ac:dyDescent="0.5">
      <c r="B31" s="2">
        <v>31</v>
      </c>
      <c r="C31" s="2">
        <v>10983</v>
      </c>
      <c r="D31" s="2" t="s">
        <v>65</v>
      </c>
      <c r="E31" s="12">
        <v>102012365701</v>
      </c>
      <c r="F31" s="2">
        <v>5220317446</v>
      </c>
      <c r="G31" s="4">
        <v>45457</v>
      </c>
      <c r="H31" s="2" t="s">
        <v>54</v>
      </c>
      <c r="I31" s="2" t="s">
        <v>25</v>
      </c>
      <c r="J31" s="2"/>
      <c r="Q31" s="19">
        <v>29</v>
      </c>
      <c r="R31" s="19">
        <v>11010</v>
      </c>
      <c r="S31" s="19" t="s">
        <v>151</v>
      </c>
      <c r="T31" s="26">
        <v>102087927445</v>
      </c>
      <c r="U31" s="19">
        <v>5221013485</v>
      </c>
      <c r="V31" s="22">
        <v>45446</v>
      </c>
      <c r="W31" s="19" t="s">
        <v>141</v>
      </c>
      <c r="X31" s="19" t="s">
        <v>115</v>
      </c>
      <c r="Y31" s="19"/>
    </row>
    <row r="32" spans="2:25" ht="21" x14ac:dyDescent="0.5">
      <c r="B32" s="15">
        <v>32</v>
      </c>
      <c r="C32" s="15">
        <v>10984</v>
      </c>
      <c r="D32" s="15" t="s">
        <v>66</v>
      </c>
      <c r="E32" s="50">
        <v>101433827014</v>
      </c>
      <c r="F32" s="15" t="s">
        <v>37</v>
      </c>
      <c r="G32" s="49">
        <v>45457</v>
      </c>
      <c r="H32" s="15" t="s">
        <v>54</v>
      </c>
      <c r="I32" s="15" t="s">
        <v>67</v>
      </c>
      <c r="J32" s="15"/>
      <c r="Q32" s="19">
        <v>30</v>
      </c>
      <c r="R32" s="19" t="s">
        <v>177</v>
      </c>
      <c r="S32" s="19" t="s">
        <v>152</v>
      </c>
      <c r="T32" s="26">
        <v>100670405059</v>
      </c>
      <c r="U32" s="19">
        <v>5212045426</v>
      </c>
      <c r="V32" s="22">
        <v>45433</v>
      </c>
      <c r="W32" s="19" t="s">
        <v>141</v>
      </c>
      <c r="X32" s="19" t="s">
        <v>115</v>
      </c>
      <c r="Y32" s="19"/>
    </row>
    <row r="33" spans="2:25" ht="21" x14ac:dyDescent="0.5">
      <c r="B33" s="9">
        <v>33</v>
      </c>
      <c r="C33" s="9">
        <v>10985</v>
      </c>
      <c r="D33" s="14" t="s">
        <v>68</v>
      </c>
      <c r="E33" s="13">
        <v>101611612492</v>
      </c>
      <c r="F33" s="9">
        <v>5219243373</v>
      </c>
      <c r="G33" s="11">
        <v>45457</v>
      </c>
      <c r="H33" s="9" t="s">
        <v>54</v>
      </c>
      <c r="I33" s="9" t="s">
        <v>25</v>
      </c>
      <c r="J33" s="2"/>
      <c r="Q33" s="19">
        <v>31</v>
      </c>
      <c r="R33" s="19">
        <v>11017</v>
      </c>
      <c r="S33" s="19" t="s">
        <v>153</v>
      </c>
      <c r="T33" s="26">
        <v>101933781667</v>
      </c>
      <c r="U33" s="19">
        <v>5219558244</v>
      </c>
      <c r="V33" s="22">
        <v>45439</v>
      </c>
      <c r="W33" s="19" t="s">
        <v>141</v>
      </c>
      <c r="X33" s="19" t="s">
        <v>115</v>
      </c>
      <c r="Y33" s="19"/>
    </row>
    <row r="34" spans="2:25" ht="21" x14ac:dyDescent="0.5">
      <c r="B34" s="15">
        <v>34</v>
      </c>
      <c r="C34" s="15">
        <v>10986</v>
      </c>
      <c r="D34" s="15" t="s">
        <v>69</v>
      </c>
      <c r="E34" s="50">
        <v>101303714313</v>
      </c>
      <c r="F34" s="15" t="s">
        <v>37</v>
      </c>
      <c r="G34" s="49">
        <v>45457</v>
      </c>
      <c r="H34" s="15" t="s">
        <v>54</v>
      </c>
      <c r="I34" s="15" t="s">
        <v>67</v>
      </c>
      <c r="J34" s="15"/>
      <c r="Q34" s="19">
        <v>32</v>
      </c>
      <c r="R34" s="19">
        <v>11020</v>
      </c>
      <c r="S34" s="19" t="s">
        <v>154</v>
      </c>
      <c r="T34" s="26">
        <v>101942461588</v>
      </c>
      <c r="U34" s="19">
        <v>5219579394</v>
      </c>
      <c r="V34" s="22">
        <v>45439</v>
      </c>
      <c r="W34" s="19" t="s">
        <v>141</v>
      </c>
      <c r="X34" s="19" t="s">
        <v>115</v>
      </c>
      <c r="Y34" s="19"/>
    </row>
    <row r="35" spans="2:25" ht="21" x14ac:dyDescent="0.5">
      <c r="B35" s="15">
        <v>35</v>
      </c>
      <c r="C35" s="15">
        <v>10987</v>
      </c>
      <c r="D35" s="15" t="s">
        <v>70</v>
      </c>
      <c r="E35" s="50">
        <v>101354500139</v>
      </c>
      <c r="F35" s="15" t="s">
        <v>37</v>
      </c>
      <c r="G35" s="49">
        <v>45457</v>
      </c>
      <c r="H35" s="15" t="s">
        <v>54</v>
      </c>
      <c r="I35" s="15" t="s">
        <v>67</v>
      </c>
      <c r="J35" s="15"/>
      <c r="Q35" s="19">
        <v>33</v>
      </c>
      <c r="R35" s="19">
        <v>11009</v>
      </c>
      <c r="S35" s="19" t="s">
        <v>155</v>
      </c>
      <c r="T35" s="26">
        <v>102087878745</v>
      </c>
      <c r="U35" s="27">
        <v>5221013612</v>
      </c>
      <c r="V35" s="22">
        <v>45439</v>
      </c>
      <c r="W35" s="19" t="s">
        <v>141</v>
      </c>
      <c r="X35" s="19" t="s">
        <v>115</v>
      </c>
      <c r="Y35" s="19"/>
    </row>
    <row r="36" spans="2:25" ht="21" x14ac:dyDescent="0.5">
      <c r="B36" s="15">
        <v>36</v>
      </c>
      <c r="C36" s="15">
        <v>10988</v>
      </c>
      <c r="D36" s="15" t="s">
        <v>71</v>
      </c>
      <c r="E36" s="50">
        <v>101419332060</v>
      </c>
      <c r="F36" s="15" t="s">
        <v>37</v>
      </c>
      <c r="G36" s="49">
        <v>45457</v>
      </c>
      <c r="H36" s="15" t="s">
        <v>54</v>
      </c>
      <c r="I36" s="15" t="s">
        <v>67</v>
      </c>
      <c r="J36" s="15"/>
      <c r="Q36" s="19">
        <v>34</v>
      </c>
      <c r="R36" s="19">
        <v>11037</v>
      </c>
      <c r="S36" s="19" t="s">
        <v>156</v>
      </c>
      <c r="T36" s="45">
        <v>101152856175</v>
      </c>
      <c r="U36" s="53">
        <v>5221034698</v>
      </c>
      <c r="V36" s="22">
        <v>45439</v>
      </c>
      <c r="W36" s="19" t="s">
        <v>141</v>
      </c>
      <c r="X36" s="19" t="s">
        <v>115</v>
      </c>
      <c r="Y36" s="19" t="s">
        <v>157</v>
      </c>
    </row>
    <row r="37" spans="2:25" ht="21" x14ac:dyDescent="0.5">
      <c r="B37" s="15">
        <v>37</v>
      </c>
      <c r="C37" s="15">
        <v>10989</v>
      </c>
      <c r="D37" s="15" t="s">
        <v>72</v>
      </c>
      <c r="E37" s="50">
        <v>101366451264</v>
      </c>
      <c r="F37" s="15" t="s">
        <v>37</v>
      </c>
      <c r="G37" s="49">
        <v>45457</v>
      </c>
      <c r="H37" s="15" t="s">
        <v>54</v>
      </c>
      <c r="I37" s="15" t="s">
        <v>67</v>
      </c>
      <c r="J37" s="15"/>
      <c r="Q37" s="19">
        <v>35</v>
      </c>
      <c r="R37" s="19">
        <v>11005</v>
      </c>
      <c r="S37" s="19" t="s">
        <v>158</v>
      </c>
      <c r="T37" s="26">
        <v>102006157972</v>
      </c>
      <c r="U37" s="19">
        <v>5220211655</v>
      </c>
      <c r="V37" s="22">
        <v>45455</v>
      </c>
      <c r="W37" s="19" t="s">
        <v>141</v>
      </c>
      <c r="X37" s="19" t="s">
        <v>115</v>
      </c>
      <c r="Y37" s="19"/>
    </row>
    <row r="38" spans="2:25" ht="21" x14ac:dyDescent="0.5">
      <c r="B38" s="9">
        <v>38</v>
      </c>
      <c r="C38" s="9">
        <v>11022</v>
      </c>
      <c r="D38" s="9" t="s">
        <v>73</v>
      </c>
      <c r="E38" s="10">
        <v>101467151132</v>
      </c>
      <c r="F38" s="9">
        <v>52189969327</v>
      </c>
      <c r="G38" s="11">
        <v>45457</v>
      </c>
      <c r="H38" s="9" t="s">
        <v>54</v>
      </c>
      <c r="I38" s="9" t="s">
        <v>35</v>
      </c>
      <c r="J38" s="2"/>
      <c r="Q38" s="19">
        <v>36</v>
      </c>
      <c r="R38" s="19">
        <v>11019</v>
      </c>
      <c r="S38" s="19" t="s">
        <v>159</v>
      </c>
      <c r="T38" s="26">
        <v>102088065435</v>
      </c>
      <c r="U38" s="19">
        <v>5221008820</v>
      </c>
      <c r="V38" s="22">
        <v>45458</v>
      </c>
      <c r="W38" s="28" t="s">
        <v>160</v>
      </c>
      <c r="X38" s="19" t="s">
        <v>115</v>
      </c>
      <c r="Y38" s="19"/>
    </row>
    <row r="39" spans="2:25" ht="21" x14ac:dyDescent="0.5">
      <c r="B39" s="15">
        <v>39</v>
      </c>
      <c r="C39" s="15">
        <v>11029</v>
      </c>
      <c r="D39" s="15" t="s">
        <v>74</v>
      </c>
      <c r="E39" s="51">
        <v>100776108439</v>
      </c>
      <c r="F39" s="15" t="s">
        <v>37</v>
      </c>
      <c r="G39" s="49">
        <v>45457</v>
      </c>
      <c r="H39" s="15" t="s">
        <v>54</v>
      </c>
      <c r="I39" s="15" t="s">
        <v>75</v>
      </c>
      <c r="J39" s="15"/>
      <c r="Q39" s="19">
        <v>37</v>
      </c>
      <c r="R39" s="19">
        <v>11018</v>
      </c>
      <c r="S39" s="19" t="s">
        <v>161</v>
      </c>
      <c r="T39" s="26">
        <v>101476637221</v>
      </c>
      <c r="U39" s="19">
        <v>5221008627</v>
      </c>
      <c r="V39" s="22">
        <v>45462</v>
      </c>
      <c r="W39" s="19" t="s">
        <v>162</v>
      </c>
      <c r="X39" s="19" t="s">
        <v>115</v>
      </c>
      <c r="Y39" s="19"/>
    </row>
    <row r="40" spans="2:25" ht="23" x14ac:dyDescent="0.5">
      <c r="B40" s="9">
        <v>40</v>
      </c>
      <c r="C40" s="9">
        <v>10992</v>
      </c>
      <c r="D40" s="9" t="s">
        <v>76</v>
      </c>
      <c r="E40" s="13">
        <v>102086306923</v>
      </c>
      <c r="F40" s="55">
        <v>5221035551</v>
      </c>
      <c r="G40" s="11">
        <v>45457</v>
      </c>
      <c r="H40" s="9" t="s">
        <v>10</v>
      </c>
      <c r="I40" s="9"/>
      <c r="J40" s="2" t="s">
        <v>77</v>
      </c>
      <c r="Q40" s="19">
        <v>38</v>
      </c>
      <c r="R40" s="19">
        <v>11004</v>
      </c>
      <c r="S40" s="19" t="s">
        <v>163</v>
      </c>
      <c r="T40" s="26">
        <v>101553902438</v>
      </c>
      <c r="U40" s="19">
        <v>5216318101</v>
      </c>
      <c r="V40" s="22">
        <v>45455</v>
      </c>
      <c r="W40" s="19" t="s">
        <v>141</v>
      </c>
      <c r="X40" s="19" t="s">
        <v>115</v>
      </c>
      <c r="Y40" s="19"/>
    </row>
    <row r="41" spans="2:25" ht="21" x14ac:dyDescent="0.5">
      <c r="B41" s="9">
        <v>41</v>
      </c>
      <c r="C41" s="9">
        <v>10991</v>
      </c>
      <c r="D41" s="9" t="s">
        <v>78</v>
      </c>
      <c r="E41" s="10">
        <v>100589905743</v>
      </c>
      <c r="F41" s="9">
        <v>5216831049</v>
      </c>
      <c r="G41" s="11">
        <v>45457</v>
      </c>
      <c r="H41" s="9" t="s">
        <v>54</v>
      </c>
      <c r="I41" s="9" t="s">
        <v>29</v>
      </c>
      <c r="J41" s="2" t="s">
        <v>77</v>
      </c>
      <c r="Q41" s="19">
        <v>39</v>
      </c>
      <c r="R41" s="19">
        <v>11014</v>
      </c>
      <c r="S41" s="19" t="s">
        <v>164</v>
      </c>
      <c r="T41" s="26">
        <v>102088023742</v>
      </c>
      <c r="U41" s="19">
        <v>5221010723</v>
      </c>
      <c r="V41" s="22">
        <v>45469</v>
      </c>
      <c r="W41" s="19" t="s">
        <v>141</v>
      </c>
      <c r="X41" s="19" t="s">
        <v>115</v>
      </c>
      <c r="Y41" s="19"/>
    </row>
    <row r="42" spans="2:25" ht="21" x14ac:dyDescent="0.5">
      <c r="B42" s="2">
        <v>42</v>
      </c>
      <c r="C42" s="2">
        <v>10994</v>
      </c>
      <c r="D42" s="2" t="s">
        <v>79</v>
      </c>
      <c r="E42" s="7">
        <v>101300040028</v>
      </c>
      <c r="F42" s="2">
        <v>5219949884</v>
      </c>
      <c r="G42" s="4">
        <v>45457</v>
      </c>
      <c r="H42" s="2" t="s">
        <v>54</v>
      </c>
      <c r="I42" s="2" t="s">
        <v>80</v>
      </c>
      <c r="J42" s="2"/>
      <c r="Q42" s="19">
        <v>40</v>
      </c>
      <c r="R42" s="19">
        <v>11012</v>
      </c>
      <c r="S42" s="19" t="s">
        <v>165</v>
      </c>
      <c r="T42" s="26">
        <v>102087998328</v>
      </c>
      <c r="U42" s="19">
        <v>5221010102</v>
      </c>
      <c r="V42" s="22">
        <v>45469</v>
      </c>
      <c r="W42" s="19" t="s">
        <v>120</v>
      </c>
      <c r="X42" s="19" t="s">
        <v>115</v>
      </c>
      <c r="Y42" s="19"/>
    </row>
    <row r="43" spans="2:25" ht="21" x14ac:dyDescent="0.5">
      <c r="B43" s="2">
        <v>43</v>
      </c>
      <c r="C43" s="2">
        <v>10995</v>
      </c>
      <c r="D43" s="2" t="s">
        <v>81</v>
      </c>
      <c r="E43" s="3">
        <v>101738087426</v>
      </c>
      <c r="F43" s="2">
        <v>5220154528</v>
      </c>
      <c r="G43" s="4">
        <v>45457</v>
      </c>
      <c r="H43" s="2" t="s">
        <v>54</v>
      </c>
      <c r="I43" s="2" t="s">
        <v>29</v>
      </c>
      <c r="J43" s="2"/>
      <c r="Q43" s="19">
        <v>41</v>
      </c>
      <c r="R43" s="19">
        <v>11015</v>
      </c>
      <c r="S43" s="19" t="s">
        <v>166</v>
      </c>
      <c r="T43" s="26">
        <v>102088031587</v>
      </c>
      <c r="U43" s="19">
        <v>5221010614</v>
      </c>
      <c r="V43" s="22">
        <v>45460</v>
      </c>
      <c r="W43" s="19" t="s">
        <v>141</v>
      </c>
      <c r="X43" s="19" t="s">
        <v>115</v>
      </c>
      <c r="Y43" s="19"/>
    </row>
    <row r="44" spans="2:25" ht="21" x14ac:dyDescent="0.5">
      <c r="B44" s="2">
        <v>44</v>
      </c>
      <c r="C44" s="2">
        <v>10996</v>
      </c>
      <c r="D44" s="5" t="s">
        <v>82</v>
      </c>
      <c r="E44" s="3">
        <v>101136622595</v>
      </c>
      <c r="F44" s="2">
        <v>5220167252</v>
      </c>
      <c r="G44" s="4">
        <v>45457</v>
      </c>
      <c r="H44" s="2" t="s">
        <v>54</v>
      </c>
      <c r="I44" s="2" t="s">
        <v>83</v>
      </c>
      <c r="J44" s="2"/>
      <c r="Q44" s="19">
        <v>42</v>
      </c>
      <c r="R44" s="19">
        <v>11007</v>
      </c>
      <c r="S44" s="19" t="s">
        <v>167</v>
      </c>
      <c r="T44" s="26">
        <v>102087866187</v>
      </c>
      <c r="U44" s="19">
        <v>5221011031</v>
      </c>
      <c r="V44" s="22">
        <v>45472</v>
      </c>
      <c r="W44" s="19" t="s">
        <v>120</v>
      </c>
      <c r="X44" s="19" t="s">
        <v>115</v>
      </c>
      <c r="Y44" s="29"/>
    </row>
    <row r="45" spans="2:25" ht="21" x14ac:dyDescent="0.5">
      <c r="B45" s="2">
        <v>45</v>
      </c>
      <c r="C45" s="2">
        <v>10997</v>
      </c>
      <c r="D45" s="2" t="s">
        <v>84</v>
      </c>
      <c r="E45" s="3">
        <v>101129929727</v>
      </c>
      <c r="F45" s="2">
        <v>5219844293</v>
      </c>
      <c r="G45" s="4">
        <v>45457</v>
      </c>
      <c r="H45" s="2" t="s">
        <v>54</v>
      </c>
      <c r="I45" s="2" t="s">
        <v>85</v>
      </c>
      <c r="J45" s="2"/>
      <c r="Q45" s="19">
        <v>43</v>
      </c>
      <c r="R45" s="19">
        <v>11008</v>
      </c>
      <c r="S45" s="19" t="s">
        <v>168</v>
      </c>
      <c r="T45" s="26">
        <v>101564757437</v>
      </c>
      <c r="U45" s="19">
        <v>5221013777</v>
      </c>
      <c r="V45" s="22">
        <v>45461</v>
      </c>
      <c r="W45" s="19" t="s">
        <v>169</v>
      </c>
      <c r="X45" s="19" t="s">
        <v>115</v>
      </c>
      <c r="Y45" s="29"/>
    </row>
    <row r="46" spans="2:25" ht="21" x14ac:dyDescent="0.5">
      <c r="B46" s="2">
        <v>46</v>
      </c>
      <c r="C46" s="2">
        <v>10998</v>
      </c>
      <c r="D46" s="5" t="s">
        <v>86</v>
      </c>
      <c r="E46" s="3">
        <v>101892177114</v>
      </c>
      <c r="F46" s="2">
        <v>5219179239</v>
      </c>
      <c r="G46" s="4">
        <v>45457</v>
      </c>
      <c r="H46" s="2" t="s">
        <v>54</v>
      </c>
      <c r="I46" s="2" t="s">
        <v>85</v>
      </c>
      <c r="J46" s="2"/>
      <c r="Q46" s="19">
        <v>44</v>
      </c>
      <c r="R46" s="19">
        <v>11034</v>
      </c>
      <c r="S46" s="19" t="s">
        <v>173</v>
      </c>
      <c r="T46" s="26">
        <v>102089120276</v>
      </c>
      <c r="U46" s="17">
        <v>5221027513</v>
      </c>
      <c r="V46" s="37">
        <v>45468</v>
      </c>
      <c r="W46" s="19" t="s">
        <v>120</v>
      </c>
      <c r="X46" s="19" t="s">
        <v>115</v>
      </c>
    </row>
    <row r="47" spans="2:25" ht="21" x14ac:dyDescent="0.5">
      <c r="B47" s="2">
        <v>47</v>
      </c>
      <c r="C47" s="2">
        <v>10999</v>
      </c>
      <c r="D47" s="2" t="s">
        <v>87</v>
      </c>
      <c r="E47" s="3">
        <v>101593955135</v>
      </c>
      <c r="F47" s="2">
        <v>5220029507</v>
      </c>
      <c r="G47" s="4">
        <v>45457</v>
      </c>
      <c r="H47" s="2" t="s">
        <v>54</v>
      </c>
      <c r="I47" s="2" t="s">
        <v>85</v>
      </c>
      <c r="J47" s="2"/>
      <c r="Q47" s="19">
        <v>45</v>
      </c>
      <c r="R47" s="43">
        <v>11038</v>
      </c>
      <c r="S47" s="19" t="s">
        <v>174</v>
      </c>
      <c r="T47" s="45">
        <v>101488673271</v>
      </c>
      <c r="U47" s="52">
        <v>5221034340</v>
      </c>
      <c r="V47" s="37">
        <v>45453</v>
      </c>
      <c r="W47" s="19" t="s">
        <v>175</v>
      </c>
      <c r="X47" s="19" t="s">
        <v>115</v>
      </c>
    </row>
    <row r="48" spans="2:25" ht="21" x14ac:dyDescent="0.5">
      <c r="B48" s="2">
        <v>48</v>
      </c>
      <c r="C48" s="2">
        <v>11000</v>
      </c>
      <c r="D48" s="5" t="s">
        <v>88</v>
      </c>
      <c r="E48" s="3">
        <v>101617561953</v>
      </c>
      <c r="F48" s="2">
        <v>5216831049</v>
      </c>
      <c r="G48" s="4">
        <v>45457</v>
      </c>
      <c r="H48" s="2" t="s">
        <v>54</v>
      </c>
      <c r="I48" s="2" t="s">
        <v>89</v>
      </c>
      <c r="J48" s="2"/>
      <c r="Q48" s="19">
        <v>46</v>
      </c>
      <c r="R48" s="46">
        <v>11035</v>
      </c>
      <c r="S48" s="19" t="s">
        <v>176</v>
      </c>
      <c r="T48" s="44">
        <v>102089434481</v>
      </c>
      <c r="U48" s="17">
        <v>5221030026</v>
      </c>
      <c r="V48" s="37">
        <v>45461</v>
      </c>
      <c r="W48" s="43" t="s">
        <v>120</v>
      </c>
      <c r="X48" s="38"/>
    </row>
    <row r="49" spans="2:19" ht="21" x14ac:dyDescent="0.5">
      <c r="B49" s="2">
        <v>49</v>
      </c>
      <c r="C49" s="2">
        <v>11001</v>
      </c>
      <c r="D49" s="5" t="s">
        <v>88</v>
      </c>
      <c r="E49" s="3">
        <v>101974710875</v>
      </c>
      <c r="F49" s="2">
        <v>5219953884</v>
      </c>
      <c r="G49" s="4">
        <v>45457</v>
      </c>
      <c r="H49" s="2" t="s">
        <v>54</v>
      </c>
      <c r="I49" s="2" t="s">
        <v>35</v>
      </c>
      <c r="J49" s="2"/>
      <c r="Q49" s="36"/>
      <c r="S49" s="36"/>
    </row>
    <row r="50" spans="2:19" ht="21" x14ac:dyDescent="0.5">
      <c r="B50" s="2">
        <v>50</v>
      </c>
      <c r="C50" s="2">
        <v>11002</v>
      </c>
      <c r="D50" s="2" t="s">
        <v>90</v>
      </c>
      <c r="E50" s="3">
        <v>101974710875</v>
      </c>
      <c r="F50" s="2">
        <v>5218632918</v>
      </c>
      <c r="G50" s="4">
        <v>45457</v>
      </c>
      <c r="H50" s="2" t="s">
        <v>54</v>
      </c>
      <c r="I50" s="2" t="s">
        <v>91</v>
      </c>
      <c r="J50" s="2"/>
    </row>
    <row r="51" spans="2:19" ht="21" x14ac:dyDescent="0.5">
      <c r="B51" s="2">
        <v>51</v>
      </c>
      <c r="C51" s="2">
        <v>10093</v>
      </c>
      <c r="D51" s="2" t="s">
        <v>92</v>
      </c>
      <c r="E51" s="7">
        <v>101274362476</v>
      </c>
      <c r="F51" s="2">
        <v>5216692103</v>
      </c>
      <c r="G51" s="11">
        <v>45457</v>
      </c>
      <c r="H51" s="9" t="s">
        <v>54</v>
      </c>
      <c r="I51" s="2" t="s">
        <v>93</v>
      </c>
      <c r="J51" s="2"/>
    </row>
    <row r="52" spans="2:19" ht="21" x14ac:dyDescent="0.5">
      <c r="B52" s="2">
        <v>52</v>
      </c>
      <c r="C52" s="2">
        <v>11006</v>
      </c>
      <c r="D52" s="2" t="s">
        <v>94</v>
      </c>
      <c r="E52" s="7">
        <v>101810439465</v>
      </c>
      <c r="F52" s="2">
        <v>5218428513</v>
      </c>
      <c r="G52" s="4">
        <v>45471</v>
      </c>
      <c r="H52" s="2" t="s">
        <v>95</v>
      </c>
      <c r="I52" s="2" t="s">
        <v>44</v>
      </c>
      <c r="J52" s="8"/>
    </row>
    <row r="53" spans="2:19" ht="21" x14ac:dyDescent="0.5">
      <c r="B53" s="2">
        <v>53</v>
      </c>
      <c r="C53" s="2">
        <v>11021</v>
      </c>
      <c r="D53" s="2" t="s">
        <v>96</v>
      </c>
      <c r="E53" s="7">
        <v>102088242004</v>
      </c>
      <c r="F53" s="2">
        <v>5221021457</v>
      </c>
      <c r="G53" s="4">
        <v>45469</v>
      </c>
      <c r="H53" s="2" t="s">
        <v>97</v>
      </c>
      <c r="I53" s="2" t="s">
        <v>11</v>
      </c>
      <c r="J53" s="8"/>
    </row>
    <row r="54" spans="2:19" ht="21" x14ac:dyDescent="0.5">
      <c r="B54" s="2">
        <v>54</v>
      </c>
      <c r="C54" s="2">
        <v>11023</v>
      </c>
      <c r="D54" s="2" t="s">
        <v>98</v>
      </c>
      <c r="E54" s="3">
        <v>101807637362</v>
      </c>
      <c r="F54" s="2">
        <v>5219949839</v>
      </c>
      <c r="G54" s="4">
        <v>45457</v>
      </c>
      <c r="H54" s="9" t="s">
        <v>54</v>
      </c>
      <c r="I54" s="2" t="s">
        <v>85</v>
      </c>
      <c r="J54" s="8"/>
    </row>
    <row r="55" spans="2:19" ht="21" x14ac:dyDescent="0.5">
      <c r="B55" s="2">
        <v>55</v>
      </c>
      <c r="C55" s="2">
        <v>11024</v>
      </c>
      <c r="D55" s="2" t="s">
        <v>99</v>
      </c>
      <c r="E55" s="7">
        <v>102044342511</v>
      </c>
      <c r="F55" s="2">
        <v>5220829704</v>
      </c>
      <c r="G55" s="4">
        <v>45457</v>
      </c>
      <c r="H55" s="9" t="s">
        <v>54</v>
      </c>
      <c r="I55" s="2" t="s">
        <v>100</v>
      </c>
      <c r="J55" s="8"/>
    </row>
    <row r="56" spans="2:19" ht="21" x14ac:dyDescent="0.5">
      <c r="B56" s="2">
        <v>56</v>
      </c>
      <c r="C56" s="2">
        <v>11025</v>
      </c>
      <c r="D56" s="2" t="s">
        <v>101</v>
      </c>
      <c r="E56" s="7">
        <v>101710867497</v>
      </c>
      <c r="F56" s="2">
        <v>5221020110</v>
      </c>
      <c r="G56" s="4">
        <v>45470</v>
      </c>
      <c r="H56" s="9" t="s">
        <v>54</v>
      </c>
      <c r="I56" s="2" t="s">
        <v>102</v>
      </c>
      <c r="J56" s="8"/>
    </row>
    <row r="57" spans="2:19" ht="21" x14ac:dyDescent="0.5">
      <c r="B57" s="2">
        <v>57</v>
      </c>
      <c r="C57" s="2">
        <v>11026</v>
      </c>
      <c r="D57" s="2" t="s">
        <v>103</v>
      </c>
      <c r="E57" s="7">
        <v>101807637370</v>
      </c>
      <c r="F57" s="2">
        <v>5220167975</v>
      </c>
      <c r="G57" s="4">
        <v>45469</v>
      </c>
      <c r="H57" s="9" t="s">
        <v>54</v>
      </c>
      <c r="I57" s="2" t="s">
        <v>44</v>
      </c>
      <c r="J57" s="8"/>
    </row>
    <row r="58" spans="2:19" ht="21" x14ac:dyDescent="0.5">
      <c r="B58" s="2">
        <v>58</v>
      </c>
      <c r="C58" s="2">
        <v>11028</v>
      </c>
      <c r="D58" s="2" t="s">
        <v>104</v>
      </c>
      <c r="E58" s="7">
        <v>101632172914</v>
      </c>
      <c r="F58" s="2">
        <v>5220726427</v>
      </c>
      <c r="G58" s="4">
        <v>45457</v>
      </c>
      <c r="H58" s="9" t="s">
        <v>54</v>
      </c>
      <c r="I58" s="2" t="s">
        <v>44</v>
      </c>
      <c r="J58" s="8"/>
    </row>
    <row r="59" spans="2:19" ht="21" x14ac:dyDescent="0.5">
      <c r="B59" s="2">
        <v>59</v>
      </c>
      <c r="C59" s="2">
        <v>11030</v>
      </c>
      <c r="D59" s="2" t="s">
        <v>105</v>
      </c>
      <c r="E59" s="7">
        <v>101195365890</v>
      </c>
      <c r="F59" s="2">
        <v>5218814959</v>
      </c>
      <c r="G59" s="4">
        <v>45457</v>
      </c>
      <c r="H59" s="9" t="s">
        <v>54</v>
      </c>
      <c r="I59" s="2" t="s">
        <v>17</v>
      </c>
      <c r="J59" s="8"/>
    </row>
    <row r="60" spans="2:19" ht="21" x14ac:dyDescent="0.5">
      <c r="B60" s="2">
        <v>60</v>
      </c>
      <c r="C60" s="2">
        <v>10990</v>
      </c>
      <c r="D60" s="15" t="s">
        <v>106</v>
      </c>
      <c r="E60" s="7">
        <v>101881581733</v>
      </c>
      <c r="F60" s="16">
        <v>5221025207</v>
      </c>
      <c r="G60" s="4">
        <v>45457</v>
      </c>
      <c r="H60" s="9" t="s">
        <v>54</v>
      </c>
      <c r="I60" s="2" t="s">
        <v>35</v>
      </c>
      <c r="J60" s="8"/>
    </row>
    <row r="61" spans="2:19" ht="21" x14ac:dyDescent="0.5">
      <c r="B61" s="2">
        <v>61</v>
      </c>
      <c r="C61" s="2">
        <v>11032</v>
      </c>
      <c r="D61" s="2" t="s">
        <v>107</v>
      </c>
      <c r="E61" s="7">
        <v>101760846764</v>
      </c>
      <c r="F61" s="2">
        <v>5219949923</v>
      </c>
      <c r="G61" s="4">
        <v>45457</v>
      </c>
      <c r="H61" s="9" t="s">
        <v>54</v>
      </c>
      <c r="I6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E10"/>
  <sheetViews>
    <sheetView workbookViewId="0"/>
  </sheetViews>
  <sheetFormatPr defaultRowHeight="14.5" x14ac:dyDescent="0.35"/>
  <sheetData>
    <row r="7" spans="4:5" ht="15" thickBot="1" x14ac:dyDescent="0.4"/>
    <row r="8" spans="4:5" ht="80.5" thickBot="1" x14ac:dyDescent="0.4">
      <c r="D8" s="30" t="s">
        <v>170</v>
      </c>
      <c r="E8" s="31">
        <v>46</v>
      </c>
    </row>
    <row r="9" spans="4:5" ht="80.5" thickBot="1" x14ac:dyDescent="0.4">
      <c r="D9" s="32" t="s">
        <v>171</v>
      </c>
      <c r="E9" s="33">
        <v>61</v>
      </c>
    </row>
    <row r="10" spans="4:5" ht="32.5" thickBot="1" x14ac:dyDescent="0.4">
      <c r="D10" s="34" t="s">
        <v>172</v>
      </c>
      <c r="E10" s="35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23"/>
  <sheetViews>
    <sheetView workbookViewId="0"/>
  </sheetViews>
  <sheetFormatPr defaultRowHeight="14.5" x14ac:dyDescent="0.35"/>
  <sheetData>
    <row r="1" spans="2:38" x14ac:dyDescent="0.35">
      <c r="B1" s="374" t="s">
        <v>203</v>
      </c>
      <c r="C1" s="374"/>
      <c r="D1" s="374"/>
      <c r="E1" s="374"/>
      <c r="F1" s="374"/>
      <c r="G1" s="374"/>
      <c r="H1" s="374"/>
      <c r="I1" s="374"/>
      <c r="J1" s="374"/>
    </row>
    <row r="2" spans="2:38" ht="21" x14ac:dyDescent="0.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M2" s="64" t="s">
        <v>0</v>
      </c>
      <c r="N2" s="64" t="s">
        <v>108</v>
      </c>
      <c r="O2" s="64" t="s">
        <v>109</v>
      </c>
      <c r="P2" s="64" t="s">
        <v>3</v>
      </c>
      <c r="Q2" s="64" t="s">
        <v>4</v>
      </c>
      <c r="R2" s="64" t="s">
        <v>110</v>
      </c>
      <c r="S2" s="64" t="s">
        <v>111</v>
      </c>
      <c r="T2" s="64" t="s">
        <v>112</v>
      </c>
      <c r="U2" s="64" t="s">
        <v>8</v>
      </c>
      <c r="V2" s="59"/>
      <c r="W2" s="59"/>
      <c r="X2" s="59"/>
      <c r="Y2" s="59"/>
      <c r="AC2" s="59"/>
      <c r="AD2" s="59"/>
      <c r="AE2" s="59"/>
      <c r="AF2" s="59"/>
      <c r="AG2" s="59"/>
      <c r="AH2" s="59"/>
      <c r="AI2" s="59"/>
      <c r="AJ2" s="59"/>
      <c r="AK2" s="59"/>
    </row>
    <row r="3" spans="2:38" ht="18.5" x14ac:dyDescent="0.45">
      <c r="B3" s="66">
        <v>1</v>
      </c>
      <c r="C3" s="66">
        <v>11046</v>
      </c>
      <c r="D3" s="66" t="s">
        <v>178</v>
      </c>
      <c r="E3" s="67">
        <v>101166095986</v>
      </c>
      <c r="F3" s="66" t="s">
        <v>37</v>
      </c>
      <c r="G3" s="68">
        <v>45476</v>
      </c>
      <c r="H3" s="66" t="s">
        <v>179</v>
      </c>
      <c r="I3" s="66" t="s">
        <v>17</v>
      </c>
      <c r="J3" s="66"/>
      <c r="M3" s="43">
        <v>1</v>
      </c>
      <c r="N3" s="43">
        <v>11043</v>
      </c>
      <c r="O3" s="43" t="s">
        <v>187</v>
      </c>
      <c r="P3" s="63">
        <v>102090573913</v>
      </c>
      <c r="Q3" s="43">
        <v>5221041361</v>
      </c>
      <c r="R3" s="56">
        <v>45474</v>
      </c>
      <c r="S3" s="43" t="s">
        <v>188</v>
      </c>
      <c r="T3" s="43" t="s">
        <v>189</v>
      </c>
      <c r="U3" s="43"/>
      <c r="V3" s="60"/>
      <c r="W3" s="58"/>
      <c r="X3" s="58"/>
      <c r="Y3" s="58"/>
      <c r="AC3" s="58"/>
      <c r="AD3" s="58"/>
      <c r="AE3" s="58"/>
      <c r="AF3" s="57"/>
      <c r="AG3" s="58"/>
      <c r="AH3" s="60"/>
      <c r="AI3" s="58"/>
      <c r="AJ3" s="58"/>
      <c r="AK3" s="58"/>
      <c r="AL3" s="58"/>
    </row>
    <row r="4" spans="2:38" ht="18.5" x14ac:dyDescent="0.45">
      <c r="B4" s="66">
        <v>3</v>
      </c>
      <c r="C4" s="66">
        <v>11042</v>
      </c>
      <c r="D4" s="66" t="s">
        <v>180</v>
      </c>
      <c r="E4" s="67">
        <v>101166095986</v>
      </c>
      <c r="F4" s="66">
        <v>5219935371</v>
      </c>
      <c r="G4" s="68">
        <v>45474</v>
      </c>
      <c r="H4" s="66" t="s">
        <v>181</v>
      </c>
      <c r="I4" s="66"/>
      <c r="J4" s="66"/>
      <c r="M4" s="43">
        <v>2</v>
      </c>
      <c r="N4" s="43">
        <v>11051</v>
      </c>
      <c r="O4" s="43" t="s">
        <v>191</v>
      </c>
      <c r="P4" s="62">
        <v>101186719635</v>
      </c>
      <c r="Q4" s="43">
        <v>5219277704</v>
      </c>
      <c r="R4" s="56">
        <v>45485</v>
      </c>
      <c r="S4" s="43" t="s">
        <v>190</v>
      </c>
      <c r="T4" s="43" t="s">
        <v>189</v>
      </c>
      <c r="U4" s="38"/>
    </row>
    <row r="5" spans="2:38" ht="18.5" x14ac:dyDescent="0.45">
      <c r="B5" s="66">
        <f>1+3</f>
        <v>4</v>
      </c>
      <c r="C5" s="66">
        <v>11045</v>
      </c>
      <c r="D5" s="66" t="s">
        <v>182</v>
      </c>
      <c r="E5" s="67">
        <v>101504129359</v>
      </c>
      <c r="F5" s="66" t="s">
        <v>37</v>
      </c>
      <c r="G5" s="68">
        <v>45474</v>
      </c>
      <c r="H5" s="66" t="s">
        <v>183</v>
      </c>
      <c r="I5" s="66" t="s">
        <v>184</v>
      </c>
      <c r="J5" s="66"/>
      <c r="M5" s="43">
        <v>3</v>
      </c>
      <c r="N5" s="43">
        <v>11053</v>
      </c>
      <c r="O5" s="43" t="s">
        <v>192</v>
      </c>
      <c r="P5" s="62">
        <v>101273125424</v>
      </c>
      <c r="Q5" s="43">
        <v>5219461256</v>
      </c>
      <c r="R5" s="56">
        <v>45475</v>
      </c>
      <c r="S5" s="43" t="s">
        <v>190</v>
      </c>
      <c r="T5" s="43" t="s">
        <v>189</v>
      </c>
      <c r="U5" s="38"/>
    </row>
    <row r="6" spans="2:38" ht="18.5" x14ac:dyDescent="0.45">
      <c r="B6" s="66">
        <v>5</v>
      </c>
      <c r="C6" s="66">
        <v>11055</v>
      </c>
      <c r="D6" s="66" t="s">
        <v>185</v>
      </c>
      <c r="E6" s="66">
        <v>10209727202</v>
      </c>
      <c r="F6" s="65">
        <v>5221102999</v>
      </c>
      <c r="G6" s="68">
        <v>45479</v>
      </c>
      <c r="H6" s="66" t="s">
        <v>17</v>
      </c>
      <c r="I6" s="66" t="s">
        <v>186</v>
      </c>
      <c r="J6" s="66"/>
      <c r="M6" s="43">
        <v>4</v>
      </c>
      <c r="N6" s="43">
        <v>11052</v>
      </c>
      <c r="O6" s="43" t="s">
        <v>194</v>
      </c>
      <c r="P6" s="62">
        <v>102096379760</v>
      </c>
      <c r="Q6" s="43">
        <v>5221090561</v>
      </c>
      <c r="R6" s="56">
        <v>45483</v>
      </c>
      <c r="S6" s="43" t="s">
        <v>193</v>
      </c>
      <c r="T6" s="43" t="s">
        <v>189</v>
      </c>
      <c r="U6" s="38"/>
      <c r="AF6" s="61"/>
    </row>
    <row r="7" spans="2:38" ht="18.5" x14ac:dyDescent="0.45">
      <c r="B7" s="66">
        <v>6</v>
      </c>
      <c r="C7" s="66">
        <v>11056</v>
      </c>
      <c r="D7" s="66" t="s">
        <v>195</v>
      </c>
      <c r="E7" s="67">
        <v>102097292437</v>
      </c>
      <c r="F7" s="66">
        <v>5221104073</v>
      </c>
      <c r="G7" s="68">
        <v>45477</v>
      </c>
      <c r="H7" s="66" t="s">
        <v>202</v>
      </c>
      <c r="I7" s="66" t="s">
        <v>93</v>
      </c>
      <c r="J7" s="66"/>
      <c r="M7" s="43">
        <v>5</v>
      </c>
      <c r="N7" s="43">
        <v>11062</v>
      </c>
      <c r="O7" s="43" t="s">
        <v>216</v>
      </c>
      <c r="P7" s="62">
        <v>102013199986</v>
      </c>
      <c r="Q7" s="38"/>
      <c r="R7" s="56">
        <v>45476</v>
      </c>
      <c r="S7" s="43" t="s">
        <v>141</v>
      </c>
      <c r="T7" s="43" t="s">
        <v>189</v>
      </c>
      <c r="U7" s="38" t="s">
        <v>229</v>
      </c>
    </row>
    <row r="8" spans="2:38" ht="19" x14ac:dyDescent="0.45">
      <c r="B8" s="66">
        <v>7</v>
      </c>
      <c r="C8" s="66">
        <v>11064</v>
      </c>
      <c r="D8" s="66" t="s">
        <v>200</v>
      </c>
      <c r="E8" s="69">
        <v>101591489642</v>
      </c>
      <c r="F8" s="65">
        <v>5221134976</v>
      </c>
      <c r="G8" s="68">
        <v>45483</v>
      </c>
      <c r="H8" s="66" t="s">
        <v>215</v>
      </c>
      <c r="I8" s="66" t="s">
        <v>17</v>
      </c>
      <c r="J8" s="66"/>
      <c r="M8" s="43">
        <v>6</v>
      </c>
      <c r="N8" s="43">
        <v>11066</v>
      </c>
      <c r="O8" s="43" t="s">
        <v>219</v>
      </c>
      <c r="P8" s="62">
        <v>101420924099</v>
      </c>
      <c r="Q8" s="43">
        <v>5215336989</v>
      </c>
      <c r="R8" s="56">
        <v>45483</v>
      </c>
      <c r="S8" s="43" t="s">
        <v>117</v>
      </c>
      <c r="T8" s="43" t="s">
        <v>189</v>
      </c>
      <c r="U8" s="38"/>
    </row>
    <row r="9" spans="2:38" ht="18.5" x14ac:dyDescent="0.45">
      <c r="B9" s="66">
        <v>8</v>
      </c>
      <c r="C9" s="66">
        <v>11048</v>
      </c>
      <c r="D9" s="66" t="s">
        <v>196</v>
      </c>
      <c r="E9" s="67">
        <v>102094942706</v>
      </c>
      <c r="F9" s="66">
        <v>5221071858</v>
      </c>
      <c r="G9" s="68">
        <v>45481</v>
      </c>
      <c r="H9" s="66" t="s">
        <v>181</v>
      </c>
      <c r="I9" s="66" t="s">
        <v>197</v>
      </c>
      <c r="J9" s="66"/>
      <c r="M9" s="43">
        <v>7</v>
      </c>
      <c r="N9" s="43">
        <v>11067</v>
      </c>
      <c r="O9" s="43" t="s">
        <v>220</v>
      </c>
      <c r="P9" s="62">
        <v>101545856369</v>
      </c>
      <c r="Q9" s="43">
        <v>5220020166</v>
      </c>
      <c r="R9" s="56">
        <v>45488</v>
      </c>
      <c r="S9" s="43" t="s">
        <v>221</v>
      </c>
      <c r="T9" s="43" t="s">
        <v>189</v>
      </c>
      <c r="U9" s="38" t="s">
        <v>229</v>
      </c>
    </row>
    <row r="10" spans="2:38" ht="18.5" x14ac:dyDescent="0.45">
      <c r="B10" s="66">
        <v>9</v>
      </c>
      <c r="C10" s="66">
        <v>11054</v>
      </c>
      <c r="D10" s="66" t="s">
        <v>198</v>
      </c>
      <c r="E10" s="67">
        <v>100663842254</v>
      </c>
      <c r="F10" s="66">
        <v>5218368876</v>
      </c>
      <c r="G10" s="68">
        <v>45488</v>
      </c>
      <c r="H10" s="66" t="s">
        <v>199</v>
      </c>
      <c r="I10" s="66" t="s">
        <v>41</v>
      </c>
      <c r="J10" s="66"/>
      <c r="M10" s="43">
        <v>8</v>
      </c>
      <c r="N10" s="43">
        <v>11069</v>
      </c>
      <c r="O10" s="38" t="s">
        <v>222</v>
      </c>
      <c r="P10" s="45">
        <v>101852393137</v>
      </c>
      <c r="Q10" s="38"/>
      <c r="R10" s="56">
        <v>45483</v>
      </c>
      <c r="S10" s="43" t="s">
        <v>223</v>
      </c>
      <c r="T10" s="43" t="s">
        <v>189</v>
      </c>
      <c r="U10" s="38" t="s">
        <v>231</v>
      </c>
    </row>
    <row r="11" spans="2:38" ht="18.5" x14ac:dyDescent="0.45">
      <c r="B11" s="66">
        <v>10</v>
      </c>
      <c r="C11" s="66">
        <v>11057</v>
      </c>
      <c r="D11" s="66" t="s">
        <v>201</v>
      </c>
      <c r="E11" s="67">
        <v>101303655148</v>
      </c>
      <c r="F11" s="66">
        <v>5214540809</v>
      </c>
      <c r="G11" s="68">
        <v>45481</v>
      </c>
      <c r="H11" s="66" t="s">
        <v>179</v>
      </c>
      <c r="I11" s="66" t="s">
        <v>41</v>
      </c>
      <c r="J11" s="66"/>
      <c r="M11" s="43">
        <v>9</v>
      </c>
      <c r="N11" s="43">
        <v>11068</v>
      </c>
      <c r="O11" s="43" t="s">
        <v>224</v>
      </c>
      <c r="P11" s="62">
        <v>101563798821</v>
      </c>
      <c r="Q11" s="43"/>
      <c r="R11" s="56">
        <v>45491</v>
      </c>
      <c r="S11" s="43" t="s">
        <v>225</v>
      </c>
      <c r="T11" s="43" t="s">
        <v>189</v>
      </c>
      <c r="U11" s="38" t="s">
        <v>230</v>
      </c>
    </row>
    <row r="12" spans="2:38" ht="18.5" x14ac:dyDescent="0.45">
      <c r="B12" s="66">
        <v>11</v>
      </c>
      <c r="C12" s="66">
        <v>11058</v>
      </c>
      <c r="D12" s="66" t="s">
        <v>204</v>
      </c>
      <c r="E12" s="67">
        <v>101818246573</v>
      </c>
      <c r="F12" s="66">
        <v>5218246573</v>
      </c>
      <c r="G12" s="68">
        <v>45498</v>
      </c>
      <c r="H12" s="66" t="s">
        <v>210</v>
      </c>
      <c r="I12" s="66" t="s">
        <v>211</v>
      </c>
      <c r="J12" s="66"/>
      <c r="M12" s="43">
        <v>10</v>
      </c>
      <c r="N12" s="43"/>
      <c r="O12" s="43" t="s">
        <v>226</v>
      </c>
      <c r="P12" s="43"/>
      <c r="Q12" s="43"/>
      <c r="R12" s="43"/>
      <c r="S12" s="43"/>
      <c r="T12" s="43"/>
      <c r="U12" s="38"/>
    </row>
    <row r="13" spans="2:38" ht="18.5" x14ac:dyDescent="0.45">
      <c r="B13" s="66">
        <v>12</v>
      </c>
      <c r="C13" s="66">
        <v>11059</v>
      </c>
      <c r="D13" s="66" t="s">
        <v>205</v>
      </c>
      <c r="E13" s="67">
        <v>101250929560</v>
      </c>
      <c r="F13" s="66">
        <v>5220464644</v>
      </c>
      <c r="G13" s="68">
        <v>45483</v>
      </c>
      <c r="H13" s="66" t="s">
        <v>209</v>
      </c>
      <c r="I13" s="66" t="s">
        <v>206</v>
      </c>
      <c r="J13" s="66"/>
      <c r="M13" s="38"/>
      <c r="N13" s="38"/>
      <c r="O13" s="38"/>
      <c r="P13" s="38"/>
      <c r="Q13" s="38"/>
      <c r="R13" s="38"/>
      <c r="S13" s="38"/>
      <c r="T13" s="38"/>
      <c r="U13" s="38"/>
    </row>
    <row r="14" spans="2:38" ht="18.5" x14ac:dyDescent="0.45">
      <c r="B14" s="66">
        <v>13</v>
      </c>
      <c r="C14" s="66">
        <v>11060</v>
      </c>
      <c r="D14" s="66" t="s">
        <v>207</v>
      </c>
      <c r="E14" s="67">
        <v>101515921794</v>
      </c>
      <c r="F14" s="66">
        <v>5221123660</v>
      </c>
      <c r="G14" s="68">
        <v>45502</v>
      </c>
      <c r="H14" s="66" t="s">
        <v>208</v>
      </c>
      <c r="I14" s="66" t="s">
        <v>35</v>
      </c>
      <c r="J14" s="70"/>
      <c r="M14" s="38"/>
      <c r="N14" s="38"/>
      <c r="O14" s="38"/>
      <c r="P14" s="38"/>
      <c r="Q14" s="38"/>
      <c r="R14" s="38"/>
      <c r="S14" s="38"/>
      <c r="T14" s="38"/>
      <c r="U14" s="38"/>
    </row>
    <row r="15" spans="2:38" ht="18.5" x14ac:dyDescent="0.45">
      <c r="B15" s="66">
        <v>14</v>
      </c>
      <c r="C15" s="66">
        <v>11063</v>
      </c>
      <c r="D15" s="66" t="s">
        <v>212</v>
      </c>
      <c r="E15" s="67">
        <v>101298850073</v>
      </c>
      <c r="F15" s="66">
        <v>5214505035</v>
      </c>
      <c r="G15" s="68">
        <v>45499</v>
      </c>
      <c r="H15" s="70" t="s">
        <v>214</v>
      </c>
      <c r="I15" s="70" t="s">
        <v>25</v>
      </c>
      <c r="J15" s="70"/>
      <c r="M15" s="38"/>
      <c r="N15" s="38"/>
      <c r="O15" s="38"/>
      <c r="P15" s="38"/>
      <c r="Q15" s="38"/>
      <c r="R15" s="38"/>
      <c r="S15" s="38"/>
      <c r="T15" s="38"/>
      <c r="U15" s="38"/>
    </row>
    <row r="16" spans="2:38" ht="18.5" x14ac:dyDescent="0.45">
      <c r="B16" s="66">
        <v>15</v>
      </c>
      <c r="C16" s="66">
        <v>11061</v>
      </c>
      <c r="D16" s="66" t="s">
        <v>213</v>
      </c>
      <c r="E16" s="67">
        <v>101185696274</v>
      </c>
      <c r="F16" s="65">
        <v>5221137964</v>
      </c>
      <c r="G16" s="68">
        <v>45485</v>
      </c>
      <c r="H16" s="66" t="s">
        <v>215</v>
      </c>
      <c r="I16" s="70" t="s">
        <v>17</v>
      </c>
      <c r="J16" s="70"/>
      <c r="M16" s="38"/>
      <c r="N16" s="38"/>
      <c r="O16" s="38"/>
      <c r="P16" s="38"/>
      <c r="Q16" s="38"/>
      <c r="R16" s="38"/>
      <c r="S16" s="38"/>
      <c r="T16" s="38"/>
      <c r="U16" s="38"/>
    </row>
    <row r="17" spans="2:21" ht="18.5" x14ac:dyDescent="0.45">
      <c r="B17" s="70"/>
      <c r="C17" s="70"/>
      <c r="D17" s="70"/>
      <c r="E17" s="70"/>
      <c r="F17" s="70"/>
      <c r="G17" s="70"/>
      <c r="H17" s="70"/>
      <c r="I17" s="70"/>
      <c r="J17" s="70"/>
      <c r="M17" s="38"/>
      <c r="N17" s="38"/>
      <c r="O17" s="38"/>
      <c r="P17" s="38"/>
      <c r="Q17" s="38"/>
      <c r="R17" s="38"/>
      <c r="S17" s="38"/>
      <c r="T17" s="38"/>
      <c r="U17" s="38"/>
    </row>
    <row r="18" spans="2:21" ht="18.5" x14ac:dyDescent="0.45">
      <c r="B18" s="70"/>
      <c r="C18" s="70"/>
      <c r="D18" s="70"/>
      <c r="E18" s="70"/>
      <c r="F18" s="70"/>
      <c r="G18" s="70"/>
      <c r="H18" s="70"/>
      <c r="I18" s="70"/>
      <c r="J18" s="70"/>
      <c r="M18" s="38"/>
      <c r="N18" s="38"/>
      <c r="O18" s="38"/>
      <c r="P18" s="38"/>
      <c r="Q18" s="38"/>
      <c r="R18" s="38"/>
      <c r="S18" s="38"/>
      <c r="T18" s="38"/>
      <c r="U18" s="38"/>
    </row>
    <row r="19" spans="2:21" x14ac:dyDescent="0.35">
      <c r="M19" s="38"/>
      <c r="N19" s="38"/>
      <c r="O19" s="38"/>
      <c r="P19" s="38"/>
      <c r="Q19" s="38"/>
      <c r="R19" s="38"/>
      <c r="S19" s="38"/>
      <c r="T19" s="38"/>
      <c r="U19" s="38"/>
    </row>
    <row r="20" spans="2:21" x14ac:dyDescent="0.35">
      <c r="M20" s="38"/>
      <c r="N20" s="38"/>
      <c r="O20" s="38"/>
      <c r="P20" s="38"/>
      <c r="Q20" s="38"/>
      <c r="R20" s="38"/>
      <c r="S20" s="38"/>
      <c r="T20" s="38"/>
      <c r="U20" s="38"/>
    </row>
    <row r="21" spans="2:21" x14ac:dyDescent="0.35">
      <c r="M21" s="38"/>
      <c r="N21" s="38"/>
      <c r="O21" s="38"/>
      <c r="P21" s="38"/>
      <c r="Q21" s="38"/>
      <c r="R21" s="38"/>
      <c r="S21" s="38"/>
      <c r="T21" s="38"/>
      <c r="U21" s="38"/>
    </row>
    <row r="22" spans="2:21" x14ac:dyDescent="0.35">
      <c r="M22" s="38"/>
      <c r="N22" s="38"/>
      <c r="O22" s="38"/>
      <c r="P22" s="38"/>
      <c r="Q22" s="38"/>
      <c r="R22" s="38"/>
      <c r="S22" s="38"/>
      <c r="T22" s="38"/>
      <c r="U22" s="38"/>
    </row>
    <row r="23" spans="2:21" x14ac:dyDescent="0.35">
      <c r="M23" s="38"/>
      <c r="N23" s="38"/>
      <c r="O23" s="38"/>
      <c r="P23" s="38"/>
      <c r="Q23" s="38"/>
      <c r="R23" s="38"/>
      <c r="S23" s="38"/>
      <c r="T23" s="38"/>
      <c r="U23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23"/>
  <sheetViews>
    <sheetView topLeftCell="A10" workbookViewId="0">
      <selection activeCell="D14" sqref="D14"/>
    </sheetView>
  </sheetViews>
  <sheetFormatPr defaultRowHeight="14.5" x14ac:dyDescent="0.35"/>
  <cols>
    <col min="4" max="4" width="28.81640625" bestFit="1" customWidth="1"/>
  </cols>
  <sheetData>
    <row r="2" spans="2:21" x14ac:dyDescent="0.35">
      <c r="B2" s="374" t="s">
        <v>203</v>
      </c>
      <c r="C2" s="374"/>
      <c r="D2" s="374"/>
      <c r="E2" s="374"/>
      <c r="F2" s="374"/>
      <c r="G2" s="374"/>
      <c r="H2" s="374"/>
      <c r="I2" s="374"/>
      <c r="J2" s="374"/>
      <c r="O2" s="374" t="s">
        <v>217</v>
      </c>
      <c r="P2" s="374"/>
      <c r="Q2" s="374"/>
      <c r="R2" s="374"/>
    </row>
    <row r="3" spans="2:21" ht="21" x14ac:dyDescent="0.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M3" s="64" t="s">
        <v>0</v>
      </c>
      <c r="N3" s="64" t="s">
        <v>108</v>
      </c>
      <c r="O3" s="64" t="s">
        <v>109</v>
      </c>
      <c r="P3" s="64" t="s">
        <v>3</v>
      </c>
      <c r="Q3" s="64" t="s">
        <v>4</v>
      </c>
      <c r="R3" s="64" t="s">
        <v>110</v>
      </c>
      <c r="S3" s="64" t="s">
        <v>111</v>
      </c>
      <c r="T3" s="64" t="s">
        <v>112</v>
      </c>
      <c r="U3" s="64" t="s">
        <v>8</v>
      </c>
    </row>
    <row r="4" spans="2:21" ht="15.5" x14ac:dyDescent="0.35">
      <c r="B4" s="78">
        <v>1</v>
      </c>
      <c r="C4" s="78">
        <v>11065</v>
      </c>
      <c r="D4" s="78" t="s">
        <v>218</v>
      </c>
      <c r="E4" s="79">
        <v>101560622587</v>
      </c>
      <c r="F4" s="78">
        <v>5216392291</v>
      </c>
      <c r="G4" s="80">
        <v>45505</v>
      </c>
      <c r="H4" s="78" t="s">
        <v>10</v>
      </c>
      <c r="I4" s="78" t="s">
        <v>17</v>
      </c>
      <c r="J4" s="78"/>
      <c r="M4" s="52">
        <v>1</v>
      </c>
      <c r="N4" s="52">
        <v>11079</v>
      </c>
      <c r="O4" s="52" t="s">
        <v>238</v>
      </c>
      <c r="P4" s="73">
        <v>101966903691</v>
      </c>
      <c r="Q4" s="52" t="s">
        <v>233</v>
      </c>
      <c r="R4" s="74">
        <v>45509</v>
      </c>
      <c r="S4" s="52" t="s">
        <v>239</v>
      </c>
      <c r="T4" s="52" t="s">
        <v>240</v>
      </c>
      <c r="U4" s="43"/>
    </row>
    <row r="5" spans="2:21" ht="15.5" x14ac:dyDescent="0.35">
      <c r="B5" s="78">
        <v>2</v>
      </c>
      <c r="C5" s="78">
        <v>11070</v>
      </c>
      <c r="D5" s="78" t="s">
        <v>227</v>
      </c>
      <c r="E5" s="83">
        <v>102101491796</v>
      </c>
      <c r="F5" s="78">
        <v>5221147588</v>
      </c>
      <c r="G5" s="80">
        <v>45507</v>
      </c>
      <c r="H5" s="78" t="s">
        <v>228</v>
      </c>
      <c r="I5" s="78" t="s">
        <v>35</v>
      </c>
      <c r="J5" s="78"/>
      <c r="M5" s="52">
        <v>2</v>
      </c>
      <c r="N5" s="52">
        <v>11080</v>
      </c>
      <c r="O5" s="52" t="s">
        <v>241</v>
      </c>
      <c r="P5" s="73">
        <v>101922562690</v>
      </c>
      <c r="Q5" s="52" t="s">
        <v>233</v>
      </c>
      <c r="R5" s="74">
        <v>45509</v>
      </c>
      <c r="S5" s="52" t="s">
        <v>239</v>
      </c>
      <c r="T5" s="52" t="s">
        <v>240</v>
      </c>
      <c r="U5" s="43"/>
    </row>
    <row r="6" spans="2:21" ht="15.5" x14ac:dyDescent="0.35">
      <c r="B6" s="78">
        <v>3</v>
      </c>
      <c r="C6" s="78">
        <v>11081</v>
      </c>
      <c r="D6" s="78" t="s">
        <v>232</v>
      </c>
      <c r="E6" s="79">
        <v>101623532692</v>
      </c>
      <c r="F6" s="78" t="s">
        <v>233</v>
      </c>
      <c r="G6" s="80">
        <v>45514</v>
      </c>
      <c r="H6" s="78" t="s">
        <v>234</v>
      </c>
      <c r="I6" s="78" t="s">
        <v>17</v>
      </c>
      <c r="J6" s="78"/>
      <c r="K6" s="58"/>
      <c r="M6" s="52">
        <v>3</v>
      </c>
      <c r="N6" s="52">
        <v>11084</v>
      </c>
      <c r="O6" s="52" t="s">
        <v>242</v>
      </c>
      <c r="P6" s="73">
        <v>100927265086</v>
      </c>
      <c r="Q6" s="52" t="s">
        <v>233</v>
      </c>
      <c r="R6" s="74">
        <v>45514</v>
      </c>
      <c r="S6" s="52" t="s">
        <v>239</v>
      </c>
      <c r="T6" s="52" t="s">
        <v>240</v>
      </c>
      <c r="U6" s="43"/>
    </row>
    <row r="7" spans="2:21" ht="15.5" x14ac:dyDescent="0.35">
      <c r="B7" s="78">
        <v>4</v>
      </c>
      <c r="C7" s="78">
        <v>11082</v>
      </c>
      <c r="D7" s="78" t="s">
        <v>235</v>
      </c>
      <c r="E7" s="79">
        <v>102084836155</v>
      </c>
      <c r="F7" s="78" t="s">
        <v>233</v>
      </c>
      <c r="G7" s="80">
        <v>45513</v>
      </c>
      <c r="H7" s="78" t="s">
        <v>236</v>
      </c>
      <c r="I7" s="78" t="s">
        <v>41</v>
      </c>
      <c r="J7" s="78"/>
      <c r="M7" s="52">
        <v>4</v>
      </c>
      <c r="N7" s="52">
        <v>11086</v>
      </c>
      <c r="O7" s="52" t="s">
        <v>243</v>
      </c>
      <c r="P7" s="73">
        <v>100834677250</v>
      </c>
      <c r="Q7" s="52">
        <v>5214741459</v>
      </c>
      <c r="R7" s="74">
        <v>45502</v>
      </c>
      <c r="S7" s="52" t="s">
        <v>244</v>
      </c>
      <c r="T7" s="52" t="s">
        <v>189</v>
      </c>
      <c r="U7" s="43"/>
    </row>
    <row r="8" spans="2:21" ht="15.5" x14ac:dyDescent="0.35">
      <c r="B8" s="78">
        <v>5</v>
      </c>
      <c r="C8" s="78">
        <v>11083</v>
      </c>
      <c r="D8" s="78" t="s">
        <v>265</v>
      </c>
      <c r="E8" s="79">
        <v>101851566222</v>
      </c>
      <c r="F8" s="84">
        <v>5221255055</v>
      </c>
      <c r="G8" s="80">
        <v>45511</v>
      </c>
      <c r="H8" s="78"/>
      <c r="I8" s="78" t="s">
        <v>35</v>
      </c>
      <c r="J8" s="78"/>
      <c r="K8" s="58"/>
      <c r="M8" s="52">
        <v>5</v>
      </c>
      <c r="N8" s="52">
        <v>11091</v>
      </c>
      <c r="O8" s="52" t="s">
        <v>245</v>
      </c>
      <c r="P8" s="71">
        <v>101270727649</v>
      </c>
      <c r="Q8" s="52">
        <v>5220618877</v>
      </c>
      <c r="R8" s="74">
        <v>45516</v>
      </c>
      <c r="S8" s="52" t="s">
        <v>120</v>
      </c>
      <c r="T8" s="52" t="s">
        <v>189</v>
      </c>
      <c r="U8" s="43"/>
    </row>
    <row r="9" spans="2:21" ht="15.5" x14ac:dyDescent="0.35">
      <c r="B9" s="78">
        <v>6</v>
      </c>
      <c r="C9" s="78">
        <v>11085</v>
      </c>
      <c r="D9" s="78" t="s">
        <v>237</v>
      </c>
      <c r="E9" s="79">
        <v>102106278535</v>
      </c>
      <c r="F9" s="78">
        <v>5221190739</v>
      </c>
      <c r="G9" s="78"/>
      <c r="H9" s="78" t="s">
        <v>210</v>
      </c>
      <c r="I9" s="78" t="s">
        <v>29</v>
      </c>
      <c r="J9" s="78"/>
      <c r="K9" s="58"/>
      <c r="M9" s="52">
        <v>6</v>
      </c>
      <c r="N9" s="52">
        <v>11073</v>
      </c>
      <c r="O9" s="52" t="s">
        <v>252</v>
      </c>
      <c r="P9" s="73">
        <v>101993415066</v>
      </c>
      <c r="Q9" s="75">
        <v>5221155467</v>
      </c>
      <c r="R9" s="74">
        <v>45474</v>
      </c>
      <c r="S9" s="52" t="s">
        <v>244</v>
      </c>
      <c r="T9" s="52" t="s">
        <v>269</v>
      </c>
      <c r="U9" s="38"/>
    </row>
    <row r="10" spans="2:21" ht="15.5" x14ac:dyDescent="0.35">
      <c r="B10" s="78">
        <v>7</v>
      </c>
      <c r="C10" s="78">
        <v>11088</v>
      </c>
      <c r="D10" s="78" t="s">
        <v>246</v>
      </c>
      <c r="E10" s="83">
        <v>102110478116</v>
      </c>
      <c r="F10" s="78">
        <v>5221207860</v>
      </c>
      <c r="G10" s="80">
        <v>45520</v>
      </c>
      <c r="H10" s="78" t="s">
        <v>215</v>
      </c>
      <c r="I10" s="78" t="s">
        <v>247</v>
      </c>
      <c r="J10" s="78"/>
      <c r="M10" s="52">
        <v>7</v>
      </c>
      <c r="N10" s="52">
        <v>11087</v>
      </c>
      <c r="O10" s="52" t="s">
        <v>275</v>
      </c>
      <c r="P10" s="73">
        <v>102109793745</v>
      </c>
      <c r="Q10" s="75">
        <v>5221216476</v>
      </c>
      <c r="R10" s="74">
        <v>45507</v>
      </c>
      <c r="S10" s="52" t="s">
        <v>175</v>
      </c>
      <c r="T10" s="52" t="s">
        <v>189</v>
      </c>
      <c r="U10" s="43"/>
    </row>
    <row r="11" spans="2:21" ht="15.5" x14ac:dyDescent="0.35">
      <c r="B11" s="78">
        <v>8</v>
      </c>
      <c r="C11" s="78">
        <v>11089</v>
      </c>
      <c r="D11" s="78" t="s">
        <v>271</v>
      </c>
      <c r="E11" s="83">
        <v>101501106365</v>
      </c>
      <c r="F11" s="78">
        <v>5221208169</v>
      </c>
      <c r="G11" s="80">
        <v>45516</v>
      </c>
      <c r="H11" s="78" t="s">
        <v>215</v>
      </c>
      <c r="I11" s="78" t="s">
        <v>17</v>
      </c>
      <c r="J11" s="78"/>
      <c r="M11" s="52">
        <v>8</v>
      </c>
      <c r="N11" s="76">
        <v>11100</v>
      </c>
      <c r="O11" s="52" t="s">
        <v>253</v>
      </c>
      <c r="P11" s="72">
        <v>102112812596</v>
      </c>
      <c r="Q11" s="75">
        <v>5221250584</v>
      </c>
      <c r="R11" s="74">
        <v>45474</v>
      </c>
      <c r="S11" s="52" t="s">
        <v>244</v>
      </c>
      <c r="T11" s="52" t="s">
        <v>189</v>
      </c>
      <c r="U11" s="38"/>
    </row>
    <row r="12" spans="2:21" ht="15.5" x14ac:dyDescent="0.35">
      <c r="B12" s="78">
        <v>9</v>
      </c>
      <c r="C12" s="78">
        <v>11090</v>
      </c>
      <c r="D12" s="78" t="s">
        <v>248</v>
      </c>
      <c r="E12" s="85">
        <v>102041819649</v>
      </c>
      <c r="F12" s="78">
        <v>5221208460</v>
      </c>
      <c r="G12" s="80">
        <v>45516</v>
      </c>
      <c r="H12" s="78" t="s">
        <v>208</v>
      </c>
      <c r="I12" s="78" t="s">
        <v>249</v>
      </c>
      <c r="J12" s="78"/>
      <c r="M12" s="52">
        <v>9</v>
      </c>
      <c r="N12" s="52">
        <v>11092</v>
      </c>
      <c r="O12" s="52" t="s">
        <v>254</v>
      </c>
      <c r="P12" s="72">
        <v>102111414562</v>
      </c>
      <c r="Q12" s="52" t="s">
        <v>268</v>
      </c>
      <c r="R12" s="74">
        <v>45510</v>
      </c>
      <c r="S12" s="52" t="s">
        <v>239</v>
      </c>
      <c r="T12" s="52" t="s">
        <v>240</v>
      </c>
      <c r="U12" s="38"/>
    </row>
    <row r="13" spans="2:21" ht="15.5" hidden="1" x14ac:dyDescent="0.35">
      <c r="B13" s="78">
        <v>10</v>
      </c>
      <c r="C13" s="78"/>
      <c r="D13" s="78" t="s">
        <v>250</v>
      </c>
      <c r="E13" s="81"/>
      <c r="F13" s="78">
        <v>5220373122</v>
      </c>
      <c r="G13" s="78"/>
      <c r="H13" s="78" t="s">
        <v>208</v>
      </c>
      <c r="I13" s="78" t="s">
        <v>249</v>
      </c>
      <c r="J13" s="78"/>
      <c r="M13" s="52">
        <v>10</v>
      </c>
      <c r="N13" s="52">
        <v>11102</v>
      </c>
      <c r="O13" s="52" t="s">
        <v>255</v>
      </c>
      <c r="P13" s="57">
        <v>101373347674</v>
      </c>
      <c r="Q13" s="52">
        <v>5218855102</v>
      </c>
      <c r="R13" s="74">
        <v>45456</v>
      </c>
      <c r="S13" s="52" t="s">
        <v>272</v>
      </c>
      <c r="T13" s="52" t="s">
        <v>189</v>
      </c>
      <c r="U13" s="38"/>
    </row>
    <row r="14" spans="2:21" ht="15.5" x14ac:dyDescent="0.35">
      <c r="B14" s="78">
        <v>10</v>
      </c>
      <c r="C14" s="78">
        <v>11097</v>
      </c>
      <c r="D14" s="78" t="s">
        <v>251</v>
      </c>
      <c r="E14" s="79">
        <v>102031497967</v>
      </c>
      <c r="F14" s="78">
        <v>4406638103</v>
      </c>
      <c r="G14" s="80">
        <v>45517</v>
      </c>
      <c r="H14" s="78" t="s">
        <v>208</v>
      </c>
      <c r="I14" s="78" t="s">
        <v>197</v>
      </c>
      <c r="J14" s="78"/>
      <c r="K14" s="58"/>
      <c r="M14" s="52">
        <v>11</v>
      </c>
      <c r="N14" s="52">
        <v>11098</v>
      </c>
      <c r="O14" s="52" t="s">
        <v>256</v>
      </c>
      <c r="P14" s="71">
        <v>102081894590</v>
      </c>
      <c r="Q14" s="75">
        <v>5221250076</v>
      </c>
      <c r="R14" s="74">
        <v>45518</v>
      </c>
      <c r="S14" s="52" t="s">
        <v>223</v>
      </c>
      <c r="T14" s="52" t="s">
        <v>189</v>
      </c>
      <c r="U14" s="38"/>
    </row>
    <row r="15" spans="2:21" ht="15.5" x14ac:dyDescent="0.35">
      <c r="B15" s="78">
        <v>11</v>
      </c>
      <c r="C15" s="78">
        <v>11103</v>
      </c>
      <c r="D15" s="78" t="s">
        <v>273</v>
      </c>
      <c r="E15" s="86">
        <v>101660953063</v>
      </c>
      <c r="F15" s="84" t="s">
        <v>281</v>
      </c>
      <c r="G15" s="80">
        <v>45525</v>
      </c>
      <c r="H15" s="78" t="s">
        <v>274</v>
      </c>
      <c r="I15" s="78"/>
      <c r="J15" s="78" t="s">
        <v>229</v>
      </c>
      <c r="M15" s="52">
        <v>12</v>
      </c>
      <c r="N15" s="52">
        <v>11092</v>
      </c>
      <c r="O15" s="76" t="s">
        <v>254</v>
      </c>
      <c r="P15" s="72">
        <v>102111414562</v>
      </c>
      <c r="Q15" s="52" t="s">
        <v>259</v>
      </c>
      <c r="R15" s="74">
        <v>45509</v>
      </c>
      <c r="S15" s="52" t="s">
        <v>239</v>
      </c>
      <c r="T15" s="52" t="s">
        <v>240</v>
      </c>
      <c r="U15" s="38"/>
    </row>
    <row r="16" spans="2:21" ht="15.5" x14ac:dyDescent="0.35">
      <c r="B16" s="78">
        <v>12</v>
      </c>
      <c r="C16" s="78">
        <v>11094</v>
      </c>
      <c r="D16" s="78" t="s">
        <v>257</v>
      </c>
      <c r="E16" s="85">
        <v>102108436846</v>
      </c>
      <c r="F16" s="84">
        <v>5221259086</v>
      </c>
      <c r="G16" s="80">
        <v>45531</v>
      </c>
      <c r="H16" s="78" t="s">
        <v>208</v>
      </c>
      <c r="I16" s="78" t="s">
        <v>262</v>
      </c>
      <c r="J16" s="78"/>
      <c r="M16" s="52">
        <v>13</v>
      </c>
      <c r="N16" s="52">
        <v>11093</v>
      </c>
      <c r="O16" s="52" t="s">
        <v>260</v>
      </c>
      <c r="P16" s="72">
        <v>100569320931</v>
      </c>
      <c r="Q16" s="53">
        <v>5221259178</v>
      </c>
      <c r="R16" s="74">
        <v>45518</v>
      </c>
      <c r="S16" s="52" t="s">
        <v>261</v>
      </c>
      <c r="T16" s="52" t="s">
        <v>189</v>
      </c>
      <c r="U16" s="38"/>
    </row>
    <row r="17" spans="2:21" ht="15.5" x14ac:dyDescent="0.35">
      <c r="B17" s="78">
        <v>13</v>
      </c>
      <c r="C17" s="78">
        <v>11095</v>
      </c>
      <c r="D17" s="78" t="s">
        <v>258</v>
      </c>
      <c r="E17" s="85">
        <v>102016512573</v>
      </c>
      <c r="F17" s="78">
        <v>5220329576</v>
      </c>
      <c r="G17" s="80">
        <v>45532</v>
      </c>
      <c r="H17" s="78" t="s">
        <v>263</v>
      </c>
      <c r="I17" s="78" t="s">
        <v>247</v>
      </c>
      <c r="J17" s="78"/>
      <c r="M17" s="52">
        <v>14</v>
      </c>
      <c r="N17" s="52">
        <v>11099</v>
      </c>
      <c r="O17" s="52" t="s">
        <v>267</v>
      </c>
      <c r="P17" s="72">
        <v>101038030588</v>
      </c>
      <c r="Q17" s="52">
        <v>5215427312</v>
      </c>
      <c r="R17" s="74">
        <v>45505</v>
      </c>
      <c r="S17" s="52" t="s">
        <v>266</v>
      </c>
      <c r="T17" s="52" t="s">
        <v>189</v>
      </c>
      <c r="U17" s="43"/>
    </row>
    <row r="18" spans="2:21" ht="16" thickBot="1" x14ac:dyDescent="0.4">
      <c r="B18" s="78">
        <v>14</v>
      </c>
      <c r="C18" s="78">
        <v>11096</v>
      </c>
      <c r="D18" s="78" t="s">
        <v>264</v>
      </c>
      <c r="E18" s="82">
        <v>100555877253</v>
      </c>
      <c r="F18" s="78">
        <v>5217031782</v>
      </c>
      <c r="G18" s="80">
        <v>45474</v>
      </c>
      <c r="H18" s="78"/>
      <c r="I18" s="78"/>
      <c r="J18" s="78"/>
      <c r="M18" s="43">
        <v>15</v>
      </c>
      <c r="N18" s="43">
        <v>11101</v>
      </c>
      <c r="O18" s="43" t="s">
        <v>270</v>
      </c>
      <c r="P18" s="57">
        <v>101287813144</v>
      </c>
      <c r="Q18" s="43">
        <v>5216087162</v>
      </c>
      <c r="R18" s="56">
        <v>45520</v>
      </c>
      <c r="S18" s="52" t="s">
        <v>266</v>
      </c>
      <c r="T18" s="52" t="s">
        <v>189</v>
      </c>
      <c r="U18" s="38"/>
    </row>
    <row r="19" spans="2:21" ht="16" thickBot="1" x14ac:dyDescent="0.4">
      <c r="B19" s="78">
        <v>15</v>
      </c>
      <c r="C19" s="78">
        <v>11071</v>
      </c>
      <c r="D19" s="87" t="s">
        <v>282</v>
      </c>
      <c r="E19" s="86">
        <v>102101650022</v>
      </c>
      <c r="F19" s="84">
        <v>5221148983</v>
      </c>
      <c r="G19" s="80">
        <v>45507</v>
      </c>
      <c r="H19" s="78"/>
      <c r="I19" s="78"/>
      <c r="J19" s="78"/>
      <c r="M19" s="43">
        <v>16</v>
      </c>
      <c r="N19" s="43">
        <v>11104</v>
      </c>
      <c r="O19" s="77" t="s">
        <v>283</v>
      </c>
      <c r="P19" s="47">
        <v>100987187358</v>
      </c>
      <c r="Q19" s="43">
        <v>5219835153</v>
      </c>
      <c r="R19" s="56">
        <v>45517</v>
      </c>
      <c r="S19" s="43" t="s">
        <v>284</v>
      </c>
      <c r="T19" s="52" t="s">
        <v>189</v>
      </c>
      <c r="U19" s="38"/>
    </row>
    <row r="20" spans="2:21" x14ac:dyDescent="0.35">
      <c r="B20" s="78">
        <v>16</v>
      </c>
      <c r="C20" s="78">
        <v>11105</v>
      </c>
      <c r="D20" s="87" t="s">
        <v>40</v>
      </c>
      <c r="E20" s="86">
        <v>102116523969</v>
      </c>
      <c r="F20" s="78"/>
      <c r="G20" s="80">
        <v>45505</v>
      </c>
      <c r="H20" s="78" t="s">
        <v>95</v>
      </c>
      <c r="I20" s="78"/>
      <c r="J20" s="78"/>
      <c r="M20" s="38">
        <v>17</v>
      </c>
      <c r="N20" s="43">
        <v>11102</v>
      </c>
      <c r="O20" s="43" t="s">
        <v>255</v>
      </c>
      <c r="P20" s="38"/>
      <c r="Q20" s="38"/>
      <c r="R20" s="38"/>
      <c r="S20" s="38"/>
      <c r="T20" s="38"/>
      <c r="U20" s="38"/>
    </row>
    <row r="21" spans="2:21" x14ac:dyDescent="0.35">
      <c r="B21" s="38"/>
      <c r="C21" s="38"/>
      <c r="D21" s="38"/>
      <c r="E21" s="38"/>
      <c r="F21" s="38"/>
      <c r="G21" s="38"/>
      <c r="H21" s="38"/>
      <c r="I21" s="38"/>
      <c r="J21" s="38"/>
      <c r="M21" s="38"/>
      <c r="N21" s="38"/>
      <c r="O21" s="88"/>
      <c r="P21" s="38"/>
      <c r="Q21" s="38"/>
      <c r="R21" s="38"/>
      <c r="S21" s="38"/>
      <c r="T21" s="38"/>
      <c r="U21" s="38"/>
    </row>
    <row r="22" spans="2:21" x14ac:dyDescent="0.35">
      <c r="B22" s="38"/>
      <c r="C22" s="38"/>
      <c r="D22" s="38"/>
      <c r="E22" s="38"/>
      <c r="F22" s="38"/>
      <c r="G22" s="38"/>
      <c r="H22" s="38"/>
      <c r="I22" s="38"/>
      <c r="J22" s="38"/>
      <c r="M22" s="38"/>
      <c r="N22" s="38"/>
      <c r="O22" s="38"/>
      <c r="P22" s="38"/>
      <c r="Q22" s="38"/>
      <c r="R22" s="38"/>
      <c r="S22" s="38"/>
      <c r="T22" s="38"/>
      <c r="U22" s="38"/>
    </row>
    <row r="23" spans="2:21" x14ac:dyDescent="0.35">
      <c r="B23" s="38"/>
      <c r="C23" s="38"/>
      <c r="D23" s="38"/>
      <c r="E23" s="38"/>
      <c r="F23" s="38"/>
      <c r="G23" s="38"/>
      <c r="H23" s="38"/>
      <c r="I23" s="38"/>
      <c r="J23" s="38"/>
      <c r="M23" s="38"/>
      <c r="N23" s="38"/>
      <c r="O23" s="38"/>
      <c r="P23" s="38"/>
      <c r="Q23" s="38"/>
      <c r="R23" s="38"/>
      <c r="S23" s="38"/>
      <c r="T23" s="38"/>
      <c r="U23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U57"/>
  <sheetViews>
    <sheetView workbookViewId="0">
      <selection activeCell="Q14" sqref="Q14"/>
    </sheetView>
  </sheetViews>
  <sheetFormatPr defaultRowHeight="14.5" x14ac:dyDescent="0.35"/>
  <cols>
    <col min="4" max="4" width="29.54296875" bestFit="1" customWidth="1"/>
    <col min="15" max="15" width="40.453125" bestFit="1" customWidth="1"/>
    <col min="16" max="16" width="19.90625" bestFit="1" customWidth="1"/>
    <col min="17" max="17" width="19.36328125" bestFit="1" customWidth="1"/>
    <col min="18" max="18" width="14.54296875" bestFit="1" customWidth="1"/>
    <col min="19" max="19" width="16.7265625" bestFit="1" customWidth="1"/>
    <col min="20" max="20" width="21.08984375" bestFit="1" customWidth="1"/>
  </cols>
  <sheetData>
    <row r="3" spans="2:21" x14ac:dyDescent="0.35">
      <c r="B3" s="43" t="s">
        <v>203</v>
      </c>
      <c r="C3" s="43"/>
      <c r="D3" s="43"/>
      <c r="E3" s="43"/>
      <c r="F3" s="43"/>
      <c r="G3" s="43"/>
      <c r="H3" s="43"/>
      <c r="I3" s="43"/>
      <c r="J3" s="43"/>
      <c r="O3" s="374" t="s">
        <v>217</v>
      </c>
      <c r="P3" s="374"/>
      <c r="Q3" s="374"/>
      <c r="R3" s="374"/>
    </row>
    <row r="4" spans="2:21" ht="21" x14ac:dyDescent="0.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M4" s="64" t="s">
        <v>0</v>
      </c>
      <c r="N4" s="64" t="s">
        <v>108</v>
      </c>
      <c r="O4" s="64" t="s">
        <v>109</v>
      </c>
      <c r="P4" s="64" t="s">
        <v>3</v>
      </c>
      <c r="Q4" s="64" t="s">
        <v>4</v>
      </c>
      <c r="R4" s="64" t="s">
        <v>110</v>
      </c>
      <c r="S4" s="64" t="s">
        <v>111</v>
      </c>
      <c r="T4" s="64" t="s">
        <v>112</v>
      </c>
      <c r="U4" s="64" t="s">
        <v>8</v>
      </c>
    </row>
    <row r="5" spans="2:21" ht="21" x14ac:dyDescent="0.5">
      <c r="B5" s="2">
        <v>1</v>
      </c>
      <c r="C5" s="2">
        <v>11129</v>
      </c>
      <c r="D5" s="2" t="s">
        <v>332</v>
      </c>
      <c r="E5" s="3">
        <v>101953334516</v>
      </c>
      <c r="F5" s="16">
        <v>5221333817</v>
      </c>
      <c r="G5" s="4">
        <v>45535</v>
      </c>
      <c r="H5" s="2" t="s">
        <v>277</v>
      </c>
      <c r="I5" s="2" t="s">
        <v>278</v>
      </c>
      <c r="J5" s="89"/>
      <c r="M5" s="2">
        <v>1</v>
      </c>
      <c r="N5" s="90">
        <v>11112</v>
      </c>
      <c r="O5" s="2" t="s">
        <v>303</v>
      </c>
      <c r="P5" s="7">
        <v>101231262224</v>
      </c>
      <c r="Q5" s="2">
        <v>5214080396</v>
      </c>
      <c r="R5" s="4">
        <v>45540</v>
      </c>
      <c r="S5" s="2" t="s">
        <v>305</v>
      </c>
      <c r="T5" s="2" t="s">
        <v>304</v>
      </c>
      <c r="U5" s="8"/>
    </row>
    <row r="6" spans="2:21" ht="21" x14ac:dyDescent="0.5">
      <c r="B6" s="2">
        <v>2</v>
      </c>
      <c r="C6" s="2">
        <v>11107</v>
      </c>
      <c r="D6" s="2" t="s">
        <v>297</v>
      </c>
      <c r="E6" s="3">
        <v>102120053651</v>
      </c>
      <c r="F6" s="2">
        <v>5221285340</v>
      </c>
      <c r="G6" s="4">
        <v>45537</v>
      </c>
      <c r="H6" s="2" t="s">
        <v>279</v>
      </c>
      <c r="I6" s="2" t="s">
        <v>206</v>
      </c>
      <c r="J6" s="89"/>
      <c r="M6" s="2">
        <v>2</v>
      </c>
      <c r="N6" s="2">
        <v>11113</v>
      </c>
      <c r="O6" s="2" t="s">
        <v>306</v>
      </c>
      <c r="P6" s="91">
        <v>101621754703</v>
      </c>
      <c r="Q6" s="2">
        <v>5216853585</v>
      </c>
      <c r="R6" s="4">
        <v>45538</v>
      </c>
      <c r="S6" s="2" t="s">
        <v>305</v>
      </c>
      <c r="T6" s="2" t="s">
        <v>307</v>
      </c>
      <c r="U6" s="8"/>
    </row>
    <row r="7" spans="2:21" ht="21" x14ac:dyDescent="0.5">
      <c r="B7" s="93">
        <v>3</v>
      </c>
      <c r="C7" s="93">
        <v>11122</v>
      </c>
      <c r="D7" s="93" t="s">
        <v>276</v>
      </c>
      <c r="E7" s="120">
        <v>101936110254</v>
      </c>
      <c r="F7" s="93">
        <v>5220373122</v>
      </c>
      <c r="G7" s="95">
        <v>45558</v>
      </c>
      <c r="H7" s="93" t="s">
        <v>280</v>
      </c>
      <c r="I7" s="93" t="s">
        <v>29</v>
      </c>
      <c r="J7" s="89"/>
      <c r="M7" s="2">
        <v>3</v>
      </c>
      <c r="N7" s="2">
        <v>11114</v>
      </c>
      <c r="O7" s="90" t="s">
        <v>308</v>
      </c>
      <c r="P7" s="91">
        <v>101821850423</v>
      </c>
      <c r="Q7" s="92">
        <v>5221366275</v>
      </c>
      <c r="R7" s="4">
        <v>45545</v>
      </c>
      <c r="S7" s="2" t="s">
        <v>305</v>
      </c>
      <c r="T7" s="2" t="s">
        <v>307</v>
      </c>
      <c r="U7" s="2"/>
    </row>
    <row r="8" spans="2:21" ht="21" x14ac:dyDescent="0.5">
      <c r="B8" s="2">
        <v>4</v>
      </c>
      <c r="C8" s="5">
        <v>11137</v>
      </c>
      <c r="D8" s="2" t="s">
        <v>285</v>
      </c>
      <c r="E8" s="3">
        <v>101250501020</v>
      </c>
      <c r="F8" s="2">
        <v>6109625281</v>
      </c>
      <c r="G8" s="4">
        <v>45551</v>
      </c>
      <c r="H8" s="2" t="s">
        <v>286</v>
      </c>
      <c r="I8" s="2" t="s">
        <v>29</v>
      </c>
      <c r="J8" s="89"/>
      <c r="M8" s="93">
        <v>4</v>
      </c>
      <c r="N8" s="93">
        <v>11115</v>
      </c>
      <c r="O8" s="93" t="s">
        <v>309</v>
      </c>
      <c r="P8" s="94">
        <v>102044913964</v>
      </c>
      <c r="Q8" s="93" t="s">
        <v>325</v>
      </c>
      <c r="R8" s="95">
        <v>45530</v>
      </c>
      <c r="S8" s="93" t="s">
        <v>310</v>
      </c>
      <c r="T8" s="2" t="s">
        <v>307</v>
      </c>
      <c r="U8" s="93" t="s">
        <v>325</v>
      </c>
    </row>
    <row r="9" spans="2:21" ht="21" x14ac:dyDescent="0.5">
      <c r="B9" s="2">
        <v>5</v>
      </c>
      <c r="C9" s="2">
        <v>11109</v>
      </c>
      <c r="D9" s="2" t="s">
        <v>287</v>
      </c>
      <c r="E9" s="6">
        <v>101674393137</v>
      </c>
      <c r="F9" s="16">
        <v>5221307639</v>
      </c>
      <c r="G9" s="4">
        <v>45547</v>
      </c>
      <c r="H9" s="2" t="s">
        <v>298</v>
      </c>
      <c r="I9" s="2" t="s">
        <v>29</v>
      </c>
      <c r="J9" s="89"/>
      <c r="M9" s="2">
        <v>5</v>
      </c>
      <c r="N9" s="2">
        <v>11123</v>
      </c>
      <c r="O9" s="115" t="s">
        <v>311</v>
      </c>
      <c r="P9" s="96">
        <v>101441143667</v>
      </c>
      <c r="Q9" s="103">
        <v>5215460462</v>
      </c>
      <c r="R9" s="4">
        <v>45551</v>
      </c>
      <c r="S9" s="2" t="s">
        <v>318</v>
      </c>
      <c r="T9" s="2" t="s">
        <v>307</v>
      </c>
      <c r="U9" s="8"/>
    </row>
    <row r="10" spans="2:21" ht="21" x14ac:dyDescent="0.5">
      <c r="B10" s="2">
        <v>6</v>
      </c>
      <c r="C10" s="2">
        <v>11108</v>
      </c>
      <c r="D10" s="2" t="s">
        <v>288</v>
      </c>
      <c r="E10" s="3">
        <v>102120060214</v>
      </c>
      <c r="F10" s="16" t="s">
        <v>300</v>
      </c>
      <c r="G10" s="4">
        <v>45547</v>
      </c>
      <c r="H10" s="2" t="s">
        <v>298</v>
      </c>
      <c r="I10" s="2" t="s">
        <v>29</v>
      </c>
      <c r="J10" s="89"/>
      <c r="M10" s="2">
        <v>6</v>
      </c>
      <c r="N10" s="2">
        <v>11124</v>
      </c>
      <c r="O10" s="115" t="s">
        <v>312</v>
      </c>
      <c r="P10" s="114">
        <v>101441143622</v>
      </c>
      <c r="Q10" s="116">
        <v>5206316383</v>
      </c>
      <c r="R10" s="4">
        <v>45551</v>
      </c>
      <c r="S10" s="2" t="s">
        <v>318</v>
      </c>
      <c r="T10" s="2" t="s">
        <v>307</v>
      </c>
      <c r="U10" s="8"/>
    </row>
    <row r="11" spans="2:21" ht="25" x14ac:dyDescent="0.7">
      <c r="B11" s="2">
        <v>7</v>
      </c>
      <c r="C11" s="5">
        <v>11110</v>
      </c>
      <c r="D11" s="2" t="s">
        <v>289</v>
      </c>
      <c r="E11" s="104">
        <v>102117145981</v>
      </c>
      <c r="F11" s="16">
        <v>5221310401</v>
      </c>
      <c r="G11" s="4">
        <v>45547</v>
      </c>
      <c r="H11" s="2" t="s">
        <v>299</v>
      </c>
      <c r="I11" s="2" t="s">
        <v>29</v>
      </c>
      <c r="J11" s="89"/>
      <c r="M11" s="2">
        <v>7</v>
      </c>
      <c r="N11" s="90">
        <v>11117</v>
      </c>
      <c r="O11" s="2" t="s">
        <v>313</v>
      </c>
      <c r="P11" s="117">
        <v>101268519194</v>
      </c>
      <c r="Q11" s="2">
        <v>5215460558</v>
      </c>
      <c r="R11" s="4">
        <v>45551</v>
      </c>
      <c r="S11" s="2" t="s">
        <v>318</v>
      </c>
      <c r="T11" s="2" t="s">
        <v>307</v>
      </c>
      <c r="U11" s="8"/>
    </row>
    <row r="12" spans="2:21" ht="21" x14ac:dyDescent="0.5">
      <c r="B12" s="105">
        <v>8</v>
      </c>
      <c r="C12" s="106">
        <v>11149</v>
      </c>
      <c r="D12" s="105" t="s">
        <v>290</v>
      </c>
      <c r="E12" s="107">
        <v>100664728581</v>
      </c>
      <c r="F12" s="65">
        <v>5221466749</v>
      </c>
      <c r="G12" s="108">
        <v>45553</v>
      </c>
      <c r="H12" s="105" t="s">
        <v>296</v>
      </c>
      <c r="I12" s="2" t="s">
        <v>17</v>
      </c>
      <c r="J12" s="89" t="s">
        <v>364</v>
      </c>
      <c r="M12" s="2">
        <v>8</v>
      </c>
      <c r="N12" s="90">
        <v>11118</v>
      </c>
      <c r="O12" s="2" t="s">
        <v>314</v>
      </c>
      <c r="P12" s="91">
        <v>101866095470</v>
      </c>
      <c r="Q12" s="2">
        <v>5218901784</v>
      </c>
      <c r="R12" s="4">
        <v>45551</v>
      </c>
      <c r="S12" s="2" t="s">
        <v>318</v>
      </c>
      <c r="T12" s="2" t="s">
        <v>307</v>
      </c>
      <c r="U12" s="8"/>
    </row>
    <row r="13" spans="2:21" ht="21" x14ac:dyDescent="0.5">
      <c r="B13" s="2">
        <v>9</v>
      </c>
      <c r="C13" s="2">
        <v>11120</v>
      </c>
      <c r="D13" s="2" t="s">
        <v>291</v>
      </c>
      <c r="E13" s="3">
        <v>102111462740</v>
      </c>
      <c r="F13" s="16">
        <v>5221323431</v>
      </c>
      <c r="G13" s="4">
        <v>45550</v>
      </c>
      <c r="H13" s="2" t="s">
        <v>322</v>
      </c>
      <c r="I13" s="2" t="s">
        <v>323</v>
      </c>
      <c r="J13" s="89"/>
      <c r="M13" s="2">
        <v>9</v>
      </c>
      <c r="N13" s="2">
        <v>11125</v>
      </c>
      <c r="O13" s="2" t="s">
        <v>315</v>
      </c>
      <c r="P13" s="96">
        <v>101403423723</v>
      </c>
      <c r="Q13" s="92" t="s">
        <v>343</v>
      </c>
      <c r="R13" s="4">
        <v>45545</v>
      </c>
      <c r="S13" s="2" t="s">
        <v>305</v>
      </c>
      <c r="T13" s="2" t="s">
        <v>307</v>
      </c>
      <c r="U13" s="8"/>
    </row>
    <row r="14" spans="2:21" ht="21" x14ac:dyDescent="0.5">
      <c r="B14" s="2">
        <v>10</v>
      </c>
      <c r="C14" s="2">
        <v>10737</v>
      </c>
      <c r="D14" s="2" t="s">
        <v>292</v>
      </c>
      <c r="E14" s="3">
        <v>101976460134</v>
      </c>
      <c r="F14" s="2">
        <v>5219938137</v>
      </c>
      <c r="G14" s="4">
        <v>45554</v>
      </c>
      <c r="H14" s="2" t="s">
        <v>296</v>
      </c>
      <c r="I14" s="2" t="s">
        <v>17</v>
      </c>
      <c r="J14" s="89"/>
      <c r="M14" s="2">
        <v>10</v>
      </c>
      <c r="N14" s="2">
        <v>11139</v>
      </c>
      <c r="O14" s="2" t="s">
        <v>316</v>
      </c>
      <c r="P14" s="91">
        <v>102123198923</v>
      </c>
      <c r="Q14" s="92">
        <v>5221347201</v>
      </c>
      <c r="R14" s="4">
        <v>45547</v>
      </c>
      <c r="S14" s="2" t="s">
        <v>244</v>
      </c>
      <c r="T14" s="2" t="s">
        <v>307</v>
      </c>
      <c r="U14" s="8"/>
    </row>
    <row r="15" spans="2:21" ht="21" x14ac:dyDescent="0.5">
      <c r="B15" s="2">
        <v>11</v>
      </c>
      <c r="C15" s="2">
        <v>11106</v>
      </c>
      <c r="D15" s="2" t="s">
        <v>293</v>
      </c>
      <c r="E15" s="6">
        <v>102120015776</v>
      </c>
      <c r="F15" s="2">
        <v>5221285245</v>
      </c>
      <c r="G15" s="2"/>
      <c r="H15" s="2" t="s">
        <v>392</v>
      </c>
      <c r="I15" s="2" t="s">
        <v>393</v>
      </c>
      <c r="J15" s="89"/>
      <c r="M15" s="2">
        <v>11</v>
      </c>
      <c r="N15" s="90">
        <v>11126</v>
      </c>
      <c r="O15" s="2" t="s">
        <v>317</v>
      </c>
      <c r="P15" s="91">
        <v>100757165595</v>
      </c>
      <c r="Q15" s="92">
        <v>5221327933</v>
      </c>
      <c r="R15" s="4">
        <v>45537</v>
      </c>
      <c r="S15" s="2" t="s">
        <v>305</v>
      </c>
      <c r="T15" s="2" t="s">
        <v>320</v>
      </c>
      <c r="U15" s="8"/>
    </row>
    <row r="16" spans="2:21" ht="21" x14ac:dyDescent="0.5">
      <c r="B16" s="2">
        <v>12</v>
      </c>
      <c r="C16" s="2">
        <v>11116</v>
      </c>
      <c r="D16" s="2" t="s">
        <v>294</v>
      </c>
      <c r="E16" s="7">
        <v>102120711813</v>
      </c>
      <c r="F16" s="16">
        <v>5221323720</v>
      </c>
      <c r="G16" s="4">
        <v>45555</v>
      </c>
      <c r="H16" s="2" t="s">
        <v>214</v>
      </c>
      <c r="I16" s="2" t="s">
        <v>17</v>
      </c>
      <c r="J16" s="89"/>
      <c r="M16" s="2">
        <v>12</v>
      </c>
      <c r="N16" s="90">
        <v>11119</v>
      </c>
      <c r="O16" s="2" t="s">
        <v>319</v>
      </c>
      <c r="P16" s="96">
        <v>101694320811</v>
      </c>
      <c r="Q16" s="2">
        <v>5217463462</v>
      </c>
      <c r="R16" s="4">
        <v>45551</v>
      </c>
      <c r="S16" s="2" t="s">
        <v>318</v>
      </c>
      <c r="T16" s="2" t="s">
        <v>320</v>
      </c>
      <c r="U16" s="8"/>
    </row>
    <row r="17" spans="2:21" ht="21" x14ac:dyDescent="0.5">
      <c r="B17" s="2">
        <v>13</v>
      </c>
      <c r="C17" s="2">
        <v>10592</v>
      </c>
      <c r="D17" s="2" t="s">
        <v>295</v>
      </c>
      <c r="E17" s="3">
        <v>101979889018</v>
      </c>
      <c r="F17" s="2">
        <v>5219980646</v>
      </c>
      <c r="G17" s="4">
        <v>45552</v>
      </c>
      <c r="H17" s="2" t="s">
        <v>97</v>
      </c>
      <c r="I17" s="2" t="s">
        <v>391</v>
      </c>
      <c r="J17" s="89"/>
      <c r="M17" s="2">
        <v>13</v>
      </c>
      <c r="N17" s="2">
        <v>11127</v>
      </c>
      <c r="O17" s="2" t="s">
        <v>326</v>
      </c>
      <c r="P17" s="96">
        <v>101213144296</v>
      </c>
      <c r="Q17" s="2" t="s">
        <v>327</v>
      </c>
      <c r="R17" s="4">
        <v>45548</v>
      </c>
      <c r="S17" s="2" t="s">
        <v>328</v>
      </c>
      <c r="T17" s="2" t="s">
        <v>329</v>
      </c>
      <c r="U17" s="8"/>
    </row>
    <row r="18" spans="2:21" ht="21" x14ac:dyDescent="0.5">
      <c r="B18" s="2">
        <v>14</v>
      </c>
      <c r="C18" s="2">
        <v>11111</v>
      </c>
      <c r="D18" s="2" t="s">
        <v>301</v>
      </c>
      <c r="E18" s="6">
        <v>100464832104</v>
      </c>
      <c r="F18" s="16">
        <v>5221310773</v>
      </c>
      <c r="G18" s="4">
        <v>45554</v>
      </c>
      <c r="H18" s="2" t="s">
        <v>302</v>
      </c>
      <c r="I18" s="2" t="s">
        <v>197</v>
      </c>
      <c r="J18" s="89"/>
      <c r="M18" s="2">
        <v>14</v>
      </c>
      <c r="N18" s="2">
        <v>11130</v>
      </c>
      <c r="O18" s="2" t="s">
        <v>333</v>
      </c>
      <c r="P18" s="91">
        <v>101420542412</v>
      </c>
      <c r="Q18" s="2">
        <v>5220002854</v>
      </c>
      <c r="R18" s="4">
        <v>45558</v>
      </c>
      <c r="S18" s="2" t="s">
        <v>169</v>
      </c>
      <c r="T18" s="2" t="s">
        <v>307</v>
      </c>
      <c r="U18" s="8"/>
    </row>
    <row r="19" spans="2:21" ht="21" x14ac:dyDescent="0.5">
      <c r="B19" s="2">
        <v>15</v>
      </c>
      <c r="C19" s="2">
        <v>11121</v>
      </c>
      <c r="D19" s="5" t="s">
        <v>324</v>
      </c>
      <c r="E19" s="3">
        <v>101601614510</v>
      </c>
      <c r="F19" s="16">
        <v>5217176081</v>
      </c>
      <c r="G19" s="4">
        <v>45551</v>
      </c>
      <c r="H19" s="2" t="s">
        <v>183</v>
      </c>
      <c r="I19" s="2" t="s">
        <v>323</v>
      </c>
      <c r="J19" s="89"/>
      <c r="M19" s="2">
        <v>15</v>
      </c>
      <c r="N19" s="2">
        <v>11135</v>
      </c>
      <c r="O19" s="2" t="s">
        <v>334</v>
      </c>
      <c r="P19" s="96">
        <v>102122109446</v>
      </c>
      <c r="Q19" s="92">
        <v>5221346643</v>
      </c>
      <c r="R19" s="4">
        <v>45554</v>
      </c>
      <c r="S19" s="2" t="s">
        <v>120</v>
      </c>
      <c r="T19" s="2" t="s">
        <v>307</v>
      </c>
      <c r="U19" s="8"/>
    </row>
    <row r="20" spans="2:21" ht="21" x14ac:dyDescent="0.5">
      <c r="B20" s="2">
        <v>16</v>
      </c>
      <c r="C20" s="2">
        <v>11128</v>
      </c>
      <c r="D20" s="5" t="s">
        <v>330</v>
      </c>
      <c r="E20" s="3">
        <v>102012721397</v>
      </c>
      <c r="F20" s="16">
        <v>5221334465</v>
      </c>
      <c r="G20" s="4">
        <v>45555</v>
      </c>
      <c r="H20" s="2" t="s">
        <v>331</v>
      </c>
      <c r="I20" s="2" t="s">
        <v>197</v>
      </c>
      <c r="J20" s="89"/>
      <c r="M20" s="2">
        <v>16</v>
      </c>
      <c r="N20" s="2">
        <v>11136</v>
      </c>
      <c r="O20" s="2" t="s">
        <v>335</v>
      </c>
      <c r="P20" s="96">
        <v>101196241535</v>
      </c>
      <c r="Q20" s="2">
        <v>5217657708</v>
      </c>
      <c r="R20" s="4">
        <v>45552</v>
      </c>
      <c r="S20" s="2" t="s">
        <v>120</v>
      </c>
      <c r="T20" s="2" t="s">
        <v>307</v>
      </c>
      <c r="U20" s="8"/>
    </row>
    <row r="21" spans="2:21" ht="21" x14ac:dyDescent="0.5">
      <c r="B21" s="2">
        <v>17</v>
      </c>
      <c r="C21" s="5">
        <v>11138</v>
      </c>
      <c r="D21" s="5" t="s">
        <v>341</v>
      </c>
      <c r="E21" s="6">
        <v>102122808232</v>
      </c>
      <c r="F21" s="16">
        <v>5221343094</v>
      </c>
      <c r="G21" s="4">
        <v>45565</v>
      </c>
      <c r="H21" s="2" t="s">
        <v>342</v>
      </c>
      <c r="I21" s="2" t="s">
        <v>25</v>
      </c>
      <c r="J21" s="89"/>
      <c r="M21" s="2">
        <v>17</v>
      </c>
      <c r="N21" s="2">
        <v>11132</v>
      </c>
      <c r="O21" s="2" t="s">
        <v>336</v>
      </c>
      <c r="P21" s="91">
        <v>100626221464</v>
      </c>
      <c r="Q21" s="2">
        <v>5215307838</v>
      </c>
      <c r="R21" s="4">
        <v>45537</v>
      </c>
      <c r="S21" s="2" t="s">
        <v>141</v>
      </c>
      <c r="T21" s="2" t="s">
        <v>320</v>
      </c>
      <c r="U21" s="8"/>
    </row>
    <row r="22" spans="2:21" ht="21" x14ac:dyDescent="0.5">
      <c r="B22" s="2">
        <v>18</v>
      </c>
      <c r="C22" s="5">
        <v>11141</v>
      </c>
      <c r="D22" s="2" t="s">
        <v>344</v>
      </c>
      <c r="E22" s="3">
        <v>101329119208</v>
      </c>
      <c r="F22" s="2" t="s">
        <v>259</v>
      </c>
      <c r="G22" s="4">
        <v>45552</v>
      </c>
      <c r="H22" s="2" t="s">
        <v>305</v>
      </c>
      <c r="I22" s="2" t="s">
        <v>41</v>
      </c>
      <c r="J22" s="89" t="s">
        <v>363</v>
      </c>
      <c r="M22" s="2">
        <v>18</v>
      </c>
      <c r="N22" s="2">
        <v>11131</v>
      </c>
      <c r="O22" s="2" t="s">
        <v>337</v>
      </c>
      <c r="P22" s="96">
        <v>101145772575</v>
      </c>
      <c r="Q22" s="2">
        <v>5213642465</v>
      </c>
      <c r="R22" s="4">
        <v>45558</v>
      </c>
      <c r="S22" s="2" t="s">
        <v>340</v>
      </c>
      <c r="T22" s="2" t="s">
        <v>307</v>
      </c>
      <c r="U22" s="8"/>
    </row>
    <row r="23" spans="2:21" ht="21" x14ac:dyDescent="0.5">
      <c r="B23" s="2">
        <v>19</v>
      </c>
      <c r="C23" s="2">
        <v>11164</v>
      </c>
      <c r="D23" s="121" t="s">
        <v>390</v>
      </c>
      <c r="E23" s="3">
        <v>101247345768</v>
      </c>
      <c r="F23" s="8"/>
      <c r="G23" s="4">
        <v>45537</v>
      </c>
      <c r="H23" s="2" t="s">
        <v>286</v>
      </c>
      <c r="I23" s="2" t="s">
        <v>197</v>
      </c>
      <c r="J23" s="118"/>
      <c r="M23" s="2">
        <v>19</v>
      </c>
      <c r="N23" s="2">
        <v>11134</v>
      </c>
      <c r="O23" s="2" t="s">
        <v>338</v>
      </c>
      <c r="P23" s="96">
        <v>101555426291</v>
      </c>
      <c r="Q23" s="2">
        <v>5216376066</v>
      </c>
      <c r="R23" s="4">
        <v>45545</v>
      </c>
      <c r="S23" s="2" t="s">
        <v>339</v>
      </c>
      <c r="T23" s="2" t="s">
        <v>307</v>
      </c>
      <c r="U23" s="8"/>
    </row>
    <row r="24" spans="2:21" ht="21" x14ac:dyDescent="0.5">
      <c r="B24" s="119"/>
      <c r="C24" s="8"/>
      <c r="D24" s="8"/>
      <c r="E24" s="8"/>
      <c r="F24" s="8"/>
      <c r="G24" s="2"/>
      <c r="H24" s="2"/>
      <c r="I24" s="2"/>
      <c r="J24" s="58"/>
      <c r="M24" s="2">
        <v>20</v>
      </c>
      <c r="N24" s="2">
        <v>11133</v>
      </c>
      <c r="O24" s="2" t="s">
        <v>345</v>
      </c>
      <c r="P24" s="91">
        <v>102122054727</v>
      </c>
      <c r="Q24" s="92">
        <v>5221361787</v>
      </c>
      <c r="R24" s="4">
        <v>45545</v>
      </c>
      <c r="S24" s="2" t="s">
        <v>175</v>
      </c>
      <c r="T24" s="2" t="s">
        <v>307</v>
      </c>
      <c r="U24" s="8"/>
    </row>
    <row r="25" spans="2:21" ht="21" x14ac:dyDescent="0.5">
      <c r="B25" s="109"/>
      <c r="C25" s="109"/>
      <c r="D25" s="109"/>
      <c r="E25" s="109"/>
      <c r="F25" s="109"/>
      <c r="G25" s="110"/>
      <c r="H25" s="110"/>
      <c r="I25" s="110"/>
      <c r="J25" s="58"/>
      <c r="M25" s="2">
        <v>21</v>
      </c>
      <c r="N25" s="2">
        <v>11140</v>
      </c>
      <c r="O25" s="90" t="s">
        <v>351</v>
      </c>
      <c r="P25" s="96">
        <v>101886228893</v>
      </c>
      <c r="Q25" s="97" t="s">
        <v>360</v>
      </c>
      <c r="R25" s="4">
        <v>45530</v>
      </c>
      <c r="S25" s="2" t="s">
        <v>305</v>
      </c>
      <c r="T25" s="2" t="s">
        <v>307</v>
      </c>
      <c r="U25" s="8"/>
    </row>
    <row r="26" spans="2:21" ht="21" x14ac:dyDescent="0.5">
      <c r="B26" s="109"/>
      <c r="C26" s="109"/>
      <c r="D26" s="109"/>
      <c r="E26" s="109"/>
      <c r="F26" s="109"/>
      <c r="G26" s="110"/>
      <c r="H26" s="110"/>
      <c r="I26" s="110"/>
      <c r="J26" s="58"/>
      <c r="M26" s="2">
        <v>22</v>
      </c>
      <c r="N26" s="2">
        <v>11143</v>
      </c>
      <c r="O26" s="90" t="s">
        <v>346</v>
      </c>
      <c r="P26" s="96">
        <v>102125112245</v>
      </c>
      <c r="Q26" s="92">
        <v>5221366402</v>
      </c>
      <c r="R26" s="4">
        <v>45545</v>
      </c>
      <c r="S26" s="2" t="s">
        <v>120</v>
      </c>
      <c r="T26" s="2" t="s">
        <v>307</v>
      </c>
      <c r="U26" s="8"/>
    </row>
    <row r="27" spans="2:21" ht="21" x14ac:dyDescent="0.5">
      <c r="B27" s="109"/>
      <c r="C27" s="109"/>
      <c r="D27" s="109"/>
      <c r="E27" s="109"/>
      <c r="F27" s="109"/>
      <c r="G27" s="110"/>
      <c r="H27" s="110"/>
      <c r="I27" s="110"/>
      <c r="J27" s="58"/>
      <c r="M27" s="2">
        <v>23</v>
      </c>
      <c r="N27" s="2">
        <v>11144</v>
      </c>
      <c r="O27" s="90" t="s">
        <v>347</v>
      </c>
      <c r="P27" s="91">
        <v>102125120909</v>
      </c>
      <c r="Q27" s="92">
        <v>5221366473</v>
      </c>
      <c r="R27" s="4">
        <v>45551</v>
      </c>
      <c r="S27" s="2" t="s">
        <v>223</v>
      </c>
      <c r="T27" s="2" t="s">
        <v>307</v>
      </c>
      <c r="U27" s="8"/>
    </row>
    <row r="28" spans="2:21" ht="21" x14ac:dyDescent="0.5">
      <c r="B28" s="109"/>
      <c r="C28" s="109"/>
      <c r="D28" s="109"/>
      <c r="E28" s="109"/>
      <c r="F28" s="109"/>
      <c r="G28" s="110"/>
      <c r="H28" s="110"/>
      <c r="I28" s="110"/>
      <c r="J28" s="58"/>
      <c r="M28" s="2">
        <v>24</v>
      </c>
      <c r="N28" s="2">
        <v>11145</v>
      </c>
      <c r="O28" s="90" t="s">
        <v>348</v>
      </c>
      <c r="P28" s="91">
        <v>102125127557</v>
      </c>
      <c r="Q28" s="92">
        <v>5219571535</v>
      </c>
      <c r="R28" s="4">
        <v>45550</v>
      </c>
      <c r="S28" s="2" t="s">
        <v>120</v>
      </c>
      <c r="T28" s="2" t="s">
        <v>307</v>
      </c>
      <c r="U28" s="8"/>
    </row>
    <row r="29" spans="2:21" ht="21" x14ac:dyDescent="0.5">
      <c r="B29" s="109"/>
      <c r="C29" s="109"/>
      <c r="D29" s="109"/>
      <c r="E29" s="109"/>
      <c r="F29" s="109"/>
      <c r="G29" s="110"/>
      <c r="H29" s="110"/>
      <c r="I29" s="110"/>
      <c r="J29" s="58"/>
      <c r="M29" s="2">
        <v>25</v>
      </c>
      <c r="N29" s="2">
        <v>11146</v>
      </c>
      <c r="O29" s="2" t="s">
        <v>349</v>
      </c>
      <c r="P29" s="96">
        <v>101865597580</v>
      </c>
      <c r="Q29" s="2">
        <v>5218843382</v>
      </c>
      <c r="R29" s="4">
        <v>45560</v>
      </c>
      <c r="S29" s="2" t="s">
        <v>120</v>
      </c>
      <c r="T29" s="2" t="s">
        <v>307</v>
      </c>
      <c r="U29" s="8" t="s">
        <v>321</v>
      </c>
    </row>
    <row r="30" spans="2:21" ht="21" x14ac:dyDescent="0.5">
      <c r="B30" s="109"/>
      <c r="C30" s="109"/>
      <c r="D30" s="109"/>
      <c r="E30" s="109"/>
      <c r="F30" s="109"/>
      <c r="G30" s="109"/>
      <c r="H30" s="109"/>
      <c r="I30" s="109"/>
      <c r="M30" s="2">
        <v>26</v>
      </c>
      <c r="N30" s="2">
        <v>11147</v>
      </c>
      <c r="O30" s="90" t="s">
        <v>350</v>
      </c>
      <c r="P30" s="96">
        <v>101865375716</v>
      </c>
      <c r="Q30" s="92" t="s">
        <v>353</v>
      </c>
      <c r="R30" s="4">
        <v>45560</v>
      </c>
      <c r="S30" s="2" t="s">
        <v>120</v>
      </c>
      <c r="T30" s="2" t="s">
        <v>307</v>
      </c>
      <c r="U30" s="8"/>
    </row>
    <row r="31" spans="2:21" ht="21" x14ac:dyDescent="0.5">
      <c r="B31" s="109"/>
      <c r="C31" s="109"/>
      <c r="D31" s="109"/>
      <c r="E31" s="109"/>
      <c r="F31" s="109"/>
      <c r="G31" s="109"/>
      <c r="H31" s="109"/>
      <c r="I31" s="109"/>
      <c r="M31" s="98">
        <v>27</v>
      </c>
      <c r="N31" s="99">
        <v>11148</v>
      </c>
      <c r="O31" s="98" t="s">
        <v>352</v>
      </c>
      <c r="P31" s="100">
        <v>101759656591</v>
      </c>
      <c r="Q31" s="92">
        <v>5219571535</v>
      </c>
      <c r="R31" s="4">
        <v>45538</v>
      </c>
      <c r="S31" s="2" t="s">
        <v>340</v>
      </c>
      <c r="T31" s="2" t="s">
        <v>307</v>
      </c>
      <c r="U31" s="8"/>
    </row>
    <row r="32" spans="2:21" ht="21" x14ac:dyDescent="0.5">
      <c r="B32" s="109"/>
      <c r="C32" s="109"/>
      <c r="D32" s="109"/>
      <c r="E32" s="109"/>
      <c r="F32" s="109"/>
      <c r="G32" s="109"/>
      <c r="H32" s="109"/>
      <c r="I32" s="109"/>
      <c r="M32" s="2">
        <v>28</v>
      </c>
      <c r="N32" s="2">
        <v>11151</v>
      </c>
      <c r="O32" s="2" t="s">
        <v>356</v>
      </c>
      <c r="P32" s="96">
        <v>100735039809</v>
      </c>
      <c r="Q32" s="2">
        <v>5220281149</v>
      </c>
      <c r="R32" s="4">
        <v>45536</v>
      </c>
      <c r="S32" s="2" t="s">
        <v>339</v>
      </c>
      <c r="T32" s="2" t="s">
        <v>307</v>
      </c>
      <c r="U32" s="8" t="s">
        <v>321</v>
      </c>
    </row>
    <row r="33" spans="2:21" ht="21" x14ac:dyDescent="0.5">
      <c r="B33" s="109"/>
      <c r="C33" s="109"/>
      <c r="D33" s="109"/>
      <c r="E33" s="109"/>
      <c r="F33" s="109"/>
      <c r="G33" s="109"/>
      <c r="H33" s="109"/>
      <c r="I33" s="109"/>
      <c r="M33" s="2">
        <v>29</v>
      </c>
      <c r="N33" s="2">
        <v>11152</v>
      </c>
      <c r="O33" s="2" t="s">
        <v>357</v>
      </c>
      <c r="P33" s="101">
        <v>101384586232</v>
      </c>
      <c r="Q33" s="113" t="s">
        <v>359</v>
      </c>
      <c r="R33" s="4">
        <v>45540</v>
      </c>
      <c r="S33" s="2" t="s">
        <v>339</v>
      </c>
      <c r="T33" s="2" t="s">
        <v>358</v>
      </c>
      <c r="U33" s="8"/>
    </row>
    <row r="34" spans="2:21" ht="21" x14ac:dyDescent="0.5">
      <c r="B34" s="109"/>
      <c r="C34" s="109"/>
      <c r="D34" s="109"/>
      <c r="E34" s="109"/>
      <c r="F34" s="109"/>
      <c r="G34" s="109"/>
      <c r="H34" s="109"/>
      <c r="I34" s="109"/>
      <c r="M34" s="2">
        <v>30</v>
      </c>
      <c r="N34" s="2">
        <v>11153</v>
      </c>
      <c r="O34" s="102" t="s">
        <v>361</v>
      </c>
      <c r="P34" s="6">
        <v>101354019536</v>
      </c>
      <c r="Q34" s="103">
        <v>5218861480</v>
      </c>
      <c r="R34" s="4">
        <v>45556</v>
      </c>
      <c r="S34" s="2" t="s">
        <v>362</v>
      </c>
      <c r="T34" s="2" t="s">
        <v>307</v>
      </c>
      <c r="U34" s="8"/>
    </row>
    <row r="35" spans="2:21" ht="21" x14ac:dyDescent="0.5">
      <c r="B35" s="109"/>
      <c r="C35" s="109"/>
      <c r="D35" s="109"/>
      <c r="E35" s="109"/>
      <c r="F35" s="109"/>
      <c r="G35" s="109"/>
      <c r="H35" s="109"/>
      <c r="I35" s="109"/>
      <c r="M35" s="111"/>
      <c r="N35" s="111"/>
      <c r="O35" s="111"/>
      <c r="P35" s="112"/>
      <c r="Q35" s="111"/>
      <c r="R35" s="111"/>
      <c r="S35" s="111"/>
      <c r="T35" s="111"/>
      <c r="U35" s="111"/>
    </row>
    <row r="36" spans="2:21" ht="21" x14ac:dyDescent="0.5">
      <c r="B36" s="109"/>
      <c r="C36" s="109"/>
      <c r="D36" s="109"/>
      <c r="E36" s="109"/>
      <c r="F36" s="109"/>
      <c r="G36" s="109"/>
      <c r="H36" s="109"/>
      <c r="I36" s="109"/>
    </row>
    <row r="37" spans="2:21" ht="21" x14ac:dyDescent="0.5">
      <c r="B37" s="109"/>
      <c r="C37" s="109"/>
      <c r="D37" s="109"/>
      <c r="E37" s="109"/>
      <c r="F37" s="109"/>
      <c r="G37" s="109"/>
      <c r="H37" s="109"/>
      <c r="I37" s="109"/>
    </row>
    <row r="38" spans="2:21" ht="21" x14ac:dyDescent="0.5">
      <c r="B38" s="109"/>
      <c r="C38" s="109"/>
      <c r="D38" s="109"/>
      <c r="E38" s="109"/>
      <c r="F38" s="109"/>
      <c r="G38" s="109"/>
      <c r="H38" s="109"/>
      <c r="I38" s="109"/>
    </row>
    <row r="39" spans="2:21" ht="21" x14ac:dyDescent="0.5">
      <c r="B39" s="109"/>
      <c r="C39" s="109"/>
      <c r="D39" s="109"/>
      <c r="E39" s="109"/>
      <c r="F39" s="109"/>
      <c r="G39" s="109"/>
      <c r="H39" s="109"/>
      <c r="I39" s="109"/>
    </row>
    <row r="40" spans="2:21" ht="21" x14ac:dyDescent="0.5">
      <c r="B40" s="109"/>
      <c r="C40" s="109"/>
      <c r="D40" s="109"/>
      <c r="E40" s="109"/>
      <c r="F40" s="109"/>
      <c r="G40" s="109"/>
      <c r="H40" s="109"/>
      <c r="I40" s="109"/>
    </row>
    <row r="41" spans="2:21" ht="21" x14ac:dyDescent="0.5">
      <c r="B41" s="109"/>
      <c r="C41" s="109"/>
      <c r="D41" s="109"/>
      <c r="E41" s="109"/>
      <c r="F41" s="109"/>
      <c r="G41" s="109"/>
      <c r="H41" s="109"/>
      <c r="I41" s="109"/>
    </row>
    <row r="42" spans="2:21" ht="21" x14ac:dyDescent="0.5">
      <c r="B42" s="109"/>
      <c r="C42" s="109"/>
      <c r="D42" s="109"/>
      <c r="E42" s="109"/>
      <c r="F42" s="109"/>
      <c r="G42" s="109"/>
      <c r="H42" s="109"/>
      <c r="I42" s="109"/>
    </row>
    <row r="43" spans="2:21" ht="21" x14ac:dyDescent="0.5">
      <c r="B43" s="109"/>
      <c r="C43" s="109"/>
      <c r="D43" s="109"/>
      <c r="E43" s="109"/>
      <c r="F43" s="109"/>
      <c r="G43" s="109"/>
      <c r="H43" s="109"/>
      <c r="I43" s="109"/>
    </row>
    <row r="44" spans="2:21" ht="21" x14ac:dyDescent="0.5">
      <c r="B44" s="109"/>
      <c r="C44" s="109"/>
      <c r="D44" s="109"/>
      <c r="E44" s="109"/>
      <c r="F44" s="109"/>
      <c r="G44" s="109"/>
      <c r="H44" s="109"/>
      <c r="I44" s="109"/>
    </row>
    <row r="45" spans="2:21" ht="21" x14ac:dyDescent="0.5">
      <c r="B45" s="109"/>
      <c r="C45" s="109"/>
      <c r="D45" s="109"/>
      <c r="E45" s="109"/>
      <c r="F45" s="109"/>
      <c r="G45" s="109"/>
      <c r="H45" s="109"/>
      <c r="I45" s="109"/>
    </row>
    <row r="46" spans="2:21" ht="21" x14ac:dyDescent="0.5">
      <c r="B46" s="109"/>
      <c r="C46" s="109"/>
      <c r="D46" s="109"/>
      <c r="E46" s="109"/>
      <c r="F46" s="109"/>
      <c r="G46" s="109"/>
      <c r="H46" s="109"/>
      <c r="I46" s="109"/>
    </row>
    <row r="47" spans="2:21" ht="21" x14ac:dyDescent="0.5">
      <c r="B47" s="109"/>
      <c r="C47" s="109"/>
      <c r="D47" s="109"/>
      <c r="E47" s="109"/>
      <c r="F47" s="109"/>
      <c r="G47" s="109"/>
      <c r="H47" s="109"/>
      <c r="I47" s="109"/>
    </row>
    <row r="48" spans="2:21" ht="21" x14ac:dyDescent="0.5">
      <c r="B48" s="109"/>
      <c r="C48" s="109"/>
      <c r="D48" s="109"/>
      <c r="E48" s="109"/>
      <c r="F48" s="109"/>
      <c r="G48" s="109"/>
      <c r="H48" s="109"/>
      <c r="I48" s="109"/>
    </row>
    <row r="49" spans="2:9" ht="21" x14ac:dyDescent="0.5">
      <c r="B49" s="109"/>
      <c r="C49" s="109"/>
      <c r="D49" s="109"/>
      <c r="E49" s="109"/>
      <c r="F49" s="109"/>
      <c r="G49" s="109"/>
      <c r="H49" s="109"/>
      <c r="I49" s="109"/>
    </row>
    <row r="50" spans="2:9" ht="21" x14ac:dyDescent="0.5">
      <c r="B50" s="109"/>
      <c r="C50" s="109"/>
      <c r="D50" s="109"/>
      <c r="E50" s="109"/>
      <c r="F50" s="109"/>
      <c r="G50" s="109"/>
      <c r="H50" s="109"/>
      <c r="I50" s="109"/>
    </row>
    <row r="51" spans="2:9" ht="21" x14ac:dyDescent="0.5">
      <c r="B51" s="109"/>
      <c r="C51" s="109"/>
      <c r="D51" s="109"/>
      <c r="E51" s="109"/>
      <c r="F51" s="109"/>
      <c r="G51" s="109"/>
      <c r="H51" s="109"/>
      <c r="I51" s="109"/>
    </row>
    <row r="52" spans="2:9" ht="21" x14ac:dyDescent="0.5">
      <c r="B52" s="109"/>
      <c r="C52" s="109"/>
      <c r="D52" s="109"/>
      <c r="E52" s="109"/>
      <c r="F52" s="109"/>
      <c r="G52" s="109"/>
      <c r="H52" s="109"/>
      <c r="I52" s="109"/>
    </row>
    <row r="53" spans="2:9" ht="21" x14ac:dyDescent="0.5">
      <c r="B53" s="109"/>
      <c r="C53" s="109"/>
      <c r="D53" s="109"/>
      <c r="E53" s="109"/>
      <c r="F53" s="109"/>
      <c r="G53" s="109"/>
      <c r="H53" s="109"/>
      <c r="I53" s="109"/>
    </row>
    <row r="54" spans="2:9" ht="21" x14ac:dyDescent="0.5">
      <c r="B54" s="109"/>
      <c r="C54" s="109"/>
      <c r="D54" s="109"/>
      <c r="E54" s="109"/>
      <c r="F54" s="109"/>
      <c r="G54" s="109"/>
      <c r="H54" s="109"/>
      <c r="I54" s="109"/>
    </row>
    <row r="55" spans="2:9" ht="21" x14ac:dyDescent="0.5">
      <c r="B55" s="109"/>
      <c r="C55" s="109"/>
      <c r="D55" s="109"/>
      <c r="E55" s="109"/>
      <c r="F55" s="109"/>
      <c r="G55" s="109"/>
      <c r="H55" s="109"/>
      <c r="I55" s="109"/>
    </row>
    <row r="56" spans="2:9" ht="21" x14ac:dyDescent="0.5">
      <c r="B56" s="109"/>
      <c r="C56" s="109"/>
      <c r="D56" s="109"/>
      <c r="E56" s="109"/>
      <c r="F56" s="109"/>
      <c r="G56" s="109"/>
      <c r="H56" s="109"/>
      <c r="I56" s="109"/>
    </row>
    <row r="57" spans="2:9" ht="21" x14ac:dyDescent="0.5">
      <c r="B57" s="109"/>
      <c r="C57" s="109"/>
      <c r="D57" s="109"/>
      <c r="E57" s="109"/>
      <c r="F57" s="109"/>
      <c r="G57" s="109"/>
      <c r="H57" s="109"/>
      <c r="I57" s="1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H131"/>
  <sheetViews>
    <sheetView topLeftCell="A10" workbookViewId="0">
      <selection activeCell="C28" sqref="C28"/>
    </sheetView>
  </sheetViews>
  <sheetFormatPr defaultRowHeight="14.5" x14ac:dyDescent="0.35"/>
  <cols>
    <col min="4" max="4" width="26" bestFit="1" customWidth="1"/>
    <col min="5" max="5" width="14" bestFit="1" customWidth="1"/>
    <col min="8" max="8" width="15.6328125" customWidth="1"/>
    <col min="9" max="9" width="16.26953125" bestFit="1" customWidth="1"/>
    <col min="15" max="15" width="28.81640625" bestFit="1" customWidth="1"/>
  </cols>
  <sheetData>
    <row r="2" spans="2:34" ht="15" thickBot="1" x14ac:dyDescent="0.4">
      <c r="B2" s="123" t="s">
        <v>474</v>
      </c>
      <c r="C2" s="123"/>
      <c r="D2" s="123"/>
      <c r="E2" s="123"/>
      <c r="F2" s="123"/>
      <c r="G2" s="123"/>
      <c r="H2" s="123"/>
      <c r="I2" s="123"/>
      <c r="J2" s="123"/>
    </row>
    <row r="3" spans="2:34" x14ac:dyDescent="0.35">
      <c r="B3" s="156">
        <f ca="1">+F12+B+B3:J24</f>
        <v>0</v>
      </c>
      <c r="C3" s="157" t="s">
        <v>108</v>
      </c>
      <c r="D3" s="157" t="s">
        <v>109</v>
      </c>
      <c r="E3" s="157" t="s">
        <v>3</v>
      </c>
      <c r="F3" s="157" t="s">
        <v>4</v>
      </c>
      <c r="G3" s="157" t="s">
        <v>110</v>
      </c>
      <c r="H3" s="157" t="s">
        <v>111</v>
      </c>
      <c r="I3" s="157" t="s">
        <v>112</v>
      </c>
      <c r="J3" s="158" t="s">
        <v>8</v>
      </c>
      <c r="M3" s="122" t="s">
        <v>397</v>
      </c>
      <c r="N3" s="122" t="s">
        <v>108</v>
      </c>
      <c r="O3" s="122" t="s">
        <v>109</v>
      </c>
      <c r="P3" s="122" t="s">
        <v>3</v>
      </c>
      <c r="Q3" s="122" t="s">
        <v>4</v>
      </c>
      <c r="R3" s="122" t="s">
        <v>110</v>
      </c>
      <c r="S3" s="122" t="s">
        <v>111</v>
      </c>
      <c r="T3" s="122" t="s">
        <v>112</v>
      </c>
      <c r="U3" s="122" t="s">
        <v>8</v>
      </c>
    </row>
    <row r="4" spans="2:34" ht="18" x14ac:dyDescent="0.4">
      <c r="B4" s="159">
        <v>1</v>
      </c>
      <c r="C4" s="43">
        <v>11150</v>
      </c>
      <c r="D4" s="43" t="s">
        <v>354</v>
      </c>
      <c r="E4" s="125">
        <v>100422438392</v>
      </c>
      <c r="F4" s="43">
        <v>5133928293</v>
      </c>
      <c r="G4" s="56">
        <v>45568</v>
      </c>
      <c r="H4" s="43" t="s">
        <v>181</v>
      </c>
      <c r="I4" s="43" t="s">
        <v>355</v>
      </c>
      <c r="J4" s="160"/>
      <c r="M4" s="43">
        <v>1</v>
      </c>
      <c r="N4" s="43">
        <v>11169</v>
      </c>
      <c r="O4" s="62" t="s">
        <v>398</v>
      </c>
      <c r="P4" s="62">
        <v>101970701210</v>
      </c>
      <c r="Q4" s="134">
        <v>5221471360</v>
      </c>
      <c r="R4" s="56">
        <v>45581</v>
      </c>
      <c r="S4" s="43" t="s">
        <v>412</v>
      </c>
      <c r="T4" s="43" t="s">
        <v>399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</row>
    <row r="5" spans="2:34" x14ac:dyDescent="0.35">
      <c r="B5" s="159">
        <v>2</v>
      </c>
      <c r="C5" s="43">
        <v>11154</v>
      </c>
      <c r="D5" s="148" t="s">
        <v>365</v>
      </c>
      <c r="E5" s="126">
        <v>101621637728</v>
      </c>
      <c r="F5" s="43" t="s">
        <v>366</v>
      </c>
      <c r="G5" s="43"/>
      <c r="H5" s="43"/>
      <c r="I5" s="43"/>
      <c r="J5" s="160"/>
      <c r="M5" s="43">
        <v>2</v>
      </c>
      <c r="N5" s="43">
        <v>11168</v>
      </c>
      <c r="O5" s="43" t="s">
        <v>400</v>
      </c>
      <c r="P5" s="62">
        <v>102132429423</v>
      </c>
      <c r="Q5" s="132">
        <v>5221451030</v>
      </c>
      <c r="R5" s="56">
        <v>45566</v>
      </c>
      <c r="S5" s="43" t="s">
        <v>401</v>
      </c>
      <c r="T5" s="43" t="s">
        <v>399</v>
      </c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</row>
    <row r="6" spans="2:34" x14ac:dyDescent="0.35">
      <c r="B6" s="159">
        <v>3</v>
      </c>
      <c r="C6" s="43">
        <v>11157</v>
      </c>
      <c r="D6" s="43" t="s">
        <v>367</v>
      </c>
      <c r="E6" s="62">
        <v>102108534042</v>
      </c>
      <c r="F6" s="43">
        <v>5221391648</v>
      </c>
      <c r="G6" s="56">
        <v>45568</v>
      </c>
      <c r="H6" s="43" t="s">
        <v>368</v>
      </c>
      <c r="I6" s="43" t="s">
        <v>355</v>
      </c>
      <c r="J6" s="160"/>
      <c r="M6" s="43">
        <v>3</v>
      </c>
      <c r="N6" s="43">
        <v>11170</v>
      </c>
      <c r="O6" s="43" t="s">
        <v>402</v>
      </c>
      <c r="P6" s="62">
        <v>101135610688</v>
      </c>
      <c r="Q6" s="43">
        <v>5219940850</v>
      </c>
      <c r="R6" s="56">
        <v>45568</v>
      </c>
      <c r="S6" s="43" t="s">
        <v>362</v>
      </c>
      <c r="T6" s="43" t="s">
        <v>399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</row>
    <row r="7" spans="2:34" x14ac:dyDescent="0.35">
      <c r="B7" s="159">
        <v>4</v>
      </c>
      <c r="C7" s="43">
        <v>11163</v>
      </c>
      <c r="D7" s="132" t="s">
        <v>388</v>
      </c>
      <c r="E7" s="127">
        <v>102130298813</v>
      </c>
      <c r="F7" s="132">
        <v>5221391736</v>
      </c>
      <c r="G7" s="56">
        <v>45576</v>
      </c>
      <c r="H7" s="43" t="s">
        <v>17</v>
      </c>
      <c r="I7" s="43" t="s">
        <v>296</v>
      </c>
      <c r="J7" s="160"/>
      <c r="M7" s="43">
        <v>4</v>
      </c>
      <c r="N7" s="43">
        <v>11171</v>
      </c>
      <c r="O7" s="43" t="s">
        <v>403</v>
      </c>
      <c r="P7" s="62">
        <v>102038772359</v>
      </c>
      <c r="Q7" s="132">
        <v>5221451145</v>
      </c>
      <c r="R7" s="56">
        <v>45568</v>
      </c>
      <c r="S7" s="43" t="s">
        <v>413</v>
      </c>
      <c r="T7" s="43" t="s">
        <v>269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</row>
    <row r="8" spans="2:34" x14ac:dyDescent="0.35">
      <c r="B8" s="159">
        <v>5</v>
      </c>
      <c r="C8" s="43">
        <v>11158</v>
      </c>
      <c r="D8" s="43" t="s">
        <v>369</v>
      </c>
      <c r="E8" s="62">
        <v>101220132820</v>
      </c>
      <c r="F8" s="43">
        <v>5221391571</v>
      </c>
      <c r="G8" s="56">
        <v>45568</v>
      </c>
      <c r="H8" s="43" t="s">
        <v>370</v>
      </c>
      <c r="I8" s="43" t="s">
        <v>25</v>
      </c>
      <c r="J8" s="160"/>
      <c r="M8" s="43">
        <v>5</v>
      </c>
      <c r="N8" s="43">
        <v>11172</v>
      </c>
      <c r="O8" s="43" t="s">
        <v>404</v>
      </c>
      <c r="P8" s="129">
        <v>101373347321</v>
      </c>
      <c r="Q8" s="132">
        <v>5221450735</v>
      </c>
      <c r="R8" s="56">
        <v>45573</v>
      </c>
      <c r="S8" s="43" t="s">
        <v>234</v>
      </c>
      <c r="T8" s="43" t="s">
        <v>399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 spans="2:34" x14ac:dyDescent="0.35">
      <c r="B9" s="159">
        <v>6</v>
      </c>
      <c r="C9" s="43">
        <v>11156</v>
      </c>
      <c r="D9" s="43" t="s">
        <v>371</v>
      </c>
      <c r="E9" s="62">
        <v>102129890706</v>
      </c>
      <c r="F9" s="132">
        <v>5221391798</v>
      </c>
      <c r="G9" s="56">
        <v>45572</v>
      </c>
      <c r="H9" s="43" t="s">
        <v>372</v>
      </c>
      <c r="I9" s="43" t="s">
        <v>17</v>
      </c>
      <c r="J9" s="160"/>
      <c r="M9" s="43">
        <v>6</v>
      </c>
      <c r="N9" s="43">
        <v>11173</v>
      </c>
      <c r="O9" s="43" t="s">
        <v>414</v>
      </c>
      <c r="P9" s="129">
        <v>101889388890</v>
      </c>
      <c r="Q9" s="43">
        <v>5216570485</v>
      </c>
      <c r="R9" s="56">
        <v>45582</v>
      </c>
      <c r="S9" s="43" t="s">
        <v>305</v>
      </c>
      <c r="T9" s="43" t="s">
        <v>399</v>
      </c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 spans="2:34" x14ac:dyDescent="0.35">
      <c r="B10" s="159">
        <v>7</v>
      </c>
      <c r="C10" s="43">
        <v>11165</v>
      </c>
      <c r="D10" s="43" t="s">
        <v>373</v>
      </c>
      <c r="E10" s="126">
        <v>102130667904</v>
      </c>
      <c r="F10" s="43" t="s">
        <v>416</v>
      </c>
      <c r="G10" s="56">
        <v>45572</v>
      </c>
      <c r="H10" s="43" t="s">
        <v>394</v>
      </c>
      <c r="I10" s="43" t="s">
        <v>17</v>
      </c>
      <c r="J10" s="160"/>
      <c r="M10" s="43">
        <v>7</v>
      </c>
      <c r="N10" s="43">
        <v>11174</v>
      </c>
      <c r="O10" s="43" t="s">
        <v>415</v>
      </c>
      <c r="P10" s="62">
        <v>101260343456</v>
      </c>
      <c r="Q10" s="43">
        <v>5218993180</v>
      </c>
      <c r="R10" s="56">
        <v>45569</v>
      </c>
      <c r="S10" s="43" t="s">
        <v>141</v>
      </c>
      <c r="T10" s="43" t="s">
        <v>399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 spans="2:34" ht="18" x14ac:dyDescent="0.4">
      <c r="B11" s="159">
        <v>8</v>
      </c>
      <c r="C11" s="43">
        <v>11175</v>
      </c>
      <c r="D11" s="148" t="s">
        <v>429</v>
      </c>
      <c r="E11" s="127">
        <v>102120060074</v>
      </c>
      <c r="F11" s="149">
        <v>5221466856</v>
      </c>
      <c r="G11" s="56">
        <v>45573</v>
      </c>
      <c r="H11" s="43" t="s">
        <v>417</v>
      </c>
      <c r="I11" s="43" t="s">
        <v>249</v>
      </c>
      <c r="J11" s="160"/>
      <c r="M11" s="43">
        <v>8</v>
      </c>
      <c r="N11" s="43">
        <v>10908</v>
      </c>
      <c r="O11" s="43" t="s">
        <v>418</v>
      </c>
      <c r="P11" s="62">
        <v>101974640943</v>
      </c>
      <c r="Q11" s="133">
        <v>5220241964</v>
      </c>
      <c r="R11" s="56">
        <v>45580</v>
      </c>
      <c r="S11" s="43" t="s">
        <v>120</v>
      </c>
      <c r="T11" s="43" t="s">
        <v>399</v>
      </c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 spans="2:34" x14ac:dyDescent="0.35">
      <c r="B12" s="159">
        <v>9</v>
      </c>
      <c r="C12" s="136">
        <v>11155</v>
      </c>
      <c r="D12" s="136" t="s">
        <v>374</v>
      </c>
      <c r="E12" s="136">
        <v>10212958480</v>
      </c>
      <c r="F12" s="150">
        <v>5221432121</v>
      </c>
      <c r="G12" s="137">
        <v>45576</v>
      </c>
      <c r="H12" s="136" t="s">
        <v>375</v>
      </c>
      <c r="I12" s="136" t="s">
        <v>249</v>
      </c>
      <c r="J12" s="160"/>
      <c r="M12" s="43">
        <v>9</v>
      </c>
      <c r="N12" s="43"/>
      <c r="O12" s="130" t="s">
        <v>419</v>
      </c>
      <c r="P12" s="62" t="s">
        <v>452</v>
      </c>
      <c r="Q12" s="43" t="s">
        <v>39</v>
      </c>
      <c r="R12" s="56">
        <v>45574</v>
      </c>
      <c r="S12" s="43"/>
      <c r="T12" s="43"/>
      <c r="U12" s="38" t="s">
        <v>427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</row>
    <row r="13" spans="2:34" ht="18" x14ac:dyDescent="0.4">
      <c r="B13" s="159">
        <v>10</v>
      </c>
      <c r="C13" s="136">
        <v>11182</v>
      </c>
      <c r="D13" s="136" t="s">
        <v>376</v>
      </c>
      <c r="E13" s="138">
        <v>101155846091</v>
      </c>
      <c r="F13" s="151">
        <v>5221451665</v>
      </c>
      <c r="G13" s="137">
        <v>45573</v>
      </c>
      <c r="H13" s="136" t="s">
        <v>417</v>
      </c>
      <c r="I13" s="136" t="s">
        <v>249</v>
      </c>
      <c r="J13" s="161"/>
      <c r="M13" s="43">
        <v>10</v>
      </c>
      <c r="N13" s="43">
        <v>10366</v>
      </c>
      <c r="O13" s="43" t="s">
        <v>420</v>
      </c>
      <c r="P13" s="62">
        <v>101839261311</v>
      </c>
      <c r="Q13" s="132">
        <v>5221450901</v>
      </c>
      <c r="R13" s="56">
        <v>45561</v>
      </c>
      <c r="S13" s="43" t="s">
        <v>305</v>
      </c>
      <c r="T13" s="43" t="s">
        <v>399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</row>
    <row r="14" spans="2:34" x14ac:dyDescent="0.35">
      <c r="B14" s="159">
        <v>11</v>
      </c>
      <c r="C14" s="136">
        <v>11162</v>
      </c>
      <c r="D14" s="136" t="s">
        <v>377</v>
      </c>
      <c r="E14" s="138">
        <v>102113935746</v>
      </c>
      <c r="F14" s="150">
        <v>5221432555</v>
      </c>
      <c r="G14" s="137">
        <v>45569</v>
      </c>
      <c r="H14" s="136" t="s">
        <v>442</v>
      </c>
      <c r="I14" s="136" t="s">
        <v>249</v>
      </c>
      <c r="J14" s="161"/>
      <c r="M14" s="43">
        <v>11</v>
      </c>
      <c r="N14" s="43">
        <v>11178</v>
      </c>
      <c r="O14" s="43" t="s">
        <v>421</v>
      </c>
      <c r="P14" s="127">
        <v>102074144326</v>
      </c>
      <c r="Q14" s="43">
        <v>5220859153</v>
      </c>
      <c r="R14" s="56">
        <v>45569</v>
      </c>
      <c r="S14" s="43" t="s">
        <v>412</v>
      </c>
      <c r="T14" s="43" t="s">
        <v>399</v>
      </c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</row>
    <row r="15" spans="2:34" x14ac:dyDescent="0.35">
      <c r="B15" s="159">
        <v>12</v>
      </c>
      <c r="C15" s="136">
        <v>11161</v>
      </c>
      <c r="D15" s="136" t="s">
        <v>378</v>
      </c>
      <c r="E15" s="139">
        <v>101166941799</v>
      </c>
      <c r="F15" s="150">
        <v>5221432039</v>
      </c>
      <c r="G15" s="137">
        <v>45572</v>
      </c>
      <c r="H15" s="136" t="s">
        <v>383</v>
      </c>
      <c r="I15" s="136" t="s">
        <v>35</v>
      </c>
      <c r="J15" s="161"/>
      <c r="M15" s="43">
        <v>12</v>
      </c>
      <c r="N15" s="43">
        <v>10367</v>
      </c>
      <c r="O15" s="43" t="s">
        <v>422</v>
      </c>
      <c r="P15" s="62">
        <v>101839267246</v>
      </c>
      <c r="Q15" s="43">
        <v>5218661824</v>
      </c>
      <c r="R15" s="56">
        <v>45561</v>
      </c>
      <c r="S15" s="43" t="s">
        <v>261</v>
      </c>
      <c r="T15" s="43" t="s">
        <v>399</v>
      </c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</row>
    <row r="16" spans="2:34" ht="18" x14ac:dyDescent="0.4">
      <c r="B16" s="159">
        <v>13</v>
      </c>
      <c r="C16" s="140">
        <v>11194</v>
      </c>
      <c r="D16" s="140" t="s">
        <v>379</v>
      </c>
      <c r="E16" s="114">
        <v>102136414959</v>
      </c>
      <c r="F16" s="134" t="s">
        <v>471</v>
      </c>
      <c r="G16" s="141">
        <v>45566</v>
      </c>
      <c r="H16" s="140" t="s">
        <v>431</v>
      </c>
      <c r="I16" s="140" t="s">
        <v>17</v>
      </c>
      <c r="J16" s="162" t="s">
        <v>430</v>
      </c>
      <c r="M16" s="43">
        <v>13</v>
      </c>
      <c r="N16" s="43">
        <v>11180</v>
      </c>
      <c r="O16" s="43" t="s">
        <v>423</v>
      </c>
      <c r="P16" s="127">
        <v>102133578551</v>
      </c>
      <c r="Q16" s="132" t="s">
        <v>432</v>
      </c>
      <c r="R16" s="56">
        <v>45582</v>
      </c>
      <c r="S16" s="43" t="s">
        <v>120</v>
      </c>
      <c r="T16" s="43" t="s">
        <v>399</v>
      </c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</row>
    <row r="17" spans="2:34" x14ac:dyDescent="0.35">
      <c r="B17" s="159">
        <v>14</v>
      </c>
      <c r="C17" s="136">
        <v>11160</v>
      </c>
      <c r="D17" s="136" t="s">
        <v>381</v>
      </c>
      <c r="E17" s="138">
        <v>102130074981</v>
      </c>
      <c r="F17" s="150">
        <v>5221431876</v>
      </c>
      <c r="G17" s="137">
        <v>45566</v>
      </c>
      <c r="H17" s="136" t="s">
        <v>382</v>
      </c>
      <c r="I17" s="136" t="s">
        <v>44</v>
      </c>
      <c r="J17" s="161"/>
      <c r="M17" s="43">
        <v>14</v>
      </c>
      <c r="N17" s="43">
        <v>11166</v>
      </c>
      <c r="O17" s="43" t="s">
        <v>424</v>
      </c>
      <c r="P17" s="62">
        <v>101871401122</v>
      </c>
      <c r="Q17" s="43" t="s">
        <v>425</v>
      </c>
      <c r="R17" s="56">
        <v>45581</v>
      </c>
      <c r="S17" s="43" t="s">
        <v>328</v>
      </c>
      <c r="T17" s="123" t="s">
        <v>329</v>
      </c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</row>
    <row r="18" spans="2:34" x14ac:dyDescent="0.35">
      <c r="B18" s="159">
        <v>15</v>
      </c>
      <c r="C18" s="43">
        <v>11159</v>
      </c>
      <c r="D18" s="43" t="s">
        <v>380</v>
      </c>
      <c r="E18" s="127">
        <v>102130070788</v>
      </c>
      <c r="F18" s="132">
        <v>5221431819</v>
      </c>
      <c r="G18" s="56">
        <v>45573</v>
      </c>
      <c r="H18" s="43" t="s">
        <v>23</v>
      </c>
      <c r="I18" s="43" t="s">
        <v>25</v>
      </c>
      <c r="J18" s="161"/>
      <c r="M18" s="43">
        <v>15</v>
      </c>
      <c r="N18" s="43">
        <v>11179</v>
      </c>
      <c r="O18" s="124" t="s">
        <v>428</v>
      </c>
      <c r="P18" s="127">
        <v>102133576760</v>
      </c>
      <c r="Q18" s="135">
        <v>5221450667</v>
      </c>
      <c r="R18" s="56">
        <v>45555</v>
      </c>
      <c r="S18" s="43" t="s">
        <v>141</v>
      </c>
      <c r="T18" s="43" t="s">
        <v>399</v>
      </c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</row>
    <row r="19" spans="2:34" x14ac:dyDescent="0.35">
      <c r="B19" s="159">
        <v>16</v>
      </c>
      <c r="C19" s="43">
        <v>11181</v>
      </c>
      <c r="D19" s="43" t="s">
        <v>384</v>
      </c>
      <c r="E19" s="127">
        <v>102133581001</v>
      </c>
      <c r="F19" s="43">
        <v>5221415398</v>
      </c>
      <c r="G19" s="56">
        <v>45579</v>
      </c>
      <c r="H19" s="43" t="s">
        <v>215</v>
      </c>
      <c r="I19" s="43" t="s">
        <v>17</v>
      </c>
      <c r="J19" s="161"/>
      <c r="M19" s="43">
        <v>16</v>
      </c>
      <c r="N19" s="43">
        <v>11184</v>
      </c>
      <c r="O19" s="124" t="s">
        <v>433</v>
      </c>
      <c r="P19" s="114">
        <v>101449170207</v>
      </c>
      <c r="Q19" s="53">
        <v>5221467373</v>
      </c>
      <c r="R19" s="56">
        <v>45586</v>
      </c>
      <c r="S19" s="43" t="s">
        <v>169</v>
      </c>
      <c r="T19" s="43" t="s">
        <v>399</v>
      </c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</row>
    <row r="20" spans="2:34" ht="15.5" x14ac:dyDescent="0.35">
      <c r="B20" s="159">
        <v>17</v>
      </c>
      <c r="C20" s="43">
        <v>11177</v>
      </c>
      <c r="D20" s="43" t="s">
        <v>385</v>
      </c>
      <c r="E20" s="145">
        <v>102133130187</v>
      </c>
      <c r="F20" s="43">
        <v>5221415744</v>
      </c>
      <c r="G20" s="56">
        <v>45580</v>
      </c>
      <c r="H20" s="43" t="s">
        <v>372</v>
      </c>
      <c r="I20" s="43" t="s">
        <v>395</v>
      </c>
      <c r="J20" s="161"/>
      <c r="M20" s="43">
        <v>17</v>
      </c>
      <c r="N20" s="43">
        <v>11185</v>
      </c>
      <c r="O20" s="124" t="s">
        <v>434</v>
      </c>
      <c r="P20" s="114">
        <v>102090452365</v>
      </c>
      <c r="Q20" s="53">
        <v>5221467490</v>
      </c>
      <c r="R20" s="56">
        <v>45586</v>
      </c>
      <c r="S20" s="43" t="s">
        <v>169</v>
      </c>
      <c r="T20" s="43" t="s">
        <v>399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</row>
    <row r="21" spans="2:34" x14ac:dyDescent="0.35">
      <c r="B21" s="159">
        <v>18</v>
      </c>
      <c r="C21" s="146">
        <v>11193</v>
      </c>
      <c r="D21" s="146" t="s">
        <v>386</v>
      </c>
      <c r="E21" s="152">
        <v>102136413687</v>
      </c>
      <c r="F21" s="153">
        <v>5221415907</v>
      </c>
      <c r="G21" s="147">
        <v>45577</v>
      </c>
      <c r="H21" s="146" t="s">
        <v>396</v>
      </c>
      <c r="I21" s="146" t="s">
        <v>395</v>
      </c>
      <c r="J21" s="163"/>
      <c r="M21" s="43">
        <v>18</v>
      </c>
      <c r="N21" s="43">
        <v>10365</v>
      </c>
      <c r="O21" s="124" t="s">
        <v>435</v>
      </c>
      <c r="P21" s="127">
        <v>101839256880</v>
      </c>
      <c r="Q21" s="128">
        <v>5221451220</v>
      </c>
      <c r="R21" s="56">
        <v>45557</v>
      </c>
      <c r="S21" s="43" t="s">
        <v>437</v>
      </c>
      <c r="T21" s="43" t="s">
        <v>399</v>
      </c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</row>
    <row r="22" spans="2:34" x14ac:dyDescent="0.35">
      <c r="B22" s="159">
        <v>19</v>
      </c>
      <c r="C22" s="146">
        <v>11192</v>
      </c>
      <c r="D22" s="146" t="s">
        <v>387</v>
      </c>
      <c r="E22" s="152">
        <v>102136409098</v>
      </c>
      <c r="F22" s="153">
        <v>5221415970</v>
      </c>
      <c r="G22" s="147">
        <v>45576</v>
      </c>
      <c r="H22" s="146" t="s">
        <v>396</v>
      </c>
      <c r="I22" s="146" t="s">
        <v>17</v>
      </c>
      <c r="J22" s="163"/>
      <c r="M22" s="43">
        <v>19</v>
      </c>
      <c r="N22" s="38"/>
      <c r="O22" s="43" t="s">
        <v>436</v>
      </c>
      <c r="P22" s="123" t="s">
        <v>416</v>
      </c>
      <c r="Q22" s="43"/>
      <c r="R22" s="38" t="s">
        <v>39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</row>
    <row r="23" spans="2:34" ht="15" thickBot="1" x14ac:dyDescent="0.4">
      <c r="B23" s="164">
        <v>20</v>
      </c>
      <c r="C23" s="165">
        <v>11176</v>
      </c>
      <c r="D23" s="165" t="s">
        <v>389</v>
      </c>
      <c r="E23" s="166">
        <v>101202926095</v>
      </c>
      <c r="F23" s="167">
        <v>5221432640</v>
      </c>
      <c r="G23" s="168">
        <v>45582</v>
      </c>
      <c r="H23" s="165" t="s">
        <v>441</v>
      </c>
      <c r="I23" s="165" t="s">
        <v>426</v>
      </c>
      <c r="J23" s="169"/>
      <c r="M23" s="43">
        <v>20</v>
      </c>
      <c r="N23" s="43">
        <v>11189</v>
      </c>
      <c r="O23" s="124" t="s">
        <v>443</v>
      </c>
      <c r="P23" s="114">
        <v>100954337647</v>
      </c>
      <c r="Q23" s="89">
        <v>5216618091</v>
      </c>
      <c r="R23" s="56">
        <v>45569</v>
      </c>
      <c r="S23" s="43" t="s">
        <v>454</v>
      </c>
      <c r="T23" s="43" t="s">
        <v>399</v>
      </c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</row>
    <row r="24" spans="2:34" x14ac:dyDescent="0.35">
      <c r="B24" s="154"/>
      <c r="C24" s="154"/>
      <c r="D24" s="154"/>
      <c r="E24" s="154"/>
      <c r="F24" s="154"/>
      <c r="G24" s="154"/>
      <c r="H24" s="154"/>
      <c r="I24" s="154"/>
      <c r="J24" s="155"/>
      <c r="M24" s="43">
        <v>21</v>
      </c>
      <c r="N24" s="43">
        <v>11190</v>
      </c>
      <c r="O24" s="124" t="s">
        <v>451</v>
      </c>
      <c r="P24" s="63">
        <v>101491527611</v>
      </c>
      <c r="Q24" s="43"/>
      <c r="R24" s="56">
        <v>45566</v>
      </c>
      <c r="S24" s="43" t="s">
        <v>225</v>
      </c>
      <c r="T24" s="43" t="s">
        <v>399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</row>
    <row r="25" spans="2:34" ht="18" x14ac:dyDescent="0.4">
      <c r="B25" s="159">
        <v>21</v>
      </c>
      <c r="C25" s="146">
        <v>11194</v>
      </c>
      <c r="D25" s="146" t="s">
        <v>379</v>
      </c>
      <c r="E25" s="114">
        <v>102136414959</v>
      </c>
      <c r="F25" s="134" t="s">
        <v>473</v>
      </c>
      <c r="G25" s="147">
        <v>45566</v>
      </c>
      <c r="H25" s="146" t="s">
        <v>431</v>
      </c>
      <c r="I25" s="146" t="s">
        <v>17</v>
      </c>
      <c r="J25" s="162"/>
      <c r="M25" s="43">
        <v>22</v>
      </c>
      <c r="N25" s="43">
        <v>11191</v>
      </c>
      <c r="O25" s="171" t="s">
        <v>455</v>
      </c>
      <c r="P25" s="63">
        <v>102136403166</v>
      </c>
      <c r="Q25" s="170" t="s">
        <v>425</v>
      </c>
      <c r="R25" s="56">
        <v>45588</v>
      </c>
      <c r="S25" s="38"/>
      <c r="T25" s="43" t="s">
        <v>399</v>
      </c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  <row r="26" spans="2:34" ht="18" x14ac:dyDescent="0.4">
      <c r="B26" s="43"/>
      <c r="C26" s="43"/>
      <c r="D26" s="43"/>
      <c r="E26" s="43"/>
      <c r="F26" s="43"/>
      <c r="G26" s="43"/>
      <c r="H26" s="43"/>
      <c r="I26" s="43"/>
      <c r="J26" s="38"/>
      <c r="M26" s="43">
        <v>23</v>
      </c>
      <c r="N26" s="43">
        <v>11077</v>
      </c>
      <c r="O26" s="43" t="s">
        <v>472</v>
      </c>
      <c r="P26" s="57">
        <v>102102845163</v>
      </c>
      <c r="Q26" s="134">
        <v>5221499187</v>
      </c>
      <c r="R26" s="38"/>
      <c r="S26" s="38" t="s">
        <v>120</v>
      </c>
      <c r="T26" s="43" t="s">
        <v>399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</row>
    <row r="27" spans="2:34" x14ac:dyDescent="0.35">
      <c r="B27" s="43"/>
      <c r="C27" s="43"/>
      <c r="D27" s="43"/>
      <c r="E27" s="43"/>
      <c r="F27" s="43"/>
      <c r="G27" s="43"/>
      <c r="H27" s="43"/>
      <c r="I27" s="43"/>
      <c r="J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</row>
    <row r="28" spans="2:34" x14ac:dyDescent="0.35">
      <c r="B28" s="38"/>
      <c r="C28" s="38"/>
      <c r="D28" s="38"/>
      <c r="E28" s="38"/>
      <c r="F28" s="38"/>
      <c r="G28" s="38"/>
      <c r="H28" s="38"/>
      <c r="I28" s="38"/>
      <c r="J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34" x14ac:dyDescent="0.35">
      <c r="B29" s="38"/>
      <c r="C29" s="38"/>
      <c r="D29" s="38"/>
      <c r="E29" s="38"/>
      <c r="F29" s="38"/>
      <c r="G29" s="38"/>
      <c r="H29" s="38"/>
      <c r="I29" s="38"/>
      <c r="J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</row>
    <row r="30" spans="2:34" x14ac:dyDescent="0.35">
      <c r="B30" s="38"/>
      <c r="C30" s="38"/>
      <c r="D30" s="38"/>
      <c r="E30" s="38"/>
      <c r="F30" s="38"/>
      <c r="G30" s="38"/>
      <c r="H30" s="38"/>
      <c r="I30" s="38"/>
      <c r="J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</row>
    <row r="31" spans="2:34" x14ac:dyDescent="0.35">
      <c r="B31" s="38"/>
      <c r="C31" s="38"/>
      <c r="D31" s="38"/>
      <c r="E31" s="38"/>
      <c r="F31" s="38"/>
      <c r="G31" s="38"/>
      <c r="H31" s="38"/>
      <c r="I31" s="38"/>
      <c r="J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</row>
    <row r="32" spans="2:34" x14ac:dyDescent="0.35">
      <c r="B32" s="38"/>
      <c r="C32" s="38"/>
      <c r="D32" s="38"/>
      <c r="E32" s="38"/>
      <c r="F32" s="38"/>
      <c r="G32" s="38"/>
      <c r="H32" s="38"/>
      <c r="I32" s="38"/>
      <c r="J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 spans="2:34" x14ac:dyDescent="0.35">
      <c r="B33" s="38"/>
      <c r="C33" s="38"/>
      <c r="D33" s="38"/>
      <c r="E33" s="38"/>
      <c r="F33" s="38"/>
      <c r="G33" s="38"/>
      <c r="H33" s="38"/>
      <c r="I33" s="38"/>
      <c r="J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 spans="2:34" x14ac:dyDescent="0.35">
      <c r="B34" s="38"/>
      <c r="C34" s="38"/>
      <c r="D34" s="38"/>
      <c r="E34" s="38"/>
      <c r="F34" s="38"/>
      <c r="G34" s="38"/>
      <c r="H34" s="38"/>
      <c r="I34" s="38"/>
      <c r="J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 spans="2:34" x14ac:dyDescent="0.35">
      <c r="B35" s="38"/>
      <c r="C35" s="38"/>
      <c r="D35" s="38"/>
      <c r="E35" s="38"/>
      <c r="F35" s="38"/>
      <c r="G35" s="38"/>
      <c r="H35" s="38"/>
      <c r="I35" s="38"/>
      <c r="J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</row>
    <row r="36" spans="2:34" x14ac:dyDescent="0.35">
      <c r="B36" s="38"/>
      <c r="C36" s="38"/>
      <c r="D36" s="38"/>
      <c r="E36" s="38"/>
      <c r="F36" s="38"/>
      <c r="G36" s="38"/>
      <c r="H36" s="38"/>
      <c r="I36" s="38"/>
      <c r="J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 spans="2:34" x14ac:dyDescent="0.35">
      <c r="B37" s="38"/>
      <c r="C37" s="38"/>
      <c r="D37" s="38"/>
      <c r="E37" s="38"/>
      <c r="F37" s="38"/>
      <c r="G37" s="38"/>
      <c r="H37" s="38"/>
      <c r="I37" s="38"/>
      <c r="J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 spans="2:34" x14ac:dyDescent="0.35">
      <c r="B38" s="38"/>
      <c r="C38" s="38"/>
      <c r="D38" s="38"/>
      <c r="E38" s="38"/>
      <c r="F38" s="38"/>
      <c r="G38" s="38"/>
      <c r="H38" s="38"/>
      <c r="I38" s="38"/>
      <c r="J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 spans="2:34" x14ac:dyDescent="0.35">
      <c r="B39" s="38"/>
      <c r="C39" s="38"/>
      <c r="D39" s="38"/>
      <c r="E39" s="38"/>
      <c r="F39" s="38"/>
      <c r="G39" s="38"/>
      <c r="H39" s="38"/>
      <c r="I39" s="38"/>
      <c r="J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 spans="2:34" x14ac:dyDescent="0.35">
      <c r="B40" s="38"/>
      <c r="C40" s="38"/>
      <c r="D40" s="38"/>
      <c r="E40" s="38"/>
      <c r="F40" s="38"/>
      <c r="G40" s="38"/>
      <c r="H40" s="38"/>
      <c r="I40" s="38"/>
      <c r="J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2:34" x14ac:dyDescent="0.35">
      <c r="B41" s="38"/>
      <c r="C41" s="38"/>
      <c r="D41" s="38"/>
      <c r="E41" s="38"/>
      <c r="F41" s="38"/>
      <c r="G41" s="38"/>
      <c r="H41" s="38"/>
      <c r="I41" s="38"/>
      <c r="J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2:34" x14ac:dyDescent="0.35">
      <c r="B42" s="38"/>
      <c r="C42" s="38"/>
      <c r="D42" s="38"/>
      <c r="E42" s="38"/>
      <c r="F42" s="38"/>
      <c r="G42" s="38"/>
      <c r="H42" s="38"/>
      <c r="I42" s="38"/>
      <c r="J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2:34" x14ac:dyDescent="0.35">
      <c r="B43" s="38"/>
      <c r="C43" s="38"/>
      <c r="D43" s="38"/>
      <c r="E43" s="38"/>
      <c r="F43" s="38"/>
      <c r="G43" s="38"/>
      <c r="H43" s="38"/>
      <c r="I43" s="38"/>
      <c r="J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</row>
    <row r="44" spans="2:34" x14ac:dyDescent="0.35">
      <c r="B44" s="38"/>
      <c r="C44" s="38"/>
      <c r="D44" s="38"/>
      <c r="E44" s="38"/>
      <c r="F44" s="38"/>
      <c r="G44" s="38"/>
      <c r="H44" s="38"/>
      <c r="I44" s="38"/>
      <c r="J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</row>
    <row r="45" spans="2:34" x14ac:dyDescent="0.35">
      <c r="B45" s="38"/>
      <c r="C45" s="38"/>
      <c r="D45" s="38"/>
      <c r="E45" s="38"/>
      <c r="F45" s="38"/>
      <c r="G45" s="38"/>
      <c r="H45" s="38"/>
      <c r="I45" s="38"/>
      <c r="J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 spans="2:34" x14ac:dyDescent="0.35">
      <c r="B46" s="38"/>
      <c r="C46" s="38"/>
      <c r="D46" s="38"/>
      <c r="E46" s="38"/>
      <c r="F46" s="38"/>
      <c r="G46" s="38"/>
      <c r="H46" s="38"/>
      <c r="I46" s="38"/>
      <c r="J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</row>
    <row r="47" spans="2:34" x14ac:dyDescent="0.35">
      <c r="B47" s="38"/>
      <c r="C47" s="38"/>
      <c r="D47" s="38"/>
      <c r="E47" s="38"/>
      <c r="F47" s="38"/>
      <c r="G47" s="38"/>
      <c r="H47" s="38"/>
      <c r="I47" s="38"/>
      <c r="J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</row>
    <row r="48" spans="2:34" x14ac:dyDescent="0.35">
      <c r="B48" s="38"/>
      <c r="C48" s="38"/>
      <c r="D48" s="38"/>
      <c r="E48" s="38"/>
      <c r="F48" s="38"/>
      <c r="G48" s="38"/>
      <c r="H48" s="38"/>
      <c r="I48" s="38"/>
      <c r="J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</row>
    <row r="49" spans="2:34" x14ac:dyDescent="0.35">
      <c r="B49" s="38"/>
      <c r="C49" s="38"/>
      <c r="D49" s="38"/>
      <c r="E49" s="38"/>
      <c r="F49" s="38"/>
      <c r="G49" s="38"/>
      <c r="H49" s="38"/>
      <c r="I49" s="38"/>
      <c r="J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</row>
    <row r="50" spans="2:34" x14ac:dyDescent="0.35">
      <c r="B50" s="38"/>
      <c r="C50" s="38"/>
      <c r="D50" s="38"/>
      <c r="E50" s="38"/>
      <c r="F50" s="38"/>
      <c r="G50" s="38"/>
      <c r="H50" s="38"/>
      <c r="I50" s="38"/>
      <c r="J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</row>
    <row r="51" spans="2:34" x14ac:dyDescent="0.35">
      <c r="B51" s="38"/>
      <c r="C51" s="38"/>
      <c r="D51" s="38"/>
      <c r="E51" s="38"/>
      <c r="F51" s="38"/>
      <c r="G51" s="38"/>
      <c r="H51" s="38"/>
      <c r="I51" s="38"/>
      <c r="J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</row>
    <row r="52" spans="2:34" x14ac:dyDescent="0.35">
      <c r="B52" s="38"/>
      <c r="C52" s="38"/>
      <c r="D52" s="38"/>
      <c r="E52" s="38"/>
      <c r="F52" s="38"/>
      <c r="G52" s="38"/>
      <c r="H52" s="38"/>
      <c r="I52" s="38"/>
      <c r="J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 spans="2:34" x14ac:dyDescent="0.35">
      <c r="B53" s="38"/>
      <c r="C53" s="38"/>
      <c r="D53" s="38"/>
      <c r="E53" s="38"/>
      <c r="F53" s="38"/>
      <c r="G53" s="38"/>
      <c r="H53" s="38"/>
      <c r="I53" s="38"/>
      <c r="J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 spans="2:34" x14ac:dyDescent="0.35">
      <c r="B54" s="38"/>
      <c r="C54" s="38"/>
      <c r="D54" s="38"/>
      <c r="E54" s="38"/>
      <c r="F54" s="38"/>
      <c r="G54" s="38"/>
      <c r="H54" s="38"/>
      <c r="I54" s="38"/>
      <c r="J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</row>
    <row r="55" spans="2:34" x14ac:dyDescent="0.35">
      <c r="B55" s="38"/>
      <c r="C55" s="38"/>
      <c r="D55" s="38"/>
      <c r="E55" s="38"/>
      <c r="F55" s="38"/>
      <c r="G55" s="38"/>
      <c r="H55" s="38"/>
      <c r="I55" s="38"/>
      <c r="J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 spans="2:34" x14ac:dyDescent="0.35">
      <c r="B56" s="38"/>
      <c r="C56" s="38"/>
      <c r="D56" s="38"/>
      <c r="E56" s="38"/>
      <c r="F56" s="38"/>
      <c r="G56" s="38"/>
      <c r="H56" s="38"/>
      <c r="I56" s="38"/>
      <c r="J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</row>
    <row r="57" spans="2:34" x14ac:dyDescent="0.35">
      <c r="B57" s="38"/>
      <c r="C57" s="38"/>
      <c r="D57" s="38"/>
      <c r="E57" s="38"/>
      <c r="F57" s="38"/>
      <c r="G57" s="38"/>
      <c r="H57" s="38"/>
      <c r="I57" s="38"/>
      <c r="J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</row>
    <row r="58" spans="2:34" x14ac:dyDescent="0.35">
      <c r="B58" s="38"/>
      <c r="C58" s="38"/>
      <c r="D58" s="38"/>
      <c r="E58" s="38"/>
      <c r="F58" s="38"/>
      <c r="G58" s="38"/>
      <c r="H58" s="38"/>
      <c r="I58" s="38"/>
      <c r="J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 spans="2:34" x14ac:dyDescent="0.35">
      <c r="B59" s="38"/>
      <c r="C59" s="38"/>
      <c r="D59" s="38"/>
      <c r="E59" s="38"/>
      <c r="F59" s="38"/>
      <c r="G59" s="38"/>
      <c r="H59" s="38"/>
      <c r="I59" s="38"/>
      <c r="J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</row>
    <row r="60" spans="2:34" x14ac:dyDescent="0.35">
      <c r="B60" s="38"/>
      <c r="C60" s="38"/>
      <c r="D60" s="38"/>
      <c r="E60" s="38"/>
      <c r="F60" s="38"/>
      <c r="G60" s="38"/>
      <c r="H60" s="38"/>
      <c r="I60" s="38"/>
      <c r="J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</row>
    <row r="61" spans="2:34" x14ac:dyDescent="0.35">
      <c r="B61" s="38"/>
      <c r="C61" s="38"/>
      <c r="D61" s="38"/>
      <c r="E61" s="38"/>
      <c r="F61" s="38"/>
      <c r="G61" s="38"/>
      <c r="H61" s="38"/>
      <c r="I61" s="38"/>
      <c r="J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</row>
    <row r="62" spans="2:34" x14ac:dyDescent="0.35">
      <c r="B62" s="38"/>
      <c r="C62" s="38"/>
      <c r="D62" s="38"/>
      <c r="E62" s="38"/>
      <c r="F62" s="38"/>
      <c r="G62" s="38"/>
      <c r="H62" s="38"/>
      <c r="I62" s="38"/>
      <c r="J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</row>
    <row r="63" spans="2:34" x14ac:dyDescent="0.35">
      <c r="B63" s="38"/>
      <c r="C63" s="38"/>
      <c r="D63" s="38"/>
      <c r="E63" s="38"/>
      <c r="F63" s="38"/>
      <c r="G63" s="38"/>
      <c r="H63" s="38"/>
      <c r="I63" s="38"/>
      <c r="J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</row>
    <row r="64" spans="2:34" x14ac:dyDescent="0.35">
      <c r="B64" s="38"/>
      <c r="C64" s="38"/>
      <c r="D64" s="38"/>
      <c r="E64" s="38"/>
      <c r="F64" s="38"/>
      <c r="G64" s="38"/>
      <c r="H64" s="38"/>
      <c r="I64" s="38"/>
      <c r="J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</row>
    <row r="65" spans="2:34" x14ac:dyDescent="0.35">
      <c r="B65" s="38"/>
      <c r="C65" s="38"/>
      <c r="D65" s="38"/>
      <c r="E65" s="38"/>
      <c r="F65" s="38"/>
      <c r="G65" s="38"/>
      <c r="H65" s="38"/>
      <c r="I65" s="38"/>
      <c r="J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</row>
    <row r="66" spans="2:34" x14ac:dyDescent="0.35">
      <c r="B66" s="38"/>
      <c r="C66" s="38"/>
      <c r="D66" s="38"/>
      <c r="E66" s="38"/>
      <c r="F66" s="38"/>
      <c r="G66" s="38"/>
      <c r="H66" s="38"/>
      <c r="I66" s="38"/>
      <c r="J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</row>
    <row r="67" spans="2:34" x14ac:dyDescent="0.35">
      <c r="B67" s="38"/>
      <c r="C67" s="38"/>
      <c r="D67" s="38"/>
      <c r="E67" s="38"/>
      <c r="F67" s="38"/>
      <c r="G67" s="38"/>
      <c r="H67" s="38"/>
      <c r="I67" s="38"/>
      <c r="J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</row>
    <row r="68" spans="2:34" x14ac:dyDescent="0.35">
      <c r="B68" s="38"/>
      <c r="C68" s="38"/>
      <c r="D68" s="38"/>
      <c r="E68" s="38"/>
      <c r="F68" s="38"/>
      <c r="G68" s="38"/>
      <c r="H68" s="38"/>
      <c r="I68" s="38"/>
      <c r="J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</row>
    <row r="69" spans="2:34" x14ac:dyDescent="0.35">
      <c r="B69" s="38"/>
      <c r="C69" s="38"/>
      <c r="D69" s="38"/>
      <c r="E69" s="38"/>
      <c r="F69" s="38"/>
      <c r="G69" s="38"/>
      <c r="H69" s="38"/>
      <c r="I69" s="38"/>
      <c r="J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</row>
    <row r="70" spans="2:34" x14ac:dyDescent="0.35">
      <c r="B70" s="38"/>
      <c r="C70" s="38"/>
      <c r="D70" s="38"/>
      <c r="E70" s="38"/>
      <c r="F70" s="38"/>
      <c r="G70" s="38"/>
      <c r="H70" s="38"/>
      <c r="I70" s="38"/>
      <c r="J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</row>
    <row r="71" spans="2:34" x14ac:dyDescent="0.35">
      <c r="B71" s="38"/>
      <c r="C71" s="38"/>
      <c r="D71" s="38"/>
      <c r="E71" s="38"/>
      <c r="F71" s="38"/>
      <c r="G71" s="38"/>
      <c r="H71" s="38"/>
      <c r="I71" s="38"/>
      <c r="J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</row>
    <row r="72" spans="2:34" x14ac:dyDescent="0.35">
      <c r="B72" s="38"/>
      <c r="C72" s="38"/>
      <c r="D72" s="38"/>
      <c r="E72" s="38"/>
      <c r="F72" s="38"/>
      <c r="G72" s="38"/>
      <c r="H72" s="38"/>
      <c r="I72" s="38"/>
      <c r="J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</row>
    <row r="73" spans="2:34" x14ac:dyDescent="0.35">
      <c r="B73" s="38"/>
      <c r="C73" s="38"/>
      <c r="D73" s="38"/>
      <c r="E73" s="38"/>
      <c r="F73" s="38"/>
      <c r="G73" s="38"/>
      <c r="H73" s="38"/>
      <c r="I73" s="38"/>
      <c r="J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</row>
    <row r="74" spans="2:34" x14ac:dyDescent="0.35">
      <c r="B74" s="38"/>
      <c r="C74" s="38"/>
      <c r="D74" s="38"/>
      <c r="E74" s="38"/>
      <c r="F74" s="38"/>
      <c r="G74" s="38"/>
      <c r="H74" s="38"/>
      <c r="I74" s="38"/>
      <c r="J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</row>
    <row r="75" spans="2:34" x14ac:dyDescent="0.35">
      <c r="B75" s="38"/>
      <c r="C75" s="38"/>
      <c r="D75" s="38"/>
      <c r="E75" s="38"/>
      <c r="F75" s="38"/>
      <c r="G75" s="38"/>
      <c r="H75" s="38"/>
      <c r="I75" s="38"/>
      <c r="J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</row>
    <row r="76" spans="2:34" x14ac:dyDescent="0.35">
      <c r="B76" s="38"/>
      <c r="C76" s="38"/>
      <c r="D76" s="38"/>
      <c r="E76" s="38"/>
      <c r="F76" s="38"/>
      <c r="G76" s="38"/>
      <c r="H76" s="38"/>
      <c r="I76" s="38"/>
      <c r="J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</row>
    <row r="77" spans="2:34" x14ac:dyDescent="0.35">
      <c r="B77" s="38"/>
      <c r="C77" s="38"/>
      <c r="D77" s="38"/>
      <c r="E77" s="38"/>
      <c r="F77" s="38"/>
      <c r="G77" s="38"/>
      <c r="H77" s="38"/>
      <c r="I77" s="38"/>
      <c r="J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78" spans="2:34" x14ac:dyDescent="0.35">
      <c r="B78" s="38"/>
      <c r="C78" s="38"/>
      <c r="D78" s="38"/>
      <c r="E78" s="38"/>
      <c r="F78" s="38"/>
      <c r="G78" s="38"/>
      <c r="H78" s="38"/>
      <c r="I78" s="38"/>
      <c r="J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</row>
    <row r="79" spans="2:34" x14ac:dyDescent="0.35">
      <c r="B79" s="38"/>
      <c r="C79" s="38"/>
      <c r="D79" s="38"/>
      <c r="E79" s="38"/>
      <c r="F79" s="38"/>
      <c r="G79" s="38"/>
      <c r="H79" s="38"/>
      <c r="I79" s="38"/>
      <c r="J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</row>
    <row r="80" spans="2:34" x14ac:dyDescent="0.35">
      <c r="B80" s="38"/>
      <c r="C80" s="38"/>
      <c r="D80" s="38"/>
      <c r="E80" s="38"/>
      <c r="F80" s="38"/>
      <c r="G80" s="38"/>
      <c r="H80" s="38"/>
      <c r="I80" s="38"/>
      <c r="J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</row>
    <row r="81" spans="2:34" x14ac:dyDescent="0.35">
      <c r="B81" s="38"/>
      <c r="C81" s="38"/>
      <c r="D81" s="38"/>
      <c r="E81" s="38"/>
      <c r="F81" s="38"/>
      <c r="G81" s="38"/>
      <c r="H81" s="38"/>
      <c r="I81" s="38"/>
      <c r="J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</row>
    <row r="82" spans="2:34" x14ac:dyDescent="0.35">
      <c r="B82" s="38"/>
      <c r="C82" s="38"/>
      <c r="D82" s="38"/>
      <c r="E82" s="38"/>
      <c r="F82" s="38"/>
      <c r="G82" s="38"/>
      <c r="H82" s="38"/>
      <c r="I82" s="38"/>
      <c r="J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</row>
    <row r="83" spans="2:34" x14ac:dyDescent="0.35">
      <c r="B83" s="38"/>
      <c r="C83" s="38"/>
      <c r="D83" s="38"/>
      <c r="E83" s="38"/>
      <c r="F83" s="38"/>
      <c r="G83" s="38"/>
      <c r="H83" s="38"/>
      <c r="I83" s="38"/>
      <c r="J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</row>
    <row r="84" spans="2:34" x14ac:dyDescent="0.35">
      <c r="B84" s="38"/>
      <c r="C84" s="38"/>
      <c r="D84" s="38"/>
      <c r="E84" s="38"/>
      <c r="F84" s="38"/>
      <c r="G84" s="38"/>
      <c r="H84" s="38"/>
      <c r="I84" s="38"/>
      <c r="J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</row>
    <row r="85" spans="2:34" x14ac:dyDescent="0.35">
      <c r="B85" s="38"/>
      <c r="C85" s="38"/>
      <c r="D85" s="38"/>
      <c r="E85" s="38"/>
      <c r="F85" s="38"/>
      <c r="G85" s="38"/>
      <c r="H85" s="38"/>
      <c r="I85" s="38"/>
      <c r="J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</row>
    <row r="86" spans="2:34" x14ac:dyDescent="0.35">
      <c r="B86" s="38"/>
      <c r="C86" s="38"/>
      <c r="D86" s="38"/>
      <c r="E86" s="38"/>
      <c r="F86" s="38"/>
      <c r="G86" s="38"/>
      <c r="H86" s="38"/>
      <c r="I86" s="38"/>
      <c r="J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</row>
    <row r="87" spans="2:34" x14ac:dyDescent="0.35">
      <c r="B87" s="38"/>
      <c r="C87" s="38"/>
      <c r="D87" s="38"/>
      <c r="E87" s="38"/>
      <c r="F87" s="38"/>
      <c r="G87" s="38"/>
      <c r="H87" s="38"/>
      <c r="I87" s="38"/>
      <c r="J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</row>
    <row r="88" spans="2:34" x14ac:dyDescent="0.35">
      <c r="B88" s="38"/>
      <c r="C88" s="38"/>
      <c r="D88" s="38"/>
      <c r="E88" s="38"/>
      <c r="F88" s="38"/>
      <c r="G88" s="38"/>
      <c r="H88" s="38"/>
      <c r="I88" s="38"/>
      <c r="J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</row>
    <row r="89" spans="2:34" x14ac:dyDescent="0.35">
      <c r="B89" s="38"/>
      <c r="C89" s="38"/>
      <c r="D89" s="38"/>
      <c r="E89" s="38"/>
      <c r="F89" s="38"/>
      <c r="G89" s="38"/>
      <c r="H89" s="38"/>
      <c r="I89" s="38"/>
      <c r="J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</row>
    <row r="90" spans="2:34" x14ac:dyDescent="0.35">
      <c r="B90" s="38"/>
      <c r="C90" s="38"/>
      <c r="D90" s="38"/>
      <c r="E90" s="38"/>
      <c r="F90" s="38"/>
      <c r="G90" s="38"/>
      <c r="H90" s="38"/>
      <c r="I90" s="38"/>
      <c r="J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</row>
    <row r="91" spans="2:34" x14ac:dyDescent="0.35">
      <c r="B91" s="38"/>
      <c r="C91" s="38"/>
      <c r="D91" s="38"/>
      <c r="E91" s="38"/>
      <c r="F91" s="38"/>
      <c r="G91" s="38"/>
      <c r="H91" s="38"/>
      <c r="I91" s="38"/>
      <c r="J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</row>
    <row r="92" spans="2:34" x14ac:dyDescent="0.35">
      <c r="B92" s="38"/>
      <c r="C92" s="38"/>
      <c r="D92" s="38"/>
      <c r="E92" s="38"/>
      <c r="F92" s="38"/>
      <c r="G92" s="38"/>
      <c r="H92" s="38"/>
      <c r="I92" s="38"/>
      <c r="J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</row>
    <row r="93" spans="2:34" x14ac:dyDescent="0.35">
      <c r="B93" s="38"/>
      <c r="C93" s="38"/>
      <c r="D93" s="38"/>
      <c r="E93" s="38"/>
      <c r="F93" s="38"/>
      <c r="G93" s="38"/>
      <c r="H93" s="38"/>
      <c r="I93" s="38"/>
      <c r="J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 spans="2:34" x14ac:dyDescent="0.35">
      <c r="B94" s="38"/>
      <c r="C94" s="38"/>
      <c r="D94" s="38"/>
      <c r="E94" s="38"/>
      <c r="F94" s="38"/>
      <c r="G94" s="38"/>
      <c r="H94" s="38"/>
      <c r="I94" s="38"/>
      <c r="J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 spans="2:34" x14ac:dyDescent="0.35">
      <c r="B95" s="38"/>
      <c r="C95" s="38"/>
      <c r="D95" s="38"/>
      <c r="E95" s="38"/>
      <c r="F95" s="38"/>
      <c r="G95" s="38"/>
      <c r="H95" s="38"/>
      <c r="I95" s="38"/>
      <c r="J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</row>
    <row r="96" spans="2:34" x14ac:dyDescent="0.35">
      <c r="B96" s="38"/>
      <c r="C96" s="38"/>
      <c r="D96" s="38"/>
      <c r="E96" s="38"/>
      <c r="F96" s="38"/>
      <c r="G96" s="38"/>
      <c r="H96" s="38"/>
      <c r="I96" s="38"/>
      <c r="J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 spans="2:34" x14ac:dyDescent="0.35">
      <c r="B97" s="38"/>
      <c r="C97" s="38"/>
      <c r="D97" s="38"/>
      <c r="E97" s="38"/>
      <c r="F97" s="38"/>
      <c r="G97" s="38"/>
      <c r="H97" s="38"/>
      <c r="I97" s="38"/>
      <c r="J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</row>
    <row r="98" spans="2:34" x14ac:dyDescent="0.35">
      <c r="B98" s="38"/>
      <c r="C98" s="38"/>
      <c r="D98" s="38"/>
      <c r="E98" s="38"/>
      <c r="F98" s="38"/>
      <c r="G98" s="38"/>
      <c r="H98" s="38"/>
      <c r="I98" s="38"/>
      <c r="J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</row>
    <row r="99" spans="2:34" x14ac:dyDescent="0.35">
      <c r="B99" s="38"/>
      <c r="C99" s="38"/>
      <c r="D99" s="38"/>
      <c r="E99" s="38"/>
      <c r="F99" s="38"/>
      <c r="G99" s="38"/>
      <c r="H99" s="38"/>
      <c r="I99" s="38"/>
      <c r="J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</row>
    <row r="100" spans="2:34" x14ac:dyDescent="0.35">
      <c r="B100" s="38"/>
      <c r="C100" s="38"/>
      <c r="D100" s="38"/>
      <c r="E100" s="38"/>
      <c r="F100" s="38"/>
      <c r="G100" s="38"/>
      <c r="H100" s="38"/>
      <c r="I100" s="38"/>
      <c r="J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</row>
    <row r="101" spans="2:34" x14ac:dyDescent="0.35">
      <c r="B101" s="38"/>
      <c r="C101" s="38"/>
      <c r="D101" s="38"/>
      <c r="E101" s="38"/>
      <c r="F101" s="38"/>
      <c r="G101" s="38"/>
      <c r="H101" s="38"/>
      <c r="I101" s="38"/>
      <c r="J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</row>
    <row r="102" spans="2:34" x14ac:dyDescent="0.35">
      <c r="B102" s="38"/>
      <c r="C102" s="38"/>
      <c r="D102" s="38"/>
      <c r="E102" s="38"/>
      <c r="F102" s="38"/>
      <c r="G102" s="38"/>
      <c r="H102" s="38"/>
      <c r="I102" s="38"/>
      <c r="J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</row>
    <row r="103" spans="2:34" x14ac:dyDescent="0.35">
      <c r="B103" s="38"/>
      <c r="C103" s="38"/>
      <c r="D103" s="38"/>
      <c r="E103" s="38"/>
      <c r="F103" s="38"/>
      <c r="G103" s="38"/>
      <c r="H103" s="38"/>
      <c r="I103" s="38"/>
      <c r="J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</row>
    <row r="104" spans="2:34" x14ac:dyDescent="0.35">
      <c r="B104" s="38"/>
      <c r="C104" s="38"/>
      <c r="D104" s="38"/>
      <c r="E104" s="38"/>
      <c r="F104" s="38"/>
      <c r="G104" s="38"/>
      <c r="H104" s="38"/>
      <c r="I104" s="38"/>
      <c r="J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</row>
    <row r="105" spans="2:34" x14ac:dyDescent="0.35">
      <c r="B105" s="38"/>
      <c r="C105" s="38"/>
      <c r="D105" s="38"/>
      <c r="E105" s="38"/>
      <c r="F105" s="38"/>
      <c r="G105" s="38"/>
      <c r="H105" s="38"/>
      <c r="I105" s="38"/>
      <c r="J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 spans="2:34" x14ac:dyDescent="0.35">
      <c r="B106" s="38"/>
      <c r="C106" s="38"/>
      <c r="D106" s="38"/>
      <c r="E106" s="38"/>
      <c r="F106" s="38"/>
      <c r="G106" s="38"/>
      <c r="H106" s="38"/>
      <c r="I106" s="38"/>
      <c r="J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</row>
    <row r="107" spans="2:34" x14ac:dyDescent="0.35">
      <c r="B107" s="38"/>
      <c r="C107" s="38"/>
      <c r="D107" s="38"/>
      <c r="E107" s="38"/>
      <c r="F107" s="38"/>
      <c r="G107" s="38"/>
      <c r="H107" s="38"/>
      <c r="I107" s="38"/>
      <c r="J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 spans="2:34" x14ac:dyDescent="0.35">
      <c r="B108" s="38"/>
      <c r="C108" s="38"/>
      <c r="D108" s="38"/>
      <c r="E108" s="38"/>
      <c r="F108" s="38"/>
      <c r="G108" s="38"/>
      <c r="H108" s="38"/>
      <c r="I108" s="38"/>
      <c r="J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 spans="2:34" x14ac:dyDescent="0.35">
      <c r="B109" s="38"/>
      <c r="C109" s="38"/>
      <c r="D109" s="38"/>
      <c r="E109" s="38"/>
      <c r="F109" s="38"/>
      <c r="G109" s="38"/>
      <c r="H109" s="38"/>
      <c r="I109" s="38"/>
      <c r="J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</row>
    <row r="110" spans="2:34" x14ac:dyDescent="0.35">
      <c r="B110" s="38"/>
      <c r="C110" s="38"/>
      <c r="D110" s="38"/>
      <c r="E110" s="38"/>
      <c r="F110" s="38"/>
      <c r="G110" s="38"/>
      <c r="H110" s="38"/>
      <c r="I110" s="38"/>
      <c r="J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</row>
    <row r="111" spans="2:34" x14ac:dyDescent="0.35">
      <c r="B111" s="38"/>
      <c r="C111" s="38"/>
      <c r="D111" s="38"/>
      <c r="E111" s="38"/>
      <c r="F111" s="38"/>
      <c r="G111" s="38"/>
      <c r="H111" s="38"/>
      <c r="I111" s="38"/>
      <c r="J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 spans="2:34" x14ac:dyDescent="0.35">
      <c r="B112" s="38"/>
      <c r="C112" s="38"/>
      <c r="D112" s="38"/>
      <c r="E112" s="38"/>
      <c r="F112" s="38"/>
      <c r="G112" s="38"/>
      <c r="H112" s="38"/>
      <c r="I112" s="38"/>
      <c r="J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 spans="2:34" x14ac:dyDescent="0.35">
      <c r="B113" s="38"/>
      <c r="C113" s="38"/>
      <c r="D113" s="38"/>
      <c r="E113" s="38"/>
      <c r="F113" s="38"/>
      <c r="G113" s="38"/>
      <c r="H113" s="38"/>
      <c r="I113" s="38"/>
      <c r="J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 spans="2:34" x14ac:dyDescent="0.35">
      <c r="B114" s="38"/>
      <c r="C114" s="38"/>
      <c r="D114" s="38"/>
      <c r="E114" s="38"/>
      <c r="F114" s="38"/>
      <c r="G114" s="38"/>
      <c r="H114" s="38"/>
      <c r="I114" s="38"/>
      <c r="J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 spans="2:34" x14ac:dyDescent="0.35">
      <c r="B115" s="38"/>
      <c r="C115" s="38"/>
      <c r="D115" s="38"/>
      <c r="E115" s="38"/>
      <c r="F115" s="38"/>
      <c r="G115" s="38"/>
      <c r="H115" s="38"/>
      <c r="I115" s="38"/>
      <c r="J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 spans="2:34" x14ac:dyDescent="0.35">
      <c r="B116" s="38"/>
      <c r="C116" s="38"/>
      <c r="D116" s="38"/>
      <c r="E116" s="38"/>
      <c r="F116" s="38"/>
      <c r="G116" s="38"/>
      <c r="H116" s="38"/>
      <c r="I116" s="38"/>
      <c r="J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 spans="2:34" x14ac:dyDescent="0.35">
      <c r="B117" s="38"/>
      <c r="C117" s="38"/>
      <c r="D117" s="38"/>
      <c r="E117" s="38"/>
      <c r="F117" s="38"/>
      <c r="G117" s="38"/>
      <c r="H117" s="38"/>
      <c r="I117" s="38"/>
      <c r="J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</row>
    <row r="118" spans="2:34" x14ac:dyDescent="0.35">
      <c r="B118" s="38"/>
      <c r="C118" s="38"/>
      <c r="D118" s="38"/>
      <c r="E118" s="38"/>
      <c r="F118" s="38"/>
      <c r="G118" s="38"/>
      <c r="H118" s="38"/>
      <c r="I118" s="38"/>
      <c r="J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</row>
    <row r="119" spans="2:34" x14ac:dyDescent="0.35">
      <c r="B119" s="38"/>
      <c r="C119" s="38"/>
      <c r="D119" s="38"/>
      <c r="E119" s="38"/>
      <c r="F119" s="38"/>
      <c r="G119" s="38"/>
      <c r="H119" s="38"/>
      <c r="I119" s="38"/>
      <c r="J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</row>
    <row r="120" spans="2:34" x14ac:dyDescent="0.35">
      <c r="B120" s="38"/>
      <c r="C120" s="38"/>
      <c r="D120" s="38"/>
      <c r="E120" s="38"/>
      <c r="F120" s="38"/>
      <c r="G120" s="38"/>
      <c r="H120" s="38"/>
      <c r="I120" s="38"/>
      <c r="J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</row>
    <row r="121" spans="2:34" x14ac:dyDescent="0.35">
      <c r="B121" s="38"/>
      <c r="C121" s="38"/>
      <c r="D121" s="38"/>
      <c r="E121" s="38"/>
      <c r="F121" s="38"/>
      <c r="G121" s="38"/>
      <c r="H121" s="38"/>
      <c r="I121" s="38"/>
      <c r="J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</row>
    <row r="122" spans="2:34" x14ac:dyDescent="0.35">
      <c r="B122" s="38"/>
      <c r="C122" s="38"/>
      <c r="D122" s="38"/>
      <c r="E122" s="38"/>
      <c r="F122" s="38"/>
      <c r="G122" s="38"/>
      <c r="H122" s="38"/>
      <c r="I122" s="38"/>
      <c r="J122" s="38"/>
    </row>
    <row r="123" spans="2:34" x14ac:dyDescent="0.35">
      <c r="B123" s="38"/>
      <c r="C123" s="38"/>
      <c r="D123" s="38"/>
      <c r="E123" s="38"/>
      <c r="F123" s="38"/>
      <c r="G123" s="38"/>
      <c r="H123" s="38"/>
      <c r="I123" s="38"/>
      <c r="J123" s="38"/>
    </row>
    <row r="124" spans="2:34" x14ac:dyDescent="0.35"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2:34" x14ac:dyDescent="0.35">
      <c r="B125" s="38"/>
      <c r="C125" s="38"/>
      <c r="D125" s="38"/>
      <c r="E125" s="38"/>
      <c r="F125" s="38"/>
      <c r="G125" s="38"/>
      <c r="H125" s="38"/>
      <c r="I125" s="38"/>
      <c r="J125" s="38"/>
    </row>
    <row r="126" spans="2:34" x14ac:dyDescent="0.35">
      <c r="B126" s="38"/>
      <c r="C126" s="38"/>
      <c r="D126" s="38"/>
      <c r="E126" s="38"/>
      <c r="F126" s="38"/>
      <c r="G126" s="38"/>
      <c r="H126" s="38"/>
      <c r="I126" s="38"/>
      <c r="J126" s="38"/>
    </row>
    <row r="127" spans="2:34" x14ac:dyDescent="0.35">
      <c r="B127" s="38"/>
      <c r="C127" s="38"/>
      <c r="D127" s="38"/>
      <c r="E127" s="38"/>
      <c r="F127" s="38"/>
      <c r="G127" s="38"/>
      <c r="H127" s="38"/>
      <c r="I127" s="38"/>
      <c r="J127" s="38"/>
    </row>
    <row r="128" spans="2:34" x14ac:dyDescent="0.35">
      <c r="B128" s="38"/>
      <c r="C128" s="38"/>
      <c r="D128" s="38"/>
      <c r="E128" s="38"/>
      <c r="F128" s="38"/>
      <c r="G128" s="38"/>
      <c r="H128" s="38"/>
      <c r="I128" s="38"/>
      <c r="J128" s="38"/>
    </row>
    <row r="129" spans="2:10" x14ac:dyDescent="0.35">
      <c r="B129" s="38"/>
      <c r="C129" s="38"/>
      <c r="D129" s="38"/>
      <c r="E129" s="38"/>
      <c r="F129" s="38"/>
      <c r="G129" s="38"/>
      <c r="H129" s="38"/>
      <c r="I129" s="38"/>
      <c r="J129" s="38"/>
    </row>
    <row r="130" spans="2:10" x14ac:dyDescent="0.35">
      <c r="B130" s="38"/>
      <c r="C130" s="38"/>
      <c r="D130" s="38"/>
      <c r="E130" s="38"/>
      <c r="F130" s="38"/>
      <c r="G130" s="38"/>
      <c r="H130" s="38"/>
      <c r="I130" s="38"/>
      <c r="J130" s="38"/>
    </row>
    <row r="131" spans="2:10" x14ac:dyDescent="0.35">
      <c r="B131" s="38"/>
      <c r="C131" s="38"/>
      <c r="D131" s="38"/>
      <c r="E131" s="38"/>
      <c r="F131" s="38"/>
      <c r="G131" s="38"/>
      <c r="H131" s="38"/>
      <c r="I131" s="38"/>
      <c r="J131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T32"/>
  <sheetViews>
    <sheetView topLeftCell="A10" workbookViewId="0"/>
  </sheetViews>
  <sheetFormatPr defaultRowHeight="14.5" x14ac:dyDescent="0.35"/>
  <sheetData>
    <row r="2" spans="1:20" x14ac:dyDescent="0.35">
      <c r="D2" s="38"/>
      <c r="E2" s="38"/>
    </row>
    <row r="3" spans="1:20" x14ac:dyDescent="0.35">
      <c r="D3" s="176" t="s">
        <v>579</v>
      </c>
      <c r="E3" s="38"/>
    </row>
    <row r="4" spans="1:20" ht="21" x14ac:dyDescent="0.5">
      <c r="A4" s="192" t="s">
        <v>0</v>
      </c>
      <c r="B4" s="192" t="s">
        <v>1</v>
      </c>
      <c r="C4" s="192" t="s">
        <v>2</v>
      </c>
      <c r="D4" s="192" t="s">
        <v>3</v>
      </c>
      <c r="E4" s="192" t="s">
        <v>4</v>
      </c>
      <c r="F4" s="192" t="s">
        <v>5</v>
      </c>
      <c r="G4" s="192" t="s">
        <v>6</v>
      </c>
      <c r="H4" s="192" t="s">
        <v>7</v>
      </c>
      <c r="I4" s="1" t="s">
        <v>8</v>
      </c>
      <c r="L4" s="173" t="s">
        <v>0</v>
      </c>
      <c r="M4" s="173" t="s">
        <v>540</v>
      </c>
      <c r="N4" s="173" t="s">
        <v>109</v>
      </c>
      <c r="O4" s="173" t="s">
        <v>3</v>
      </c>
      <c r="P4" s="173" t="s">
        <v>4</v>
      </c>
      <c r="Q4" s="173" t="s">
        <v>110</v>
      </c>
      <c r="R4" s="188" t="s">
        <v>541</v>
      </c>
      <c r="S4" s="188" t="s">
        <v>112</v>
      </c>
      <c r="T4" s="1" t="s">
        <v>8</v>
      </c>
    </row>
    <row r="5" spans="1:20" ht="18.5" x14ac:dyDescent="0.45">
      <c r="A5" s="43">
        <v>1</v>
      </c>
      <c r="B5" s="43">
        <v>11225</v>
      </c>
      <c r="C5" s="43" t="s">
        <v>528</v>
      </c>
      <c r="D5" s="114">
        <v>101950978461</v>
      </c>
      <c r="E5" s="66">
        <v>5221635835</v>
      </c>
      <c r="F5" s="56">
        <v>45629</v>
      </c>
      <c r="G5" s="43" t="s">
        <v>458</v>
      </c>
      <c r="H5" s="43" t="s">
        <v>502</v>
      </c>
      <c r="I5" s="38"/>
      <c r="L5" s="43">
        <v>1</v>
      </c>
      <c r="M5" s="43">
        <v>11229</v>
      </c>
      <c r="N5" s="46" t="s">
        <v>542</v>
      </c>
      <c r="O5" s="114">
        <v>102104500943</v>
      </c>
      <c r="P5" s="66">
        <v>5221058101</v>
      </c>
      <c r="Q5" s="56">
        <v>45630</v>
      </c>
      <c r="R5" s="43" t="s">
        <v>141</v>
      </c>
      <c r="S5" s="43" t="s">
        <v>543</v>
      </c>
      <c r="T5" s="43" t="s">
        <v>544</v>
      </c>
    </row>
    <row r="6" spans="1:20" ht="18" x14ac:dyDescent="0.4">
      <c r="A6" s="43">
        <v>2</v>
      </c>
      <c r="B6" s="43">
        <v>11226</v>
      </c>
      <c r="C6" s="43" t="s">
        <v>530</v>
      </c>
      <c r="D6" s="114">
        <v>101910843714</v>
      </c>
      <c r="E6" s="17">
        <v>5221618834</v>
      </c>
      <c r="F6" s="56">
        <v>45633</v>
      </c>
      <c r="G6" s="43" t="s">
        <v>531</v>
      </c>
      <c r="H6" s="43" t="s">
        <v>35</v>
      </c>
      <c r="I6" s="38"/>
      <c r="L6" s="43">
        <v>2</v>
      </c>
      <c r="M6" s="43">
        <v>11230</v>
      </c>
      <c r="N6" s="131" t="s">
        <v>545</v>
      </c>
      <c r="O6" s="114">
        <v>102150282140</v>
      </c>
      <c r="P6" s="65">
        <v>5221644322</v>
      </c>
      <c r="Q6" s="56">
        <v>45632</v>
      </c>
      <c r="R6" s="43" t="s">
        <v>141</v>
      </c>
      <c r="S6" s="43" t="s">
        <v>546</v>
      </c>
      <c r="T6" s="43" t="s">
        <v>547</v>
      </c>
    </row>
    <row r="7" spans="1:20" ht="18" x14ac:dyDescent="0.4">
      <c r="A7" s="43">
        <v>3</v>
      </c>
      <c r="B7" s="43">
        <v>11245</v>
      </c>
      <c r="C7" s="43" t="s">
        <v>532</v>
      </c>
      <c r="D7" s="63">
        <v>102153895880</v>
      </c>
      <c r="E7" s="17">
        <v>5221619784</v>
      </c>
      <c r="F7" s="56">
        <v>45632</v>
      </c>
      <c r="G7" s="43" t="s">
        <v>23</v>
      </c>
      <c r="H7" s="43" t="s">
        <v>25</v>
      </c>
      <c r="I7" s="38"/>
      <c r="L7" s="43">
        <v>3</v>
      </c>
      <c r="M7" s="154">
        <v>10732</v>
      </c>
      <c r="N7" s="189" t="s">
        <v>548</v>
      </c>
      <c r="O7" s="114">
        <v>102026106074</v>
      </c>
      <c r="P7" s="190" t="s">
        <v>549</v>
      </c>
      <c r="Q7" s="56">
        <v>45626</v>
      </c>
      <c r="R7" s="43" t="s">
        <v>141</v>
      </c>
      <c r="S7" s="43" t="s">
        <v>543</v>
      </c>
      <c r="T7" s="43"/>
    </row>
    <row r="8" spans="1:20" ht="18" x14ac:dyDescent="0.4">
      <c r="A8" s="43">
        <v>4</v>
      </c>
      <c r="B8" s="43">
        <v>11227</v>
      </c>
      <c r="C8" s="43" t="s">
        <v>583</v>
      </c>
      <c r="D8" s="63">
        <v>102150248606</v>
      </c>
      <c r="E8" s="17">
        <v>5221618897</v>
      </c>
      <c r="F8" s="56">
        <v>45629</v>
      </c>
      <c r="G8" s="43" t="s">
        <v>458</v>
      </c>
      <c r="H8" s="43" t="s">
        <v>533</v>
      </c>
      <c r="I8" s="38"/>
      <c r="L8" s="43">
        <v>4</v>
      </c>
      <c r="M8" s="43">
        <v>11231</v>
      </c>
      <c r="N8" s="171" t="s">
        <v>550</v>
      </c>
      <c r="O8" s="114">
        <v>102150305220</v>
      </c>
      <c r="P8" s="43" t="s">
        <v>562</v>
      </c>
      <c r="Q8" s="56">
        <v>45617</v>
      </c>
      <c r="R8" s="43" t="s">
        <v>141</v>
      </c>
      <c r="S8" s="43" t="s">
        <v>551</v>
      </c>
      <c r="T8" s="43" t="s">
        <v>552</v>
      </c>
    </row>
    <row r="9" spans="1:20" ht="18.5" x14ac:dyDescent="0.45">
      <c r="A9" s="43">
        <v>5</v>
      </c>
      <c r="B9" s="131">
        <v>11238</v>
      </c>
      <c r="C9" s="43" t="s">
        <v>534</v>
      </c>
      <c r="D9" s="114">
        <v>101810780878</v>
      </c>
      <c r="E9" s="66">
        <v>5218430554</v>
      </c>
      <c r="F9" s="56">
        <v>45656</v>
      </c>
      <c r="G9" s="43" t="s">
        <v>23</v>
      </c>
      <c r="H9" s="43" t="s">
        <v>576</v>
      </c>
      <c r="I9" s="38"/>
      <c r="L9" s="43">
        <v>5</v>
      </c>
      <c r="M9" s="43">
        <v>11232</v>
      </c>
      <c r="N9" s="131" t="s">
        <v>553</v>
      </c>
      <c r="O9" s="63">
        <v>102150312760</v>
      </c>
      <c r="P9" s="43" t="s">
        <v>562</v>
      </c>
      <c r="Q9" s="56">
        <v>45617</v>
      </c>
      <c r="R9" s="43" t="s">
        <v>141</v>
      </c>
      <c r="S9" s="43" t="s">
        <v>551</v>
      </c>
      <c r="T9" s="43" t="s">
        <v>552</v>
      </c>
    </row>
    <row r="10" spans="1:20" ht="18" x14ac:dyDescent="0.4">
      <c r="A10" s="43">
        <v>6</v>
      </c>
      <c r="B10" s="43">
        <v>11228</v>
      </c>
      <c r="C10" s="131" t="s">
        <v>535</v>
      </c>
      <c r="D10" s="63">
        <v>102068683541</v>
      </c>
      <c r="E10" s="17">
        <v>5221635029</v>
      </c>
      <c r="F10" s="56">
        <v>45631</v>
      </c>
      <c r="G10" s="43" t="s">
        <v>536</v>
      </c>
      <c r="H10" s="43" t="s">
        <v>206</v>
      </c>
      <c r="I10" s="38"/>
      <c r="L10" s="43">
        <v>6</v>
      </c>
      <c r="M10" s="43">
        <v>11233</v>
      </c>
      <c r="N10" s="124" t="s">
        <v>554</v>
      </c>
      <c r="O10" s="114">
        <v>102079982920</v>
      </c>
      <c r="P10" s="143" t="s">
        <v>555</v>
      </c>
      <c r="Q10" s="56">
        <v>45628</v>
      </c>
      <c r="R10" s="43" t="s">
        <v>141</v>
      </c>
      <c r="S10" s="43" t="s">
        <v>543</v>
      </c>
      <c r="T10" s="43"/>
    </row>
    <row r="11" spans="1:20" ht="18.5" x14ac:dyDescent="0.45">
      <c r="A11" s="43">
        <v>7</v>
      </c>
      <c r="B11" s="43"/>
      <c r="C11" s="43" t="s">
        <v>537</v>
      </c>
      <c r="D11" s="43"/>
      <c r="E11" s="66" t="s">
        <v>562</v>
      </c>
      <c r="F11" s="43"/>
      <c r="G11" s="43"/>
      <c r="H11" s="43"/>
      <c r="I11" s="38"/>
      <c r="L11" s="43">
        <v>7</v>
      </c>
      <c r="M11" s="43">
        <v>11234</v>
      </c>
      <c r="N11" s="43" t="s">
        <v>556</v>
      </c>
      <c r="O11" s="63">
        <v>101909978367</v>
      </c>
      <c r="P11" s="190">
        <v>5221150262</v>
      </c>
      <c r="Q11" s="56">
        <v>45639</v>
      </c>
      <c r="R11" s="43" t="s">
        <v>120</v>
      </c>
      <c r="S11" s="43" t="s">
        <v>557</v>
      </c>
      <c r="T11" s="43"/>
    </row>
    <row r="12" spans="1:20" ht="18.5" x14ac:dyDescent="0.45">
      <c r="A12" s="43">
        <v>8</v>
      </c>
      <c r="B12" s="43">
        <v>11242</v>
      </c>
      <c r="C12" s="43" t="s">
        <v>538</v>
      </c>
      <c r="D12" s="114">
        <v>101637951357</v>
      </c>
      <c r="E12" s="66">
        <v>522129491</v>
      </c>
      <c r="F12" s="56">
        <v>45628</v>
      </c>
      <c r="G12" s="43" t="s">
        <v>197</v>
      </c>
      <c r="H12" s="43" t="s">
        <v>585</v>
      </c>
      <c r="I12" s="38"/>
      <c r="L12" s="43">
        <v>8</v>
      </c>
      <c r="M12" s="43">
        <v>11235</v>
      </c>
      <c r="N12" s="43" t="s">
        <v>558</v>
      </c>
      <c r="O12" s="63">
        <v>102147185297</v>
      </c>
      <c r="P12" s="65">
        <v>5221629993</v>
      </c>
      <c r="Q12" s="56">
        <v>45628</v>
      </c>
      <c r="R12" s="43" t="s">
        <v>120</v>
      </c>
      <c r="S12" s="43" t="s">
        <v>559</v>
      </c>
      <c r="T12" s="43" t="s">
        <v>544</v>
      </c>
    </row>
    <row r="13" spans="1:20" ht="18.5" x14ac:dyDescent="0.45">
      <c r="A13" s="43">
        <v>9</v>
      </c>
      <c r="B13" s="131">
        <v>11239</v>
      </c>
      <c r="C13" s="43" t="s">
        <v>539</v>
      </c>
      <c r="D13" s="114">
        <v>100445336114</v>
      </c>
      <c r="E13" s="66">
        <v>5211136916</v>
      </c>
      <c r="F13" s="56">
        <v>45628</v>
      </c>
      <c r="G13" s="43" t="s">
        <v>577</v>
      </c>
      <c r="H13" s="43" t="s">
        <v>578</v>
      </c>
      <c r="I13" s="38"/>
      <c r="L13" s="43">
        <v>9</v>
      </c>
      <c r="M13" s="43">
        <v>11236</v>
      </c>
      <c r="N13" s="123" t="s">
        <v>560</v>
      </c>
      <c r="O13" s="63">
        <v>101977457216</v>
      </c>
      <c r="P13" s="43" t="s">
        <v>562</v>
      </c>
      <c r="Q13" s="56">
        <v>45628</v>
      </c>
      <c r="R13" s="43" t="s">
        <v>120</v>
      </c>
      <c r="S13" s="43" t="s">
        <v>559</v>
      </c>
      <c r="T13" s="43" t="s">
        <v>544</v>
      </c>
    </row>
    <row r="14" spans="1:20" ht="43.5" x14ac:dyDescent="0.45">
      <c r="A14" s="43">
        <v>10</v>
      </c>
      <c r="B14" s="43">
        <v>11240</v>
      </c>
      <c r="C14" s="43" t="s">
        <v>563</v>
      </c>
      <c r="D14" s="114">
        <v>102153833755</v>
      </c>
      <c r="E14" s="66">
        <v>5221621701</v>
      </c>
      <c r="F14" s="56">
        <v>45645</v>
      </c>
      <c r="G14" s="43"/>
      <c r="H14" s="43"/>
      <c r="I14" s="38"/>
      <c r="L14" s="43">
        <v>10</v>
      </c>
      <c r="M14" s="124">
        <v>11237</v>
      </c>
      <c r="N14" s="186" t="s">
        <v>561</v>
      </c>
      <c r="O14" s="63">
        <v>102056795976</v>
      </c>
      <c r="P14" s="43">
        <v>5220642343</v>
      </c>
      <c r="Q14" s="56">
        <v>45635</v>
      </c>
      <c r="R14" s="43" t="s">
        <v>120</v>
      </c>
      <c r="S14" s="43" t="s">
        <v>559</v>
      </c>
      <c r="T14" s="43"/>
    </row>
    <row r="15" spans="1:20" ht="18" x14ac:dyDescent="0.4">
      <c r="A15" s="43">
        <v>11</v>
      </c>
      <c r="B15" s="43">
        <v>11256</v>
      </c>
      <c r="C15" s="43" t="s">
        <v>564</v>
      </c>
      <c r="D15" s="63">
        <v>102155632619</v>
      </c>
      <c r="E15" s="17">
        <v>5221617942</v>
      </c>
      <c r="F15" s="56">
        <v>45645</v>
      </c>
      <c r="G15" s="43" t="s">
        <v>17</v>
      </c>
      <c r="H15" s="43" t="s">
        <v>34</v>
      </c>
      <c r="I15" s="38"/>
      <c r="L15" s="43">
        <v>11</v>
      </c>
      <c r="M15" s="43">
        <v>11190</v>
      </c>
      <c r="N15" s="189" t="s">
        <v>568</v>
      </c>
      <c r="O15" s="114">
        <v>101491527611</v>
      </c>
      <c r="P15" s="65">
        <v>5221649167</v>
      </c>
      <c r="Q15" s="56">
        <v>45627</v>
      </c>
      <c r="R15" s="43" t="s">
        <v>569</v>
      </c>
      <c r="S15" s="43" t="s">
        <v>551</v>
      </c>
      <c r="T15" s="43"/>
    </row>
    <row r="16" spans="1:20" ht="18" x14ac:dyDescent="0.4">
      <c r="A16" s="43">
        <v>12</v>
      </c>
      <c r="B16" s="43">
        <v>11248</v>
      </c>
      <c r="C16" s="43" t="s">
        <v>565</v>
      </c>
      <c r="D16" s="63">
        <v>101954172580</v>
      </c>
      <c r="E16" s="17">
        <v>5221618668</v>
      </c>
      <c r="F16" s="56">
        <v>45645</v>
      </c>
      <c r="G16" s="43" t="s">
        <v>17</v>
      </c>
      <c r="H16" s="43" t="s">
        <v>34</v>
      </c>
      <c r="I16" s="38"/>
      <c r="L16" s="43">
        <v>12</v>
      </c>
      <c r="M16" s="131">
        <v>11078</v>
      </c>
      <c r="N16" s="124" t="s">
        <v>572</v>
      </c>
      <c r="O16" s="114">
        <v>101163312816</v>
      </c>
      <c r="P16" s="89">
        <v>5216835086</v>
      </c>
      <c r="Q16" s="56">
        <v>45643</v>
      </c>
      <c r="R16" s="43" t="s">
        <v>570</v>
      </c>
      <c r="S16" s="43" t="s">
        <v>571</v>
      </c>
      <c r="T16" s="43"/>
    </row>
    <row r="17" spans="1:20" ht="18" x14ac:dyDescent="0.4">
      <c r="A17" s="43">
        <v>13</v>
      </c>
      <c r="B17" s="43">
        <v>11244</v>
      </c>
      <c r="C17" s="43" t="s">
        <v>566</v>
      </c>
      <c r="D17" s="63">
        <v>102153892212</v>
      </c>
      <c r="E17" s="17">
        <v>5221618151</v>
      </c>
      <c r="F17" s="56">
        <v>45645</v>
      </c>
      <c r="G17" s="43"/>
      <c r="H17" s="43"/>
      <c r="I17" s="38"/>
      <c r="L17" s="43">
        <v>13</v>
      </c>
      <c r="M17" s="131">
        <v>11148</v>
      </c>
      <c r="N17" s="43" t="s">
        <v>573</v>
      </c>
      <c r="O17" s="63">
        <v>101759656591</v>
      </c>
      <c r="P17" s="89">
        <v>5219571535</v>
      </c>
      <c r="Q17" s="56">
        <v>45646</v>
      </c>
      <c r="R17" s="43" t="s">
        <v>574</v>
      </c>
      <c r="S17" s="43" t="s">
        <v>571</v>
      </c>
      <c r="T17" s="43"/>
    </row>
    <row r="18" spans="1:20" ht="18" x14ac:dyDescent="0.4">
      <c r="A18" s="43">
        <v>14</v>
      </c>
      <c r="B18" s="131">
        <v>11243</v>
      </c>
      <c r="C18" s="43" t="s">
        <v>567</v>
      </c>
      <c r="D18" s="63">
        <v>102153853904</v>
      </c>
      <c r="E18" s="65">
        <v>5221692701</v>
      </c>
      <c r="F18" s="56">
        <v>45645</v>
      </c>
      <c r="G18" s="43" t="s">
        <v>17</v>
      </c>
      <c r="H18" s="43" t="s">
        <v>23</v>
      </c>
      <c r="I18" s="38"/>
      <c r="L18" s="43">
        <v>14</v>
      </c>
      <c r="M18" s="131">
        <v>10838</v>
      </c>
      <c r="N18" s="43" t="s">
        <v>575</v>
      </c>
      <c r="O18" s="63">
        <v>101443045467</v>
      </c>
      <c r="P18" s="89">
        <v>5218852076</v>
      </c>
      <c r="Q18" s="56">
        <v>45635</v>
      </c>
      <c r="R18" s="43" t="s">
        <v>461</v>
      </c>
      <c r="S18" s="43" t="s">
        <v>571</v>
      </c>
      <c r="T18" s="43"/>
    </row>
    <row r="19" spans="1:20" ht="18.5" x14ac:dyDescent="0.45">
      <c r="A19" s="43">
        <v>15</v>
      </c>
      <c r="B19" s="43">
        <v>11247</v>
      </c>
      <c r="C19" s="43" t="s">
        <v>580</v>
      </c>
      <c r="D19" s="63">
        <v>101626727030</v>
      </c>
      <c r="E19" s="66">
        <v>5220204602</v>
      </c>
      <c r="F19" s="56">
        <v>45645</v>
      </c>
      <c r="G19" s="43" t="s">
        <v>17</v>
      </c>
      <c r="H19" s="43"/>
      <c r="I19" s="38"/>
      <c r="L19" s="43">
        <v>15</v>
      </c>
      <c r="M19" s="43">
        <v>11223</v>
      </c>
      <c r="N19" s="43" t="s">
        <v>586</v>
      </c>
      <c r="O19" s="63">
        <v>102028075202</v>
      </c>
      <c r="P19" s="65">
        <v>5221182807</v>
      </c>
      <c r="Q19" s="56">
        <v>45623</v>
      </c>
      <c r="R19" s="43" t="s">
        <v>160</v>
      </c>
      <c r="S19" s="43" t="s">
        <v>559</v>
      </c>
      <c r="T19" s="43"/>
    </row>
    <row r="20" spans="1:20" ht="18.5" x14ac:dyDescent="0.45">
      <c r="A20" s="43">
        <v>16</v>
      </c>
      <c r="B20" s="43">
        <v>11246</v>
      </c>
      <c r="C20" s="43" t="s">
        <v>581</v>
      </c>
      <c r="D20" s="63">
        <v>101858145524</v>
      </c>
      <c r="E20" s="17" t="s">
        <v>582</v>
      </c>
      <c r="F20" s="56">
        <v>45645</v>
      </c>
      <c r="G20" s="43" t="s">
        <v>417</v>
      </c>
      <c r="H20" s="43"/>
      <c r="I20" s="38"/>
      <c r="L20" s="43">
        <v>16</v>
      </c>
      <c r="M20" s="43">
        <v>11249</v>
      </c>
      <c r="N20" s="43" t="s">
        <v>587</v>
      </c>
      <c r="O20" s="63">
        <v>101820491872</v>
      </c>
      <c r="P20" s="191">
        <v>5218512171</v>
      </c>
      <c r="Q20" s="56">
        <v>45627</v>
      </c>
      <c r="R20" s="43" t="s">
        <v>588</v>
      </c>
      <c r="S20" s="43" t="s">
        <v>589</v>
      </c>
      <c r="T20" s="43"/>
    </row>
    <row r="21" spans="1:20" ht="18" x14ac:dyDescent="0.4">
      <c r="A21" s="43">
        <v>17</v>
      </c>
      <c r="B21" s="43">
        <v>11241</v>
      </c>
      <c r="C21" s="43" t="s">
        <v>584</v>
      </c>
      <c r="D21" s="114">
        <v>102153844190</v>
      </c>
      <c r="E21" s="17">
        <v>5221635639</v>
      </c>
      <c r="F21" s="56">
        <v>45645</v>
      </c>
      <c r="G21" s="43" t="s">
        <v>249</v>
      </c>
      <c r="H21" s="43" t="s">
        <v>417</v>
      </c>
      <c r="I21" s="38"/>
      <c r="L21" s="43">
        <v>17</v>
      </c>
      <c r="M21" s="43">
        <v>11250</v>
      </c>
      <c r="N21" s="43" t="s">
        <v>590</v>
      </c>
      <c r="O21" s="63">
        <v>102085639518</v>
      </c>
      <c r="P21" s="65">
        <v>5221658401</v>
      </c>
      <c r="Q21" s="56">
        <v>45636</v>
      </c>
      <c r="R21" s="43" t="s">
        <v>591</v>
      </c>
      <c r="S21" s="43" t="s">
        <v>592</v>
      </c>
      <c r="T21" s="43"/>
    </row>
    <row r="22" spans="1:20" ht="18.5" x14ac:dyDescent="0.45">
      <c r="A22" s="43">
        <v>18</v>
      </c>
      <c r="B22" s="43">
        <v>11214</v>
      </c>
      <c r="C22" s="43" t="s">
        <v>598</v>
      </c>
      <c r="D22" s="114">
        <v>102141445630</v>
      </c>
      <c r="E22" s="17">
        <v>5221635207</v>
      </c>
      <c r="F22" s="56">
        <v>45616</v>
      </c>
      <c r="G22" s="43" t="s">
        <v>599</v>
      </c>
      <c r="H22" s="43" t="s">
        <v>417</v>
      </c>
      <c r="I22" s="38"/>
      <c r="L22" s="43">
        <v>18</v>
      </c>
      <c r="M22" s="43">
        <v>11251</v>
      </c>
      <c r="N22" s="43" t="s">
        <v>593</v>
      </c>
      <c r="O22" s="63">
        <v>102049670247</v>
      </c>
      <c r="P22" s="66">
        <v>5220566452</v>
      </c>
      <c r="Q22" s="56">
        <v>45628</v>
      </c>
      <c r="R22" s="43" t="s">
        <v>588</v>
      </c>
      <c r="S22" s="43" t="s">
        <v>592</v>
      </c>
      <c r="T22" s="43"/>
    </row>
    <row r="23" spans="1:20" ht="18.5" x14ac:dyDescent="0.45">
      <c r="A23" s="38"/>
      <c r="B23" s="38"/>
      <c r="C23" s="38"/>
      <c r="D23" s="38"/>
      <c r="E23" s="38"/>
      <c r="F23" s="38"/>
      <c r="G23" s="38"/>
      <c r="H23" s="38"/>
      <c r="I23" s="38"/>
      <c r="L23" s="43">
        <v>19</v>
      </c>
      <c r="M23" s="43">
        <v>11252</v>
      </c>
      <c r="N23" s="43" t="s">
        <v>594</v>
      </c>
      <c r="O23" s="63">
        <v>101904751840</v>
      </c>
      <c r="P23" s="66">
        <v>5219213589</v>
      </c>
      <c r="Q23" s="56">
        <v>45642</v>
      </c>
      <c r="R23" s="43" t="s">
        <v>120</v>
      </c>
      <c r="S23" s="43" t="s">
        <v>592</v>
      </c>
      <c r="T23" s="43"/>
    </row>
    <row r="24" spans="1:20" ht="18.5" x14ac:dyDescent="0.45">
      <c r="A24" s="38"/>
      <c r="B24" s="38"/>
      <c r="C24" s="38"/>
      <c r="D24" s="38"/>
      <c r="E24" s="38"/>
      <c r="F24" s="38"/>
      <c r="G24" s="38"/>
      <c r="H24" s="38"/>
      <c r="I24" s="38"/>
      <c r="L24" s="43">
        <v>20</v>
      </c>
      <c r="M24" s="43">
        <v>11253</v>
      </c>
      <c r="N24" s="43" t="s">
        <v>595</v>
      </c>
      <c r="O24" s="63">
        <v>101882148700</v>
      </c>
      <c r="P24" s="66">
        <v>5220296609</v>
      </c>
      <c r="Q24" s="56">
        <v>45645</v>
      </c>
      <c r="R24" s="43" t="s">
        <v>169</v>
      </c>
      <c r="S24" s="43" t="s">
        <v>592</v>
      </c>
      <c r="T24" s="43"/>
    </row>
    <row r="25" spans="1:20" ht="18" x14ac:dyDescent="0.4">
      <c r="A25" s="38"/>
      <c r="B25" s="38"/>
      <c r="C25" s="38"/>
      <c r="D25" s="38"/>
      <c r="E25" s="38"/>
      <c r="F25" s="38"/>
      <c r="G25" s="38"/>
      <c r="H25" s="38"/>
      <c r="I25" s="38"/>
      <c r="L25" s="43">
        <v>21</v>
      </c>
      <c r="M25" s="171">
        <v>11254</v>
      </c>
      <c r="N25" s="43" t="s">
        <v>596</v>
      </c>
      <c r="O25" s="63">
        <v>102154705237</v>
      </c>
      <c r="P25" s="65">
        <v>5221624922</v>
      </c>
      <c r="Q25" s="56">
        <v>45642</v>
      </c>
      <c r="R25" s="43" t="s">
        <v>160</v>
      </c>
      <c r="S25" s="43" t="s">
        <v>559</v>
      </c>
      <c r="T25" s="43"/>
    </row>
    <row r="26" spans="1:20" ht="18.5" x14ac:dyDescent="0.45">
      <c r="A26" s="38"/>
      <c r="B26" s="38"/>
      <c r="C26" s="38"/>
      <c r="D26" s="38"/>
      <c r="E26" s="38"/>
      <c r="F26" s="38"/>
      <c r="G26" s="38"/>
      <c r="H26" s="38"/>
      <c r="I26" s="38"/>
      <c r="L26" s="43">
        <v>22</v>
      </c>
      <c r="M26" s="43">
        <v>11255</v>
      </c>
      <c r="N26" s="43" t="s">
        <v>597</v>
      </c>
      <c r="O26" s="57">
        <v>101882268943</v>
      </c>
      <c r="P26" s="66">
        <v>5219084522</v>
      </c>
      <c r="Q26" s="56">
        <v>45650</v>
      </c>
      <c r="R26" s="43" t="s">
        <v>169</v>
      </c>
      <c r="S26" s="43" t="s">
        <v>571</v>
      </c>
      <c r="T26" s="43"/>
    </row>
    <row r="27" spans="1:20" ht="18" x14ac:dyDescent="0.4">
      <c r="A27" s="38"/>
      <c r="B27" s="38"/>
      <c r="C27" s="38"/>
      <c r="D27" s="38"/>
      <c r="E27" s="38"/>
      <c r="F27" s="38"/>
      <c r="G27" s="38"/>
      <c r="H27" s="38"/>
      <c r="I27" s="38"/>
      <c r="L27" s="43">
        <v>23</v>
      </c>
      <c r="M27" s="43">
        <v>11212</v>
      </c>
      <c r="N27" s="43" t="s">
        <v>497</v>
      </c>
      <c r="O27" s="62">
        <v>102092749233</v>
      </c>
      <c r="P27" s="134">
        <v>5221699643</v>
      </c>
      <c r="Q27" s="43"/>
      <c r="R27" s="43" t="s">
        <v>647</v>
      </c>
      <c r="S27" s="43"/>
      <c r="T27" s="43"/>
    </row>
    <row r="28" spans="1:20" x14ac:dyDescent="0.35">
      <c r="A28" s="38"/>
      <c r="B28" s="38"/>
      <c r="C28" s="38"/>
      <c r="D28" s="38"/>
      <c r="E28" s="38"/>
      <c r="F28" s="38"/>
      <c r="G28" s="38"/>
      <c r="H28" s="38"/>
      <c r="I28" s="38"/>
      <c r="L28" s="43"/>
      <c r="M28" s="43"/>
      <c r="N28" s="43"/>
      <c r="O28" s="43"/>
      <c r="P28" s="43"/>
      <c r="Q28" s="43"/>
      <c r="R28" s="43"/>
      <c r="S28" s="43"/>
      <c r="T28" s="43"/>
    </row>
    <row r="29" spans="1:20" ht="18.5" x14ac:dyDescent="0.45">
      <c r="A29" s="38"/>
      <c r="B29" s="38"/>
      <c r="C29" s="38"/>
      <c r="D29" s="38"/>
      <c r="E29" s="38"/>
      <c r="F29" s="38"/>
      <c r="G29" s="38"/>
      <c r="H29" s="38"/>
      <c r="I29" s="38"/>
      <c r="L29" s="43"/>
      <c r="M29" s="43"/>
      <c r="N29" s="43"/>
      <c r="O29" s="43"/>
      <c r="P29" s="43"/>
      <c r="Q29" s="66"/>
      <c r="R29" s="43"/>
      <c r="S29" s="43"/>
      <c r="T29" s="43"/>
    </row>
    <row r="30" spans="1:20" x14ac:dyDescent="0.35">
      <c r="A30" s="38"/>
      <c r="B30" s="38"/>
      <c r="C30" s="38"/>
      <c r="D30" s="38"/>
      <c r="E30" s="38"/>
      <c r="F30" s="38"/>
      <c r="G30" s="38"/>
      <c r="H30" s="38"/>
      <c r="I30" s="38"/>
      <c r="L30" s="43"/>
      <c r="M30" s="43"/>
      <c r="N30" s="43"/>
      <c r="O30" s="43"/>
      <c r="P30" s="43"/>
      <c r="Q30" s="43"/>
      <c r="R30" s="43"/>
      <c r="S30" s="43"/>
      <c r="T30" s="43"/>
    </row>
    <row r="31" spans="1:20" x14ac:dyDescent="0.35">
      <c r="A31" s="38"/>
      <c r="B31" s="38"/>
      <c r="C31" s="38"/>
      <c r="D31" s="38"/>
      <c r="E31" s="38"/>
      <c r="F31" s="38"/>
      <c r="G31" s="38"/>
      <c r="H31" s="38"/>
      <c r="I31" s="38"/>
      <c r="L31" s="43"/>
      <c r="M31" s="43"/>
      <c r="N31" s="43"/>
      <c r="O31" s="43"/>
      <c r="P31" s="43"/>
      <c r="Q31" s="43"/>
      <c r="R31" s="43"/>
      <c r="S31" s="43"/>
      <c r="T31" s="43"/>
    </row>
    <row r="32" spans="1:20" x14ac:dyDescent="0.35">
      <c r="L32" s="43"/>
      <c r="M32" s="43"/>
      <c r="N32" s="43"/>
      <c r="O32" s="43"/>
      <c r="P32" s="43"/>
      <c r="Q32" s="43"/>
      <c r="R32" s="43"/>
      <c r="S32" s="43"/>
      <c r="T32" s="1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E12"/>
  <sheetViews>
    <sheetView workbookViewId="0"/>
  </sheetViews>
  <sheetFormatPr defaultRowHeight="14.5" x14ac:dyDescent="0.35"/>
  <cols>
    <col min="3" max="3" width="18.08984375" bestFit="1" customWidth="1"/>
  </cols>
  <sheetData>
    <row r="4" spans="2:5" ht="15.5" x14ac:dyDescent="0.35">
      <c r="B4" s="43">
        <v>1</v>
      </c>
      <c r="C4" s="124" t="s">
        <v>479</v>
      </c>
      <c r="D4" s="73">
        <v>101817835987</v>
      </c>
      <c r="E4" s="89" t="s">
        <v>268</v>
      </c>
    </row>
    <row r="5" spans="2:5" x14ac:dyDescent="0.35">
      <c r="B5" s="43">
        <v>2</v>
      </c>
      <c r="C5" s="123" t="s">
        <v>511</v>
      </c>
      <c r="D5" s="63">
        <v>101401592178</v>
      </c>
      <c r="E5" s="123" t="s">
        <v>233</v>
      </c>
    </row>
    <row r="6" spans="2:5" x14ac:dyDescent="0.35">
      <c r="B6" s="131">
        <v>3</v>
      </c>
      <c r="C6" s="43" t="s">
        <v>468</v>
      </c>
      <c r="D6" s="63">
        <v>101384329012</v>
      </c>
      <c r="E6" s="43" t="s">
        <v>268</v>
      </c>
    </row>
    <row r="10" spans="2:5" x14ac:dyDescent="0.35">
      <c r="B10">
        <v>1</v>
      </c>
    </row>
    <row r="12" spans="2:5" x14ac:dyDescent="0.35">
      <c r="B12" t="s">
        <v>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133"/>
  <sheetViews>
    <sheetView workbookViewId="0"/>
  </sheetViews>
  <sheetFormatPr defaultRowHeight="14.5" x14ac:dyDescent="0.35"/>
  <cols>
    <col min="15" max="15" width="28.81640625" bestFit="1" customWidth="1"/>
  </cols>
  <sheetData>
    <row r="2" spans="1:21" x14ac:dyDescent="0.35">
      <c r="D2" s="176" t="s">
        <v>453</v>
      </c>
      <c r="O2" s="144" t="s">
        <v>463</v>
      </c>
    </row>
    <row r="3" spans="1:21" ht="21" x14ac:dyDescent="0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M3" s="1" t="s">
        <v>0</v>
      </c>
      <c r="N3" s="1" t="s">
        <v>1</v>
      </c>
      <c r="O3" s="1" t="s">
        <v>2</v>
      </c>
      <c r="P3" s="173" t="s">
        <v>3</v>
      </c>
      <c r="Q3" s="1" t="s">
        <v>4</v>
      </c>
      <c r="R3" s="1" t="s">
        <v>5</v>
      </c>
      <c r="S3" s="1" t="s">
        <v>6</v>
      </c>
      <c r="T3" s="1" t="s">
        <v>7</v>
      </c>
      <c r="U3" s="1" t="s">
        <v>8</v>
      </c>
    </row>
    <row r="4" spans="1:21" ht="18" x14ac:dyDescent="0.55000000000000004">
      <c r="A4" s="43">
        <v>1</v>
      </c>
      <c r="B4" s="131">
        <v>11183</v>
      </c>
      <c r="C4" s="172" t="s">
        <v>438</v>
      </c>
      <c r="D4" s="63">
        <v>101152507138</v>
      </c>
      <c r="E4" s="43" t="s">
        <v>233</v>
      </c>
      <c r="F4" s="56">
        <v>45598</v>
      </c>
      <c r="G4" s="43" t="s">
        <v>439</v>
      </c>
      <c r="H4" s="43" t="s">
        <v>440</v>
      </c>
      <c r="I4" s="38"/>
      <c r="M4" s="43">
        <v>1</v>
      </c>
      <c r="N4" s="131">
        <v>11199</v>
      </c>
      <c r="O4" s="131" t="s">
        <v>460</v>
      </c>
      <c r="P4" s="178">
        <v>101999012675</v>
      </c>
      <c r="Q4" s="89" t="s">
        <v>327</v>
      </c>
      <c r="R4" s="56">
        <v>45607</v>
      </c>
      <c r="S4" s="43" t="s">
        <v>461</v>
      </c>
      <c r="T4" s="43" t="s">
        <v>462</v>
      </c>
      <c r="U4" s="38"/>
    </row>
    <row r="5" spans="1:21" x14ac:dyDescent="0.35">
      <c r="A5" s="43">
        <v>2</v>
      </c>
      <c r="B5" s="43">
        <v>11186</v>
      </c>
      <c r="C5" s="43" t="s">
        <v>444</v>
      </c>
      <c r="D5" s="57">
        <v>102012242310</v>
      </c>
      <c r="E5" s="43">
        <v>5220284849</v>
      </c>
      <c r="F5" s="56">
        <v>45597</v>
      </c>
      <c r="G5" s="43" t="s">
        <v>447</v>
      </c>
      <c r="H5" s="43" t="s">
        <v>448</v>
      </c>
      <c r="I5" s="38"/>
      <c r="M5" s="43">
        <v>2</v>
      </c>
      <c r="N5" s="131">
        <v>11205</v>
      </c>
      <c r="O5" s="131" t="s">
        <v>481</v>
      </c>
      <c r="P5" s="57">
        <v>102090097415</v>
      </c>
      <c r="Q5" s="43">
        <v>5221151759</v>
      </c>
      <c r="R5" s="56">
        <v>45610</v>
      </c>
      <c r="S5" s="43" t="s">
        <v>340</v>
      </c>
      <c r="T5" s="43" t="s">
        <v>489</v>
      </c>
      <c r="U5" s="38"/>
    </row>
    <row r="6" spans="1:21" x14ac:dyDescent="0.35">
      <c r="A6" s="43">
        <v>3</v>
      </c>
      <c r="B6" s="43">
        <v>11187</v>
      </c>
      <c r="C6" s="124" t="s">
        <v>445</v>
      </c>
      <c r="D6" s="142">
        <v>102135391050</v>
      </c>
      <c r="E6" s="143">
        <v>5221470957</v>
      </c>
      <c r="F6" s="56">
        <v>45598</v>
      </c>
      <c r="G6" s="43" t="s">
        <v>449</v>
      </c>
      <c r="H6" s="43" t="s">
        <v>450</v>
      </c>
      <c r="I6" s="38"/>
      <c r="M6" s="43">
        <v>3</v>
      </c>
      <c r="N6" s="43">
        <v>11209</v>
      </c>
      <c r="O6" s="43" t="s">
        <v>482</v>
      </c>
      <c r="P6" s="63">
        <v>102078665083</v>
      </c>
      <c r="Q6" s="190">
        <v>5220899270</v>
      </c>
      <c r="R6" s="56">
        <v>45600</v>
      </c>
      <c r="S6" s="43" t="s">
        <v>491</v>
      </c>
      <c r="T6" s="43" t="s">
        <v>489</v>
      </c>
      <c r="U6" s="38"/>
    </row>
    <row r="7" spans="1:21" x14ac:dyDescent="0.35">
      <c r="A7" s="43">
        <v>4</v>
      </c>
      <c r="B7" s="43">
        <v>11188</v>
      </c>
      <c r="C7" s="43" t="s">
        <v>446</v>
      </c>
      <c r="D7" s="63">
        <v>101982984415</v>
      </c>
      <c r="E7" s="143">
        <v>5221471086</v>
      </c>
      <c r="F7" s="56">
        <v>45602</v>
      </c>
      <c r="G7" s="43" t="s">
        <v>431</v>
      </c>
      <c r="H7" s="43" t="s">
        <v>17</v>
      </c>
      <c r="I7" s="38"/>
      <c r="M7" s="43">
        <v>4</v>
      </c>
      <c r="N7" s="43">
        <v>11208</v>
      </c>
      <c r="O7" s="43" t="s">
        <v>483</v>
      </c>
      <c r="P7" s="57">
        <v>101118361613</v>
      </c>
      <c r="Q7" s="180">
        <v>5213457675</v>
      </c>
      <c r="R7" s="56">
        <v>45600</v>
      </c>
      <c r="S7" s="43" t="s">
        <v>340</v>
      </c>
      <c r="T7" s="43" t="s">
        <v>489</v>
      </c>
      <c r="U7" s="38"/>
    </row>
    <row r="8" spans="1:21" x14ac:dyDescent="0.35">
      <c r="A8" s="43">
        <v>5</v>
      </c>
      <c r="B8" s="43">
        <v>11195</v>
      </c>
      <c r="C8" s="43" t="s">
        <v>456</v>
      </c>
      <c r="D8" s="63">
        <v>101361203437</v>
      </c>
      <c r="E8" s="43">
        <v>5131585976</v>
      </c>
      <c r="F8" s="56">
        <v>45603</v>
      </c>
      <c r="G8" s="43" t="s">
        <v>417</v>
      </c>
      <c r="H8" s="43" t="s">
        <v>85</v>
      </c>
      <c r="I8" s="38"/>
      <c r="M8" s="43">
        <v>5</v>
      </c>
      <c r="N8" s="43">
        <v>11207</v>
      </c>
      <c r="O8" s="43" t="s">
        <v>484</v>
      </c>
      <c r="P8" s="63">
        <v>102140816668</v>
      </c>
      <c r="Q8" s="43" t="s">
        <v>529</v>
      </c>
      <c r="R8" s="56">
        <v>45600</v>
      </c>
      <c r="S8" s="43" t="s">
        <v>120</v>
      </c>
      <c r="T8" s="43" t="s">
        <v>489</v>
      </c>
      <c r="U8" s="38"/>
    </row>
    <row r="9" spans="1:21" x14ac:dyDescent="0.35">
      <c r="A9" s="43">
        <v>6</v>
      </c>
      <c r="B9" s="43">
        <v>11196</v>
      </c>
      <c r="C9" s="43" t="s">
        <v>457</v>
      </c>
      <c r="D9" s="57">
        <v>102136912664</v>
      </c>
      <c r="E9" s="43">
        <v>5221486213</v>
      </c>
      <c r="F9" s="56">
        <v>45604</v>
      </c>
      <c r="G9" s="43" t="s">
        <v>458</v>
      </c>
      <c r="H9" s="43" t="s">
        <v>448</v>
      </c>
      <c r="I9" s="38"/>
      <c r="M9" s="43">
        <v>6</v>
      </c>
      <c r="N9" s="131">
        <v>11206</v>
      </c>
      <c r="O9" s="43" t="s">
        <v>485</v>
      </c>
      <c r="P9" s="63">
        <v>101705874179</v>
      </c>
      <c r="Q9" s="180" t="s">
        <v>500</v>
      </c>
      <c r="R9" s="56">
        <v>45608</v>
      </c>
      <c r="S9" s="43" t="s">
        <v>490</v>
      </c>
      <c r="T9" s="43" t="s">
        <v>489</v>
      </c>
      <c r="U9" s="38"/>
    </row>
    <row r="10" spans="1:21" x14ac:dyDescent="0.35">
      <c r="A10" s="43">
        <v>7</v>
      </c>
      <c r="B10" s="177">
        <v>11198</v>
      </c>
      <c r="C10" s="43" t="s">
        <v>459</v>
      </c>
      <c r="D10" s="174">
        <v>102137565177</v>
      </c>
      <c r="E10" s="53">
        <v>5221489029</v>
      </c>
      <c r="F10" s="56">
        <v>45604</v>
      </c>
      <c r="G10" s="43" t="s">
        <v>458</v>
      </c>
      <c r="H10" s="43" t="s">
        <v>448</v>
      </c>
      <c r="I10" s="38"/>
      <c r="M10" s="43">
        <v>7</v>
      </c>
      <c r="N10" s="131">
        <v>10637</v>
      </c>
      <c r="O10" s="43" t="s">
        <v>486</v>
      </c>
      <c r="P10" s="63">
        <v>101333656960</v>
      </c>
      <c r="Q10" s="43">
        <v>5214712760</v>
      </c>
      <c r="R10" s="56">
        <v>45614</v>
      </c>
      <c r="S10" s="43" t="s">
        <v>461</v>
      </c>
      <c r="T10" s="43" t="s">
        <v>489</v>
      </c>
      <c r="U10" s="38"/>
    </row>
    <row r="11" spans="1:21" x14ac:dyDescent="0.35">
      <c r="A11" s="43">
        <v>8</v>
      </c>
      <c r="B11" s="43">
        <v>11200</v>
      </c>
      <c r="C11" s="124" t="s">
        <v>464</v>
      </c>
      <c r="D11" s="175">
        <v>102093274859</v>
      </c>
      <c r="E11" s="89">
        <v>5220978659</v>
      </c>
      <c r="F11" s="56">
        <v>45607</v>
      </c>
      <c r="G11" s="43" t="s">
        <v>465</v>
      </c>
      <c r="H11" s="43" t="s">
        <v>323</v>
      </c>
      <c r="I11" s="38"/>
      <c r="M11" s="43">
        <v>8</v>
      </c>
      <c r="N11" s="43">
        <v>10388</v>
      </c>
      <c r="O11" s="43" t="s">
        <v>487</v>
      </c>
      <c r="P11" s="63">
        <v>101284943885</v>
      </c>
      <c r="Q11" s="43">
        <v>5218261469</v>
      </c>
      <c r="R11" s="56">
        <v>45600</v>
      </c>
      <c r="S11" s="43" t="s">
        <v>488</v>
      </c>
      <c r="T11" s="43" t="s">
        <v>489</v>
      </c>
      <c r="U11" s="38"/>
    </row>
    <row r="12" spans="1:21" x14ac:dyDescent="0.35">
      <c r="A12" s="43">
        <v>9</v>
      </c>
      <c r="B12" s="43">
        <v>11203</v>
      </c>
      <c r="C12" s="43" t="s">
        <v>466</v>
      </c>
      <c r="D12" s="63">
        <v>102140355601</v>
      </c>
      <c r="E12" s="143" t="s">
        <v>477</v>
      </c>
      <c r="F12" s="56">
        <v>45607</v>
      </c>
      <c r="G12" s="43" t="s">
        <v>467</v>
      </c>
      <c r="H12" s="43" t="s">
        <v>197</v>
      </c>
      <c r="I12" s="38"/>
      <c r="M12" s="43">
        <v>9</v>
      </c>
      <c r="N12" s="43">
        <v>11210</v>
      </c>
      <c r="O12" s="43" t="s">
        <v>492</v>
      </c>
      <c r="P12" s="57">
        <v>101945431027</v>
      </c>
      <c r="Q12" s="43">
        <v>5219565822</v>
      </c>
      <c r="R12" s="56">
        <v>45600</v>
      </c>
      <c r="S12" s="43" t="s">
        <v>461</v>
      </c>
      <c r="T12" s="43" t="s">
        <v>493</v>
      </c>
      <c r="U12" s="38"/>
    </row>
    <row r="13" spans="1:21" ht="18" x14ac:dyDescent="0.4">
      <c r="A13" s="43">
        <v>10</v>
      </c>
      <c r="B13" s="171">
        <v>11201</v>
      </c>
      <c r="C13" s="43" t="s">
        <v>468</v>
      </c>
      <c r="D13" s="57">
        <v>101384329012</v>
      </c>
      <c r="E13" s="43" t="s">
        <v>268</v>
      </c>
      <c r="F13" s="56">
        <v>45603</v>
      </c>
      <c r="G13" s="43" t="s">
        <v>470</v>
      </c>
      <c r="H13" s="43" t="s">
        <v>358</v>
      </c>
      <c r="I13" s="38"/>
      <c r="M13" s="43">
        <v>10</v>
      </c>
      <c r="N13" s="171" t="s">
        <v>495</v>
      </c>
      <c r="O13" s="124" t="s">
        <v>496</v>
      </c>
      <c r="P13" s="63">
        <v>101861756727</v>
      </c>
      <c r="Q13" s="134">
        <v>5221558827</v>
      </c>
      <c r="R13" s="56">
        <v>45600</v>
      </c>
      <c r="S13" s="43" t="s">
        <v>141</v>
      </c>
      <c r="T13" s="43" t="s">
        <v>493</v>
      </c>
      <c r="U13" s="38"/>
    </row>
    <row r="14" spans="1:21" ht="18" x14ac:dyDescent="0.4">
      <c r="A14" s="43">
        <v>11</v>
      </c>
      <c r="B14" s="43">
        <v>11202</v>
      </c>
      <c r="C14" s="124" t="s">
        <v>469</v>
      </c>
      <c r="D14" s="114">
        <v>102021736060</v>
      </c>
      <c r="E14" s="181" t="s">
        <v>475</v>
      </c>
      <c r="F14" s="56">
        <v>45608</v>
      </c>
      <c r="G14" s="43" t="s">
        <v>394</v>
      </c>
      <c r="H14" s="43" t="s">
        <v>17</v>
      </c>
      <c r="I14" s="38"/>
      <c r="M14" s="43">
        <v>11</v>
      </c>
      <c r="N14" s="43">
        <v>11212</v>
      </c>
      <c r="O14" s="171" t="s">
        <v>497</v>
      </c>
      <c r="P14" s="63">
        <v>102092749233</v>
      </c>
      <c r="Q14" s="43" t="s">
        <v>452</v>
      </c>
      <c r="R14" s="56">
        <v>45611</v>
      </c>
      <c r="S14" s="43" t="s">
        <v>141</v>
      </c>
      <c r="T14" s="43" t="s">
        <v>493</v>
      </c>
      <c r="U14" s="38"/>
    </row>
    <row r="15" spans="1:21" ht="18" x14ac:dyDescent="0.4">
      <c r="A15" s="43">
        <v>12</v>
      </c>
      <c r="B15" s="171">
        <v>11204</v>
      </c>
      <c r="C15" s="124" t="s">
        <v>476</v>
      </c>
      <c r="D15" s="114">
        <v>102140481910</v>
      </c>
      <c r="E15" s="181" t="s">
        <v>478</v>
      </c>
      <c r="F15" s="56">
        <v>45610</v>
      </c>
      <c r="G15" s="43" t="s">
        <v>396</v>
      </c>
      <c r="H15" s="43" t="s">
        <v>17</v>
      </c>
      <c r="I15" s="38"/>
      <c r="M15" s="43">
        <v>12</v>
      </c>
      <c r="N15" s="43">
        <v>11213</v>
      </c>
      <c r="O15" s="43" t="s">
        <v>498</v>
      </c>
      <c r="P15" s="57">
        <v>101546786271</v>
      </c>
      <c r="Q15" s="43">
        <v>5221557885</v>
      </c>
      <c r="R15" s="56">
        <v>45615</v>
      </c>
      <c r="S15" s="43" t="s">
        <v>141</v>
      </c>
      <c r="T15" s="43" t="s">
        <v>489</v>
      </c>
      <c r="U15" s="38"/>
    </row>
    <row r="16" spans="1:21" x14ac:dyDescent="0.35">
      <c r="A16" s="43">
        <v>13</v>
      </c>
      <c r="B16" s="43">
        <v>11214</v>
      </c>
      <c r="C16" s="124" t="s">
        <v>501</v>
      </c>
      <c r="D16" s="114">
        <v>102141445630</v>
      </c>
      <c r="E16" s="89"/>
      <c r="F16" s="56">
        <v>45616</v>
      </c>
      <c r="G16" s="43" t="s">
        <v>494</v>
      </c>
      <c r="H16" s="43" t="s">
        <v>502</v>
      </c>
      <c r="I16" s="38"/>
      <c r="M16" s="43">
        <v>13</v>
      </c>
      <c r="N16" s="179">
        <v>11019</v>
      </c>
      <c r="O16" s="43" t="s">
        <v>499</v>
      </c>
      <c r="P16" s="237">
        <v>102088065435</v>
      </c>
      <c r="Q16" s="43">
        <v>5221008820</v>
      </c>
      <c r="R16" s="56">
        <v>45609</v>
      </c>
      <c r="S16" s="43" t="s">
        <v>261</v>
      </c>
      <c r="T16" s="43" t="s">
        <v>493</v>
      </c>
      <c r="U16" s="38"/>
    </row>
    <row r="17" spans="1:21" ht="15.5" x14ac:dyDescent="0.35">
      <c r="A17" s="43">
        <v>14</v>
      </c>
      <c r="B17" s="43">
        <v>11215</v>
      </c>
      <c r="C17" s="124" t="s">
        <v>479</v>
      </c>
      <c r="D17" s="185">
        <v>101817835987</v>
      </c>
      <c r="E17" s="89" t="s">
        <v>268</v>
      </c>
      <c r="F17" s="56">
        <v>45618</v>
      </c>
      <c r="G17" s="43" t="s">
        <v>494</v>
      </c>
      <c r="H17" s="43" t="s">
        <v>358</v>
      </c>
      <c r="I17" s="38"/>
      <c r="M17" s="43">
        <v>14</v>
      </c>
      <c r="N17" s="131">
        <v>11224</v>
      </c>
      <c r="O17" s="171" t="s">
        <v>515</v>
      </c>
      <c r="P17" s="114">
        <v>101933880880</v>
      </c>
      <c r="Q17" s="89">
        <v>5219697604</v>
      </c>
      <c r="R17" s="56">
        <v>45620</v>
      </c>
      <c r="S17" s="38" t="s">
        <v>516</v>
      </c>
      <c r="T17" s="43" t="s">
        <v>493</v>
      </c>
      <c r="U17" s="38"/>
    </row>
    <row r="18" spans="1:21" ht="29" x14ac:dyDescent="0.4">
      <c r="A18" s="43">
        <v>15</v>
      </c>
      <c r="B18" s="171">
        <v>11216</v>
      </c>
      <c r="C18" s="124" t="s">
        <v>480</v>
      </c>
      <c r="D18" s="186" t="s">
        <v>503</v>
      </c>
      <c r="E18" s="65" t="s">
        <v>510</v>
      </c>
      <c r="F18" s="56">
        <v>45618</v>
      </c>
      <c r="G18" s="43" t="s">
        <v>504</v>
      </c>
      <c r="H18" s="43"/>
      <c r="I18" s="38"/>
      <c r="M18" s="38"/>
      <c r="N18" s="38"/>
      <c r="O18" s="38"/>
      <c r="P18" s="155"/>
      <c r="Q18" s="38"/>
      <c r="R18" s="38"/>
      <c r="S18" s="38"/>
      <c r="T18" s="38"/>
      <c r="U18" s="38"/>
    </row>
    <row r="19" spans="1:21" x14ac:dyDescent="0.35">
      <c r="A19" s="43">
        <v>16</v>
      </c>
      <c r="B19" s="43">
        <v>11217</v>
      </c>
      <c r="C19" s="43" t="s">
        <v>506</v>
      </c>
      <c r="D19" s="171" t="s">
        <v>505</v>
      </c>
      <c r="E19" s="43">
        <v>5221038656</v>
      </c>
      <c r="F19" s="56">
        <v>45623</v>
      </c>
      <c r="G19" s="43" t="s">
        <v>214</v>
      </c>
      <c r="H19" s="43" t="s">
        <v>17</v>
      </c>
      <c r="I19" s="38"/>
      <c r="M19" s="38"/>
      <c r="N19" s="38"/>
      <c r="O19" s="38"/>
      <c r="P19" s="38"/>
      <c r="Q19" s="38"/>
      <c r="R19" s="38"/>
      <c r="S19" s="38"/>
      <c r="T19" s="38"/>
      <c r="U19" s="38"/>
    </row>
    <row r="20" spans="1:21" ht="18" x14ac:dyDescent="0.4">
      <c r="A20" s="43">
        <v>17</v>
      </c>
      <c r="B20" s="43">
        <v>11218</v>
      </c>
      <c r="C20" s="124" t="s">
        <v>507</v>
      </c>
      <c r="D20" s="114">
        <v>102142943287</v>
      </c>
      <c r="E20" s="65" t="s">
        <v>508</v>
      </c>
      <c r="F20" s="56">
        <v>45616</v>
      </c>
      <c r="G20" s="43" t="s">
        <v>509</v>
      </c>
      <c r="H20" s="43" t="s">
        <v>249</v>
      </c>
      <c r="I20" s="38"/>
      <c r="M20" s="38"/>
      <c r="N20" s="38"/>
      <c r="O20" s="38"/>
      <c r="P20" s="38"/>
      <c r="Q20" s="38"/>
      <c r="R20" s="38"/>
      <c r="S20" s="38"/>
      <c r="T20" s="38"/>
      <c r="U20" s="38"/>
    </row>
    <row r="21" spans="1:21" x14ac:dyDescent="0.35">
      <c r="A21" s="123">
        <v>18</v>
      </c>
      <c r="B21" s="123">
        <v>10339</v>
      </c>
      <c r="C21" s="123" t="s">
        <v>511</v>
      </c>
      <c r="D21" s="57">
        <v>101401592178</v>
      </c>
      <c r="E21" s="123" t="s">
        <v>233</v>
      </c>
      <c r="F21" s="187">
        <v>45625</v>
      </c>
      <c r="G21" s="123" t="s">
        <v>514</v>
      </c>
      <c r="H21" s="123" t="s">
        <v>358</v>
      </c>
      <c r="I21" s="111"/>
      <c r="M21" s="111"/>
      <c r="N21" s="111"/>
      <c r="O21" s="111"/>
      <c r="P21" s="111"/>
      <c r="Q21" s="38"/>
      <c r="R21" s="38"/>
      <c r="S21" s="38"/>
      <c r="T21" s="38"/>
      <c r="U21" s="38"/>
    </row>
    <row r="22" spans="1:21" x14ac:dyDescent="0.35">
      <c r="A22" s="43">
        <v>19</v>
      </c>
      <c r="B22" s="43">
        <v>10417</v>
      </c>
      <c r="C22" s="43" t="s">
        <v>512</v>
      </c>
      <c r="D22" s="43" t="s">
        <v>513</v>
      </c>
      <c r="E22" s="43">
        <v>5218873413</v>
      </c>
      <c r="F22" s="56">
        <v>45599</v>
      </c>
      <c r="G22" s="43" t="s">
        <v>286</v>
      </c>
      <c r="H22" s="124" t="s">
        <v>17</v>
      </c>
      <c r="I22" s="182"/>
      <c r="M22" s="38"/>
      <c r="N22" s="38"/>
      <c r="O22" s="38"/>
      <c r="P22" s="38"/>
      <c r="Q22" s="38"/>
      <c r="R22" s="38"/>
      <c r="S22" s="38"/>
      <c r="T22" s="38"/>
      <c r="U22" s="38"/>
    </row>
    <row r="23" spans="1:21" x14ac:dyDescent="0.35">
      <c r="A23" s="43"/>
      <c r="B23" s="38"/>
      <c r="C23" s="43"/>
      <c r="D23" s="38"/>
      <c r="E23" s="38"/>
      <c r="F23" s="38"/>
      <c r="G23" s="38"/>
      <c r="H23" s="38"/>
      <c r="I23" s="182"/>
      <c r="M23" s="38"/>
      <c r="N23" s="38"/>
      <c r="O23" s="38"/>
      <c r="P23" s="38"/>
      <c r="Q23" s="38"/>
      <c r="R23" s="38"/>
      <c r="S23" s="38"/>
      <c r="T23" s="38"/>
      <c r="U23" s="38"/>
    </row>
    <row r="24" spans="1:21" x14ac:dyDescent="0.35">
      <c r="A24" s="43"/>
      <c r="B24" s="38"/>
      <c r="C24" s="43"/>
      <c r="D24" s="38"/>
      <c r="E24" s="38"/>
      <c r="F24" s="38"/>
      <c r="G24" s="38"/>
      <c r="H24" s="38"/>
      <c r="I24" s="182"/>
      <c r="M24" s="38"/>
      <c r="N24" s="38"/>
      <c r="O24" s="38"/>
      <c r="P24" s="38"/>
      <c r="Q24" s="38"/>
      <c r="R24" s="38"/>
      <c r="S24" s="38"/>
      <c r="T24" s="38"/>
      <c r="U24" s="38"/>
    </row>
    <row r="25" spans="1:21" x14ac:dyDescent="0.35">
      <c r="A25" s="43"/>
      <c r="B25" s="43"/>
      <c r="C25" s="43"/>
      <c r="D25" s="43"/>
      <c r="E25" s="43"/>
      <c r="F25" s="56"/>
      <c r="G25" s="43"/>
      <c r="H25" s="124"/>
      <c r="I25" s="38"/>
      <c r="M25" s="38"/>
      <c r="N25" s="38"/>
      <c r="O25" s="38"/>
      <c r="P25" s="38"/>
      <c r="Q25" s="38"/>
      <c r="R25" s="38"/>
      <c r="S25" s="38"/>
      <c r="T25" s="38"/>
      <c r="U25" s="38"/>
    </row>
    <row r="26" spans="1:21" x14ac:dyDescent="0.35">
      <c r="A26" s="38"/>
      <c r="B26" s="38"/>
      <c r="C26" s="38"/>
      <c r="D26" s="38"/>
      <c r="E26" s="38"/>
      <c r="F26" s="38"/>
      <c r="G26" s="38"/>
      <c r="H26" s="182"/>
      <c r="I26" s="38"/>
      <c r="M26" s="38"/>
      <c r="N26" s="38"/>
      <c r="O26" s="38"/>
      <c r="P26" s="38"/>
      <c r="Q26" s="38"/>
      <c r="R26" s="38"/>
      <c r="S26" s="38"/>
      <c r="T26" s="38"/>
      <c r="U26" s="38"/>
    </row>
    <row r="27" spans="1:21" x14ac:dyDescent="0.35">
      <c r="A27" s="38"/>
      <c r="B27" s="38"/>
      <c r="C27" s="38"/>
      <c r="D27" s="38"/>
      <c r="E27" s="38"/>
      <c r="F27" s="38"/>
      <c r="G27" s="38"/>
      <c r="H27" s="182"/>
      <c r="I27" s="38"/>
      <c r="M27" s="183"/>
      <c r="N27" s="38"/>
      <c r="O27" s="38"/>
      <c r="P27" s="38"/>
      <c r="Q27" s="38"/>
      <c r="R27" s="38"/>
      <c r="S27" s="38"/>
      <c r="T27" s="38"/>
      <c r="U27" s="38"/>
    </row>
    <row r="28" spans="1:21" x14ac:dyDescent="0.35">
      <c r="A28" s="38"/>
      <c r="B28" s="38"/>
      <c r="C28" s="38"/>
      <c r="D28" s="38"/>
      <c r="E28" s="38"/>
      <c r="F28" s="38"/>
      <c r="G28" s="38"/>
      <c r="H28" s="182"/>
      <c r="I28" s="38"/>
      <c r="M28" s="183"/>
      <c r="N28" s="38"/>
      <c r="O28" s="38"/>
      <c r="P28" s="38"/>
      <c r="Q28" s="38"/>
      <c r="R28" s="38"/>
      <c r="S28" s="38"/>
      <c r="T28" s="38"/>
      <c r="U28" s="38"/>
    </row>
    <row r="29" spans="1:21" x14ac:dyDescent="0.35">
      <c r="A29" s="38"/>
      <c r="B29" s="38"/>
      <c r="C29" s="38"/>
      <c r="D29" s="38"/>
      <c r="E29" s="38"/>
      <c r="F29" s="38"/>
      <c r="G29" s="38"/>
      <c r="H29" s="182"/>
      <c r="I29" s="38"/>
      <c r="M29" s="183"/>
      <c r="N29" s="38"/>
      <c r="O29" s="38"/>
      <c r="P29" s="38"/>
      <c r="Q29" s="38"/>
      <c r="R29" s="38"/>
      <c r="S29" s="38"/>
      <c r="T29" s="38"/>
      <c r="U29" s="38"/>
    </row>
    <row r="30" spans="1:21" x14ac:dyDescent="0.35">
      <c r="A30" s="38"/>
      <c r="B30" s="38"/>
      <c r="C30" s="38"/>
      <c r="D30" s="38"/>
      <c r="E30" s="38"/>
      <c r="F30" s="38"/>
      <c r="G30" s="38"/>
      <c r="H30" s="182"/>
      <c r="I30" s="38"/>
      <c r="M30" s="183"/>
      <c r="N30" s="38"/>
      <c r="O30" s="38"/>
      <c r="P30" s="38"/>
      <c r="Q30" s="38"/>
      <c r="R30" s="38"/>
      <c r="S30" s="38"/>
      <c r="T30" s="38"/>
      <c r="U30" s="38"/>
    </row>
    <row r="31" spans="1:21" x14ac:dyDescent="0.35">
      <c r="A31" s="38"/>
      <c r="B31" s="38"/>
      <c r="C31" s="38"/>
      <c r="D31" s="38"/>
      <c r="E31" s="38"/>
      <c r="F31" s="38"/>
      <c r="G31" s="38"/>
      <c r="H31" s="182"/>
      <c r="I31" s="38"/>
      <c r="M31" s="183"/>
      <c r="N31" s="38"/>
      <c r="O31" s="38"/>
      <c r="P31" s="38"/>
      <c r="Q31" s="38"/>
      <c r="R31" s="38"/>
      <c r="S31" s="38"/>
      <c r="T31" s="38"/>
      <c r="U31" s="38"/>
    </row>
    <row r="32" spans="1:21" x14ac:dyDescent="0.35">
      <c r="A32" s="38"/>
      <c r="B32" s="38"/>
      <c r="C32" s="38"/>
      <c r="D32" s="38"/>
      <c r="E32" s="38"/>
      <c r="F32" s="38"/>
      <c r="G32" s="38"/>
      <c r="H32" s="182"/>
      <c r="I32" s="38"/>
      <c r="M32" s="183"/>
      <c r="N32" s="38"/>
      <c r="O32" s="38"/>
      <c r="P32" s="38"/>
      <c r="Q32" s="38"/>
      <c r="R32" s="38"/>
      <c r="S32" s="38"/>
      <c r="T32" s="38"/>
      <c r="U32" s="38"/>
    </row>
    <row r="33" spans="1:21" x14ac:dyDescent="0.35">
      <c r="A33" s="38"/>
      <c r="B33" s="38"/>
      <c r="C33" s="38"/>
      <c r="D33" s="38"/>
      <c r="E33" s="38"/>
      <c r="F33" s="38"/>
      <c r="G33" s="38"/>
      <c r="H33" s="182"/>
      <c r="I33" s="38"/>
      <c r="M33" s="183"/>
      <c r="N33" s="38"/>
      <c r="O33" s="38"/>
      <c r="P33" s="38"/>
      <c r="Q33" s="38"/>
      <c r="R33" s="38"/>
      <c r="S33" s="38"/>
      <c r="T33" s="38"/>
      <c r="U33" s="38"/>
    </row>
    <row r="34" spans="1:21" x14ac:dyDescent="0.35">
      <c r="A34" s="38"/>
      <c r="B34" s="38"/>
      <c r="C34" s="38"/>
      <c r="D34" s="38"/>
      <c r="E34" s="38"/>
      <c r="F34" s="38"/>
      <c r="G34" s="38"/>
      <c r="H34" s="182"/>
      <c r="I34" s="38"/>
      <c r="M34" s="183"/>
      <c r="N34" s="38"/>
      <c r="O34" s="38"/>
      <c r="P34" s="38"/>
      <c r="Q34" s="38"/>
      <c r="R34" s="38"/>
      <c r="S34" s="38"/>
      <c r="T34" s="38"/>
      <c r="U34" s="38"/>
    </row>
    <row r="35" spans="1:21" x14ac:dyDescent="0.35">
      <c r="A35" s="38"/>
      <c r="B35" s="38"/>
      <c r="C35" s="38"/>
      <c r="D35" s="38"/>
      <c r="E35" s="38"/>
      <c r="F35" s="38"/>
      <c r="G35" s="38"/>
      <c r="H35" s="182"/>
      <c r="I35" s="38"/>
      <c r="M35" s="183"/>
      <c r="N35" s="38"/>
      <c r="O35" s="38"/>
      <c r="P35" s="38"/>
      <c r="Q35" s="38"/>
      <c r="R35" s="38"/>
      <c r="S35" s="38"/>
      <c r="T35" s="38"/>
      <c r="U35" s="38"/>
    </row>
    <row r="36" spans="1:21" x14ac:dyDescent="0.35">
      <c r="A36" s="38"/>
      <c r="B36" s="38"/>
      <c r="C36" s="38"/>
      <c r="D36" s="38"/>
      <c r="E36" s="38"/>
      <c r="F36" s="38"/>
      <c r="G36" s="38"/>
      <c r="H36" s="182"/>
      <c r="I36" s="38"/>
      <c r="M36" s="183"/>
      <c r="N36" s="38"/>
      <c r="O36" s="38"/>
      <c r="P36" s="38"/>
      <c r="Q36" s="38"/>
      <c r="R36" s="38"/>
      <c r="S36" s="38"/>
      <c r="T36" s="38"/>
      <c r="U36" s="38"/>
    </row>
    <row r="37" spans="1:21" x14ac:dyDescent="0.35">
      <c r="A37" s="38"/>
      <c r="B37" s="38"/>
      <c r="C37" s="38"/>
      <c r="D37" s="38"/>
      <c r="E37" s="38"/>
      <c r="F37" s="38"/>
      <c r="G37" s="38"/>
      <c r="H37" s="182"/>
      <c r="I37" s="38"/>
      <c r="M37" s="183"/>
      <c r="N37" s="38"/>
      <c r="O37" s="38"/>
      <c r="P37" s="38"/>
      <c r="Q37" s="38"/>
      <c r="R37" s="38"/>
      <c r="S37" s="38"/>
      <c r="T37" s="38"/>
      <c r="U37" s="38"/>
    </row>
    <row r="38" spans="1:21" x14ac:dyDescent="0.35">
      <c r="A38" s="38"/>
      <c r="B38" s="38"/>
      <c r="C38" s="38"/>
      <c r="D38" s="38"/>
      <c r="E38" s="38"/>
      <c r="F38" s="38"/>
      <c r="G38" s="38"/>
      <c r="H38" s="182"/>
      <c r="I38" s="38"/>
      <c r="M38" s="183"/>
      <c r="N38" s="38"/>
      <c r="O38" s="38"/>
      <c r="P38" s="38"/>
      <c r="Q38" s="38"/>
      <c r="R38" s="38"/>
      <c r="S38" s="38"/>
      <c r="T38" s="38"/>
      <c r="U38" s="38"/>
    </row>
    <row r="39" spans="1:21" x14ac:dyDescent="0.35">
      <c r="A39" s="38"/>
      <c r="B39" s="38"/>
      <c r="C39" s="38"/>
      <c r="D39" s="38"/>
      <c r="E39" s="38"/>
      <c r="F39" s="38"/>
      <c r="G39" s="38"/>
      <c r="H39" s="182"/>
      <c r="I39" s="38"/>
      <c r="M39" s="183"/>
      <c r="N39" s="38"/>
      <c r="O39" s="38"/>
      <c r="P39" s="38"/>
      <c r="Q39" s="38"/>
      <c r="R39" s="38"/>
      <c r="S39" s="38"/>
      <c r="T39" s="38"/>
      <c r="U39" s="38"/>
    </row>
    <row r="40" spans="1:21" x14ac:dyDescent="0.35">
      <c r="A40" s="38"/>
      <c r="B40" s="38"/>
      <c r="C40" s="38"/>
      <c r="D40" s="38"/>
      <c r="E40" s="38"/>
      <c r="F40" s="38"/>
      <c r="G40" s="38"/>
      <c r="H40" s="182"/>
      <c r="I40" s="38"/>
      <c r="M40" s="183"/>
      <c r="N40" s="38"/>
      <c r="O40" s="38"/>
      <c r="P40" s="38"/>
      <c r="Q40" s="38"/>
      <c r="R40" s="38"/>
      <c r="S40" s="38"/>
      <c r="T40" s="38"/>
      <c r="U40" s="38"/>
    </row>
    <row r="41" spans="1:21" x14ac:dyDescent="0.35">
      <c r="A41" s="38"/>
      <c r="B41" s="38"/>
      <c r="C41" s="38"/>
      <c r="D41" s="38"/>
      <c r="E41" s="38"/>
      <c r="F41" s="38"/>
      <c r="G41" s="38"/>
      <c r="H41" s="182"/>
      <c r="I41" s="38"/>
      <c r="M41" s="183"/>
      <c r="N41" s="38"/>
      <c r="O41" s="38"/>
      <c r="P41" s="38"/>
      <c r="Q41" s="38"/>
      <c r="R41" s="38"/>
      <c r="S41" s="38"/>
      <c r="T41" s="38"/>
      <c r="U41" s="38"/>
    </row>
    <row r="42" spans="1:21" x14ac:dyDescent="0.35">
      <c r="A42" s="38"/>
      <c r="B42" s="38"/>
      <c r="C42" s="38"/>
      <c r="D42" s="38"/>
      <c r="E42" s="38"/>
      <c r="F42" s="38"/>
      <c r="G42" s="38"/>
      <c r="H42" s="182"/>
      <c r="I42" s="38"/>
      <c r="M42" s="183"/>
      <c r="N42" s="38"/>
      <c r="O42" s="38"/>
      <c r="P42" s="38"/>
      <c r="Q42" s="38"/>
      <c r="R42" s="38"/>
      <c r="S42" s="38"/>
      <c r="T42" s="38"/>
      <c r="U42" s="38"/>
    </row>
    <row r="43" spans="1:21" x14ac:dyDescent="0.35">
      <c r="I43" s="38"/>
      <c r="M43" s="184"/>
      <c r="N43" s="155"/>
      <c r="O43" s="155"/>
      <c r="P43" s="155"/>
      <c r="Q43" s="38"/>
      <c r="R43" s="38"/>
      <c r="S43" s="38"/>
      <c r="T43" s="38"/>
      <c r="U43" s="38"/>
    </row>
    <row r="44" spans="1:21" x14ac:dyDescent="0.35">
      <c r="I44" s="38"/>
      <c r="M44" s="183"/>
      <c r="N44" s="38"/>
      <c r="O44" s="38"/>
      <c r="P44" s="38"/>
      <c r="Q44" s="38"/>
      <c r="R44" s="38"/>
      <c r="S44" s="38"/>
      <c r="T44" s="38"/>
      <c r="U44" s="38"/>
    </row>
    <row r="45" spans="1:21" x14ac:dyDescent="0.35">
      <c r="I45" s="38"/>
      <c r="M45" s="183"/>
      <c r="N45" s="38"/>
      <c r="O45" s="38"/>
      <c r="P45" s="38"/>
      <c r="Q45" s="38"/>
      <c r="R45" s="38"/>
      <c r="S45" s="38"/>
      <c r="T45" s="38"/>
      <c r="U45" s="38"/>
    </row>
    <row r="46" spans="1:21" x14ac:dyDescent="0.35">
      <c r="I46" s="38"/>
      <c r="M46" s="183"/>
      <c r="N46" s="38"/>
      <c r="O46" s="38"/>
      <c r="P46" s="38"/>
      <c r="Q46" s="38"/>
      <c r="R46" s="38"/>
      <c r="S46" s="38"/>
      <c r="T46" s="38"/>
      <c r="U46" s="38"/>
    </row>
    <row r="47" spans="1:21" x14ac:dyDescent="0.35">
      <c r="I47" s="38"/>
      <c r="M47" s="183"/>
      <c r="N47" s="38"/>
      <c r="O47" s="38"/>
      <c r="P47" s="38"/>
      <c r="Q47" s="38"/>
      <c r="R47" s="38"/>
      <c r="S47" s="38"/>
      <c r="T47" s="38"/>
      <c r="U47" s="38"/>
    </row>
    <row r="48" spans="1:21" x14ac:dyDescent="0.35">
      <c r="I48" s="38"/>
      <c r="M48" s="183"/>
      <c r="N48" s="38"/>
      <c r="O48" s="38"/>
      <c r="P48" s="38"/>
      <c r="Q48" s="38"/>
      <c r="R48" s="38"/>
      <c r="S48" s="38"/>
      <c r="T48" s="38"/>
      <c r="U48" s="38"/>
    </row>
    <row r="49" spans="9:21" x14ac:dyDescent="0.35">
      <c r="I49" s="38"/>
      <c r="M49" s="183"/>
      <c r="N49" s="38"/>
      <c r="O49" s="38"/>
      <c r="P49" s="38"/>
      <c r="Q49" s="38"/>
      <c r="R49" s="38"/>
      <c r="S49" s="38"/>
      <c r="T49" s="38"/>
      <c r="U49" s="38"/>
    </row>
    <row r="50" spans="9:21" x14ac:dyDescent="0.35">
      <c r="I50" s="38"/>
      <c r="M50" s="183"/>
      <c r="N50" s="38"/>
      <c r="O50" s="38"/>
      <c r="P50" s="38"/>
      <c r="Q50" s="38"/>
      <c r="R50" s="38"/>
      <c r="S50" s="38"/>
      <c r="T50" s="38"/>
      <c r="U50" s="38"/>
    </row>
    <row r="51" spans="9:21" x14ac:dyDescent="0.35">
      <c r="I51" s="38"/>
      <c r="M51" s="183"/>
      <c r="N51" s="38"/>
      <c r="O51" s="38"/>
      <c r="P51" s="38"/>
      <c r="Q51" s="38"/>
      <c r="R51" s="38"/>
      <c r="S51" s="38"/>
      <c r="T51" s="38"/>
      <c r="U51" s="38"/>
    </row>
    <row r="52" spans="9:21" x14ac:dyDescent="0.35">
      <c r="I52" s="38"/>
      <c r="M52" s="183"/>
      <c r="N52" s="38"/>
      <c r="O52" s="38"/>
      <c r="P52" s="38"/>
      <c r="Q52" s="38"/>
      <c r="R52" s="38"/>
      <c r="S52" s="38"/>
      <c r="T52" s="38"/>
      <c r="U52" s="38"/>
    </row>
    <row r="53" spans="9:21" x14ac:dyDescent="0.35">
      <c r="M53" s="183"/>
      <c r="N53" s="38"/>
      <c r="O53" s="38"/>
      <c r="P53" s="38"/>
      <c r="Q53" s="38"/>
      <c r="R53" s="38"/>
      <c r="S53" s="38"/>
      <c r="T53" s="38"/>
      <c r="U53" s="38"/>
    </row>
    <row r="54" spans="9:21" x14ac:dyDescent="0.35">
      <c r="M54" s="183"/>
      <c r="N54" s="38"/>
      <c r="O54" s="38"/>
      <c r="P54" s="38"/>
      <c r="Q54" s="38"/>
      <c r="R54" s="38"/>
      <c r="S54" s="38"/>
      <c r="T54" s="38"/>
      <c r="U54" s="38"/>
    </row>
    <row r="55" spans="9:21" x14ac:dyDescent="0.35">
      <c r="M55" s="183"/>
      <c r="N55" s="38"/>
      <c r="O55" s="38"/>
      <c r="P55" s="38"/>
      <c r="Q55" s="38"/>
      <c r="R55" s="38"/>
      <c r="S55" s="38"/>
      <c r="T55" s="38"/>
      <c r="U55" s="38"/>
    </row>
    <row r="56" spans="9:21" x14ac:dyDescent="0.35">
      <c r="M56" s="183"/>
      <c r="N56" s="38"/>
      <c r="O56" s="38"/>
      <c r="P56" s="38"/>
      <c r="Q56" s="38"/>
      <c r="R56" s="38"/>
      <c r="S56" s="38"/>
      <c r="T56" s="38"/>
      <c r="U56" s="38"/>
    </row>
    <row r="57" spans="9:21" x14ac:dyDescent="0.35">
      <c r="M57" s="183"/>
      <c r="N57" s="38"/>
      <c r="O57" s="38"/>
      <c r="P57" s="38"/>
      <c r="Q57" s="38"/>
      <c r="R57" s="38"/>
      <c r="S57" s="38"/>
      <c r="T57" s="38"/>
      <c r="U57" s="38"/>
    </row>
    <row r="58" spans="9:21" x14ac:dyDescent="0.35">
      <c r="M58" s="183"/>
      <c r="N58" s="38"/>
      <c r="O58" s="38"/>
      <c r="P58" s="38"/>
      <c r="Q58" s="38"/>
      <c r="R58" s="38"/>
      <c r="S58" s="38"/>
      <c r="T58" s="38"/>
      <c r="U58" s="38"/>
    </row>
    <row r="59" spans="9:21" x14ac:dyDescent="0.35">
      <c r="M59" s="183"/>
      <c r="N59" s="38"/>
      <c r="O59" s="38"/>
      <c r="P59" s="38"/>
      <c r="Q59" s="38"/>
      <c r="R59" s="38"/>
      <c r="S59" s="38"/>
      <c r="T59" s="38"/>
      <c r="U59" s="38"/>
    </row>
    <row r="60" spans="9:21" x14ac:dyDescent="0.35">
      <c r="M60" s="183"/>
      <c r="N60" s="38"/>
      <c r="O60" s="38"/>
      <c r="P60" s="38"/>
      <c r="Q60" s="38"/>
      <c r="R60" s="38"/>
      <c r="S60" s="38"/>
      <c r="T60" s="38"/>
      <c r="U60" s="38"/>
    </row>
    <row r="61" spans="9:21" x14ac:dyDescent="0.35">
      <c r="M61" s="183"/>
      <c r="N61" s="38"/>
      <c r="O61" s="38"/>
      <c r="P61" s="38"/>
      <c r="Q61" s="38"/>
      <c r="R61" s="38"/>
      <c r="S61" s="38"/>
      <c r="T61" s="38"/>
      <c r="U61" s="38"/>
    </row>
    <row r="62" spans="9:21" x14ac:dyDescent="0.35">
      <c r="M62" s="183"/>
      <c r="N62" s="38"/>
      <c r="O62" s="38"/>
      <c r="P62" s="38"/>
      <c r="Q62" s="38"/>
      <c r="R62" s="38"/>
      <c r="S62" s="38"/>
      <c r="T62" s="38"/>
      <c r="U62" s="38"/>
    </row>
    <row r="63" spans="9:21" x14ac:dyDescent="0.35">
      <c r="M63" s="183"/>
      <c r="N63" s="38"/>
      <c r="O63" s="38"/>
      <c r="P63" s="38"/>
      <c r="Q63" s="38"/>
      <c r="R63" s="38"/>
      <c r="S63" s="38"/>
      <c r="T63" s="38"/>
      <c r="U63" s="38"/>
    </row>
    <row r="64" spans="9:21" x14ac:dyDescent="0.35">
      <c r="M64" s="183"/>
      <c r="N64" s="38"/>
      <c r="O64" s="38"/>
      <c r="P64" s="38"/>
      <c r="Q64" s="38"/>
      <c r="R64" s="38"/>
      <c r="S64" s="38"/>
      <c r="T64" s="38"/>
      <c r="U64" s="38"/>
    </row>
    <row r="65" spans="13:21" x14ac:dyDescent="0.35">
      <c r="M65" s="38"/>
      <c r="N65" s="38"/>
      <c r="O65" s="38"/>
      <c r="P65" s="38"/>
      <c r="Q65" s="38"/>
      <c r="R65" s="38"/>
      <c r="S65" s="38"/>
      <c r="T65" s="38"/>
      <c r="U65" s="38"/>
    </row>
    <row r="66" spans="13:21" x14ac:dyDescent="0.35">
      <c r="M66" s="38"/>
      <c r="N66" s="38"/>
      <c r="O66" s="38"/>
      <c r="P66" s="38"/>
      <c r="Q66" s="38"/>
      <c r="R66" s="38"/>
      <c r="S66" s="38"/>
      <c r="T66" s="38"/>
      <c r="U66" s="38"/>
    </row>
    <row r="67" spans="13:21" x14ac:dyDescent="0.35">
      <c r="M67" s="38"/>
      <c r="N67" s="38"/>
      <c r="O67" s="38"/>
      <c r="P67" s="38"/>
      <c r="Q67" s="38"/>
      <c r="R67" s="38"/>
      <c r="S67" s="38"/>
      <c r="T67" s="38"/>
      <c r="U67" s="38"/>
    </row>
    <row r="68" spans="13:21" x14ac:dyDescent="0.35">
      <c r="M68" s="38"/>
      <c r="N68" s="38"/>
      <c r="O68" s="38"/>
      <c r="P68" s="38"/>
      <c r="Q68" s="38"/>
      <c r="R68" s="38"/>
      <c r="S68" s="38"/>
      <c r="T68" s="38"/>
      <c r="U68" s="38"/>
    </row>
    <row r="69" spans="13:21" x14ac:dyDescent="0.35">
      <c r="M69" s="38"/>
      <c r="N69" s="38"/>
      <c r="O69" s="38"/>
      <c r="P69" s="38"/>
      <c r="Q69" s="38"/>
      <c r="R69" s="38"/>
      <c r="S69" s="38"/>
      <c r="T69" s="38"/>
      <c r="U69" s="38"/>
    </row>
    <row r="70" spans="13:21" x14ac:dyDescent="0.35">
      <c r="M70" s="38"/>
      <c r="N70" s="38"/>
      <c r="O70" s="38"/>
      <c r="P70" s="38"/>
      <c r="Q70" s="38"/>
      <c r="R70" s="38"/>
      <c r="S70" s="38"/>
      <c r="T70" s="38"/>
      <c r="U70" s="38"/>
    </row>
    <row r="71" spans="13:21" x14ac:dyDescent="0.35">
      <c r="M71" s="38"/>
      <c r="N71" s="38"/>
      <c r="O71" s="38"/>
      <c r="P71" s="38"/>
      <c r="Q71" s="38"/>
      <c r="R71" s="38"/>
      <c r="S71" s="38"/>
      <c r="T71" s="38"/>
      <c r="U71" s="38"/>
    </row>
    <row r="72" spans="13:21" x14ac:dyDescent="0.35">
      <c r="M72" s="38"/>
      <c r="N72" s="38"/>
      <c r="O72" s="38"/>
      <c r="P72" s="38"/>
      <c r="Q72" s="38"/>
      <c r="R72" s="38"/>
      <c r="S72" s="38"/>
      <c r="T72" s="38"/>
      <c r="U72" s="38"/>
    </row>
    <row r="73" spans="13:21" x14ac:dyDescent="0.35">
      <c r="M73" s="38"/>
      <c r="N73" s="38"/>
      <c r="O73" s="38"/>
      <c r="P73" s="38"/>
      <c r="Q73" s="38"/>
      <c r="R73" s="38"/>
      <c r="S73" s="38"/>
      <c r="T73" s="38"/>
      <c r="U73" s="38"/>
    </row>
    <row r="74" spans="13:21" x14ac:dyDescent="0.35">
      <c r="M74" s="38"/>
      <c r="N74" s="38"/>
      <c r="O74" s="38"/>
      <c r="P74" s="38"/>
      <c r="Q74" s="38"/>
      <c r="R74" s="38"/>
      <c r="S74" s="38"/>
      <c r="T74" s="38"/>
      <c r="U74" s="38"/>
    </row>
    <row r="75" spans="13:21" x14ac:dyDescent="0.35">
      <c r="M75" s="38"/>
      <c r="N75" s="38"/>
      <c r="O75" s="38"/>
      <c r="P75" s="38"/>
      <c r="Q75" s="38"/>
      <c r="R75" s="38"/>
      <c r="S75" s="38"/>
      <c r="T75" s="38"/>
      <c r="U75" s="38"/>
    </row>
    <row r="76" spans="13:21" x14ac:dyDescent="0.35">
      <c r="M76" s="38"/>
      <c r="N76" s="38"/>
      <c r="O76" s="38"/>
      <c r="P76" s="38"/>
      <c r="Q76" s="38"/>
      <c r="R76" s="38"/>
      <c r="S76" s="38"/>
      <c r="T76" s="38"/>
      <c r="U76" s="38"/>
    </row>
    <row r="77" spans="13:21" x14ac:dyDescent="0.35">
      <c r="M77" s="38"/>
      <c r="N77" s="38"/>
      <c r="O77" s="38"/>
      <c r="P77" s="38"/>
      <c r="Q77" s="38"/>
      <c r="R77" s="38"/>
      <c r="S77" s="38"/>
      <c r="T77" s="38"/>
      <c r="U77" s="38"/>
    </row>
    <row r="78" spans="13:21" x14ac:dyDescent="0.35">
      <c r="M78" s="38"/>
      <c r="N78" s="38"/>
      <c r="O78" s="38"/>
      <c r="P78" s="38"/>
      <c r="Q78" s="38"/>
      <c r="R78" s="38"/>
      <c r="S78" s="38"/>
      <c r="T78" s="38"/>
      <c r="U78" s="38"/>
    </row>
    <row r="79" spans="13:21" x14ac:dyDescent="0.35">
      <c r="M79" s="38"/>
      <c r="N79" s="38"/>
      <c r="O79" s="38"/>
      <c r="P79" s="38"/>
      <c r="Q79" s="38"/>
      <c r="R79" s="38"/>
      <c r="S79" s="38"/>
      <c r="T79" s="38"/>
      <c r="U79" s="38"/>
    </row>
    <row r="80" spans="13:21" x14ac:dyDescent="0.35">
      <c r="M80" s="38"/>
      <c r="N80" s="38"/>
      <c r="O80" s="38"/>
      <c r="P80" s="38"/>
      <c r="Q80" s="38"/>
      <c r="R80" s="38"/>
      <c r="S80" s="38"/>
      <c r="T80" s="38"/>
      <c r="U80" s="38"/>
    </row>
    <row r="81" spans="13:21" x14ac:dyDescent="0.35">
      <c r="M81" s="38"/>
      <c r="N81" s="38"/>
      <c r="O81" s="38"/>
      <c r="P81" s="38"/>
      <c r="Q81" s="38"/>
      <c r="R81" s="38"/>
      <c r="S81" s="38"/>
      <c r="T81" s="38"/>
      <c r="U81" s="38"/>
    </row>
    <row r="82" spans="13:21" x14ac:dyDescent="0.35">
      <c r="M82" s="38"/>
      <c r="N82" s="38"/>
      <c r="O82" s="38"/>
      <c r="P82" s="38"/>
      <c r="Q82" s="38"/>
      <c r="R82" s="38"/>
      <c r="S82" s="38"/>
      <c r="T82" s="38"/>
      <c r="U82" s="38"/>
    </row>
    <row r="83" spans="13:21" x14ac:dyDescent="0.35">
      <c r="M83" s="38"/>
      <c r="N83" s="38"/>
      <c r="O83" s="38"/>
      <c r="P83" s="38"/>
      <c r="Q83" s="38"/>
      <c r="R83" s="38"/>
      <c r="S83" s="38"/>
      <c r="T83" s="38"/>
      <c r="U83" s="38"/>
    </row>
    <row r="84" spans="13:21" x14ac:dyDescent="0.35">
      <c r="M84" s="38"/>
      <c r="N84" s="38"/>
      <c r="O84" s="38"/>
      <c r="P84" s="38"/>
      <c r="Q84" s="38"/>
      <c r="R84" s="38"/>
      <c r="S84" s="38"/>
      <c r="T84" s="38"/>
      <c r="U84" s="38"/>
    </row>
    <row r="85" spans="13:21" x14ac:dyDescent="0.35">
      <c r="M85" s="38"/>
      <c r="N85" s="38"/>
      <c r="O85" s="38"/>
      <c r="P85" s="38"/>
      <c r="Q85" s="38"/>
      <c r="R85" s="38"/>
      <c r="S85" s="38"/>
      <c r="T85" s="38"/>
      <c r="U85" s="38"/>
    </row>
    <row r="86" spans="13:21" x14ac:dyDescent="0.35">
      <c r="M86" s="38"/>
      <c r="N86" s="38"/>
      <c r="O86" s="38"/>
      <c r="P86" s="38"/>
      <c r="Q86" s="38"/>
      <c r="R86" s="38"/>
      <c r="S86" s="38"/>
      <c r="T86" s="38"/>
      <c r="U86" s="38"/>
    </row>
    <row r="87" spans="13:21" x14ac:dyDescent="0.35">
      <c r="M87" s="38"/>
      <c r="N87" s="38"/>
      <c r="O87" s="38"/>
      <c r="P87" s="38"/>
      <c r="Q87" s="38"/>
      <c r="R87" s="38"/>
      <c r="S87" s="38"/>
      <c r="T87" s="38"/>
      <c r="U87" s="38"/>
    </row>
    <row r="88" spans="13:21" x14ac:dyDescent="0.35">
      <c r="M88" s="38"/>
      <c r="N88" s="38"/>
      <c r="O88" s="38"/>
      <c r="P88" s="38"/>
      <c r="Q88" s="38"/>
      <c r="R88" s="38"/>
      <c r="S88" s="38"/>
      <c r="T88" s="38"/>
      <c r="U88" s="38"/>
    </row>
    <row r="89" spans="13:21" x14ac:dyDescent="0.35">
      <c r="M89" s="38"/>
      <c r="N89" s="38"/>
      <c r="O89" s="38"/>
      <c r="P89" s="38"/>
      <c r="Q89" s="38"/>
      <c r="R89" s="38"/>
      <c r="S89" s="38"/>
      <c r="T89" s="38"/>
      <c r="U89" s="38"/>
    </row>
    <row r="90" spans="13:21" x14ac:dyDescent="0.35">
      <c r="M90" s="38"/>
      <c r="N90" s="38"/>
      <c r="O90" s="38"/>
      <c r="P90" s="38"/>
      <c r="Q90" s="38"/>
      <c r="R90" s="38"/>
      <c r="S90" s="38"/>
      <c r="T90" s="38"/>
      <c r="U90" s="38"/>
    </row>
    <row r="91" spans="13:21" x14ac:dyDescent="0.35">
      <c r="M91" s="38"/>
      <c r="N91" s="38"/>
      <c r="O91" s="38"/>
      <c r="P91" s="38"/>
      <c r="Q91" s="38"/>
      <c r="R91" s="38"/>
      <c r="S91" s="38"/>
      <c r="T91" s="38"/>
      <c r="U91" s="38"/>
    </row>
    <row r="92" spans="13:21" x14ac:dyDescent="0.35">
      <c r="M92" s="38"/>
      <c r="N92" s="38"/>
      <c r="O92" s="38"/>
      <c r="P92" s="38"/>
      <c r="Q92" s="38"/>
      <c r="R92" s="38"/>
      <c r="S92" s="38"/>
      <c r="T92" s="38"/>
      <c r="U92" s="38"/>
    </row>
    <row r="93" spans="13:21" x14ac:dyDescent="0.35">
      <c r="M93" s="38"/>
      <c r="N93" s="38"/>
      <c r="O93" s="38"/>
      <c r="P93" s="38"/>
      <c r="Q93" s="38"/>
      <c r="R93" s="38"/>
      <c r="S93" s="38"/>
      <c r="T93" s="38"/>
      <c r="U93" s="38"/>
    </row>
    <row r="94" spans="13:21" x14ac:dyDescent="0.35">
      <c r="M94" s="38"/>
      <c r="N94" s="38"/>
      <c r="O94" s="38"/>
      <c r="P94" s="38"/>
      <c r="Q94" s="38"/>
      <c r="R94" s="38"/>
      <c r="S94" s="38"/>
      <c r="T94" s="38"/>
      <c r="U94" s="38"/>
    </row>
    <row r="95" spans="13:21" x14ac:dyDescent="0.35">
      <c r="M95" s="38"/>
      <c r="N95" s="38"/>
      <c r="O95" s="38"/>
      <c r="P95" s="38"/>
      <c r="Q95" s="38"/>
      <c r="R95" s="38"/>
      <c r="S95" s="38"/>
      <c r="T95" s="38"/>
      <c r="U95" s="38"/>
    </row>
    <row r="96" spans="13:21" x14ac:dyDescent="0.35">
      <c r="M96" s="38"/>
      <c r="N96" s="38"/>
      <c r="O96" s="38"/>
      <c r="P96" s="38"/>
      <c r="Q96" s="38"/>
      <c r="R96" s="38"/>
      <c r="S96" s="38"/>
      <c r="T96" s="38"/>
      <c r="U96" s="38"/>
    </row>
    <row r="97" spans="13:21" x14ac:dyDescent="0.35">
      <c r="M97" s="38"/>
      <c r="N97" s="38"/>
      <c r="O97" s="38"/>
      <c r="P97" s="38"/>
      <c r="Q97" s="38"/>
      <c r="R97" s="38"/>
      <c r="S97" s="38"/>
      <c r="T97" s="38"/>
      <c r="U97" s="38"/>
    </row>
    <row r="98" spans="13:21" x14ac:dyDescent="0.35">
      <c r="M98" s="38"/>
      <c r="N98" s="38"/>
      <c r="O98" s="38"/>
      <c r="P98" s="38"/>
      <c r="Q98" s="38"/>
      <c r="R98" s="38"/>
      <c r="S98" s="38"/>
      <c r="T98" s="38"/>
      <c r="U98" s="38"/>
    </row>
    <row r="99" spans="13:21" x14ac:dyDescent="0.35">
      <c r="M99" s="38"/>
      <c r="N99" s="38"/>
      <c r="O99" s="38"/>
      <c r="P99" s="38"/>
      <c r="Q99" s="38"/>
      <c r="R99" s="38"/>
      <c r="S99" s="38"/>
      <c r="T99" s="38"/>
      <c r="U99" s="38"/>
    </row>
    <row r="100" spans="13:21" x14ac:dyDescent="0.35">
      <c r="M100" s="38"/>
      <c r="N100" s="38"/>
      <c r="O100" s="38"/>
      <c r="P100" s="38"/>
      <c r="Q100" s="38"/>
      <c r="R100" s="38"/>
      <c r="S100" s="38"/>
      <c r="T100" s="38"/>
      <c r="U100" s="38"/>
    </row>
    <row r="101" spans="13:21" x14ac:dyDescent="0.35">
      <c r="M101" s="38"/>
      <c r="N101" s="38"/>
      <c r="O101" s="38"/>
      <c r="P101" s="38"/>
      <c r="Q101" s="38"/>
      <c r="R101" s="38"/>
      <c r="S101" s="38"/>
      <c r="T101" s="38"/>
      <c r="U101" s="38"/>
    </row>
    <row r="102" spans="13:21" x14ac:dyDescent="0.35">
      <c r="M102" s="38"/>
      <c r="N102" s="38"/>
      <c r="O102" s="38"/>
      <c r="P102" s="38"/>
      <c r="Q102" s="38"/>
      <c r="R102" s="38"/>
      <c r="S102" s="38"/>
      <c r="T102" s="38"/>
      <c r="U102" s="38"/>
    </row>
    <row r="103" spans="13:21" x14ac:dyDescent="0.35">
      <c r="M103" s="38"/>
      <c r="N103" s="38"/>
      <c r="O103" s="38"/>
      <c r="P103" s="38"/>
      <c r="Q103" s="38"/>
      <c r="R103" s="38"/>
      <c r="S103" s="38"/>
      <c r="T103" s="38"/>
      <c r="U103" s="38"/>
    </row>
    <row r="104" spans="13:21" x14ac:dyDescent="0.35">
      <c r="M104" s="38"/>
      <c r="N104" s="38"/>
      <c r="O104" s="38"/>
      <c r="P104" s="38"/>
      <c r="Q104" s="38"/>
      <c r="R104" s="38"/>
      <c r="S104" s="38"/>
      <c r="T104" s="38"/>
      <c r="U104" s="38"/>
    </row>
    <row r="105" spans="13:21" x14ac:dyDescent="0.35">
      <c r="M105" s="38"/>
      <c r="N105" s="38"/>
      <c r="O105" s="38"/>
      <c r="P105" s="38"/>
      <c r="Q105" s="38"/>
      <c r="R105" s="38"/>
      <c r="S105" s="38"/>
      <c r="T105" s="38"/>
      <c r="U105" s="38"/>
    </row>
    <row r="106" spans="13:21" x14ac:dyDescent="0.35">
      <c r="M106" s="38"/>
      <c r="N106" s="38"/>
      <c r="O106" s="38"/>
      <c r="P106" s="38"/>
      <c r="Q106" s="38"/>
      <c r="R106" s="38"/>
      <c r="S106" s="38"/>
      <c r="T106" s="38"/>
      <c r="U106" s="38"/>
    </row>
    <row r="107" spans="13:21" x14ac:dyDescent="0.35">
      <c r="M107" s="38"/>
      <c r="N107" s="38"/>
      <c r="O107" s="38"/>
      <c r="P107" s="38"/>
      <c r="Q107" s="38"/>
      <c r="R107" s="38"/>
      <c r="S107" s="38"/>
      <c r="T107" s="38"/>
      <c r="U107" s="38"/>
    </row>
    <row r="108" spans="13:21" x14ac:dyDescent="0.35">
      <c r="M108" s="38"/>
      <c r="N108" s="38"/>
      <c r="O108" s="38"/>
      <c r="P108" s="38"/>
      <c r="Q108" s="38"/>
      <c r="R108" s="38"/>
      <c r="S108" s="38"/>
      <c r="T108" s="38"/>
      <c r="U108" s="38"/>
    </row>
    <row r="109" spans="13:21" x14ac:dyDescent="0.35">
      <c r="M109" s="38"/>
      <c r="N109" s="38"/>
      <c r="O109" s="38"/>
      <c r="P109" s="38"/>
      <c r="Q109" s="38"/>
      <c r="R109" s="38"/>
      <c r="S109" s="38"/>
      <c r="T109" s="38"/>
      <c r="U109" s="38"/>
    </row>
    <row r="110" spans="13:21" x14ac:dyDescent="0.35">
      <c r="M110" s="38"/>
      <c r="N110" s="38"/>
      <c r="O110" s="38"/>
      <c r="P110" s="38"/>
      <c r="Q110" s="38"/>
      <c r="R110" s="38"/>
      <c r="S110" s="38"/>
      <c r="T110" s="38"/>
      <c r="U110" s="38"/>
    </row>
    <row r="111" spans="13:21" x14ac:dyDescent="0.35">
      <c r="M111" s="38"/>
      <c r="N111" s="38"/>
      <c r="O111" s="38"/>
      <c r="P111" s="38"/>
      <c r="Q111" s="38"/>
      <c r="R111" s="38"/>
      <c r="S111" s="38"/>
      <c r="T111" s="38"/>
      <c r="U111" s="38"/>
    </row>
    <row r="112" spans="13:21" x14ac:dyDescent="0.35">
      <c r="M112" s="38"/>
      <c r="N112" s="38"/>
      <c r="O112" s="38"/>
      <c r="P112" s="38"/>
      <c r="Q112" s="38"/>
      <c r="R112" s="38"/>
      <c r="S112" s="38"/>
      <c r="T112" s="38"/>
      <c r="U112" s="38"/>
    </row>
    <row r="113" spans="13:21" x14ac:dyDescent="0.35">
      <c r="M113" s="38"/>
      <c r="N113" s="38"/>
      <c r="O113" s="38"/>
      <c r="P113" s="38"/>
      <c r="Q113" s="38"/>
      <c r="R113" s="38"/>
      <c r="S113" s="38"/>
      <c r="T113" s="38"/>
      <c r="U113" s="38"/>
    </row>
    <row r="114" spans="13:21" x14ac:dyDescent="0.35">
      <c r="M114" s="38"/>
      <c r="N114" s="38"/>
      <c r="O114" s="38"/>
      <c r="P114" s="38"/>
      <c r="Q114" s="38"/>
      <c r="R114" s="38"/>
      <c r="S114" s="38"/>
      <c r="T114" s="38"/>
      <c r="U114" s="38"/>
    </row>
    <row r="115" spans="13:21" x14ac:dyDescent="0.35">
      <c r="M115" s="38"/>
      <c r="N115" s="38"/>
      <c r="O115" s="38"/>
      <c r="P115" s="38"/>
      <c r="Q115" s="38"/>
      <c r="R115" s="38"/>
      <c r="S115" s="38"/>
      <c r="T115" s="38"/>
      <c r="U115" s="38"/>
    </row>
    <row r="116" spans="13:21" x14ac:dyDescent="0.35">
      <c r="M116" s="38"/>
      <c r="N116" s="38"/>
      <c r="O116" s="38"/>
      <c r="P116" s="38"/>
      <c r="Q116" s="38"/>
      <c r="R116" s="38"/>
      <c r="S116" s="38"/>
      <c r="T116" s="38"/>
      <c r="U116" s="38"/>
    </row>
    <row r="117" spans="13:21" x14ac:dyDescent="0.35">
      <c r="M117" s="38"/>
      <c r="N117" s="38"/>
      <c r="O117" s="38"/>
      <c r="P117" s="38"/>
      <c r="Q117" s="38"/>
      <c r="R117" s="38"/>
      <c r="S117" s="38"/>
      <c r="T117" s="38"/>
      <c r="U117" s="38"/>
    </row>
    <row r="118" spans="13:21" x14ac:dyDescent="0.35">
      <c r="M118" s="38"/>
      <c r="N118" s="38"/>
      <c r="O118" s="38"/>
      <c r="P118" s="38"/>
      <c r="Q118" s="38"/>
      <c r="R118" s="38"/>
      <c r="S118" s="38"/>
      <c r="T118" s="38"/>
      <c r="U118" s="38"/>
    </row>
    <row r="119" spans="13:21" x14ac:dyDescent="0.35">
      <c r="M119" s="38"/>
      <c r="N119" s="38"/>
      <c r="O119" s="38"/>
      <c r="P119" s="38"/>
      <c r="Q119" s="38"/>
      <c r="R119" s="38"/>
      <c r="S119" s="38"/>
      <c r="T119" s="38"/>
      <c r="U119" s="38"/>
    </row>
    <row r="120" spans="13:21" x14ac:dyDescent="0.35">
      <c r="M120" s="38"/>
      <c r="N120" s="38"/>
      <c r="O120" s="38"/>
      <c r="P120" s="38"/>
      <c r="Q120" s="38"/>
      <c r="R120" s="38"/>
      <c r="S120" s="38"/>
      <c r="T120" s="38"/>
      <c r="U120" s="38"/>
    </row>
    <row r="121" spans="13:21" x14ac:dyDescent="0.35">
      <c r="M121" s="38"/>
      <c r="N121" s="38"/>
      <c r="O121" s="38"/>
      <c r="P121" s="38"/>
      <c r="Q121" s="38"/>
      <c r="R121" s="38"/>
      <c r="S121" s="38"/>
      <c r="T121" s="38"/>
      <c r="U121" s="38"/>
    </row>
    <row r="122" spans="13:21" x14ac:dyDescent="0.35">
      <c r="M122" s="38"/>
      <c r="N122" s="38"/>
      <c r="O122" s="38"/>
      <c r="P122" s="38"/>
      <c r="Q122" s="38"/>
      <c r="R122" s="38"/>
      <c r="S122" s="38"/>
      <c r="T122" s="38"/>
      <c r="U122" s="38"/>
    </row>
    <row r="123" spans="13:21" x14ac:dyDescent="0.35">
      <c r="M123" s="38"/>
      <c r="N123" s="38"/>
      <c r="O123" s="38"/>
      <c r="P123" s="38"/>
      <c r="Q123" s="38"/>
      <c r="R123" s="38"/>
      <c r="S123" s="38"/>
      <c r="T123" s="38"/>
      <c r="U123" s="38"/>
    </row>
    <row r="124" spans="13:21" x14ac:dyDescent="0.35">
      <c r="M124" s="38"/>
      <c r="N124" s="38"/>
      <c r="O124" s="38"/>
      <c r="P124" s="38"/>
      <c r="Q124" s="38"/>
      <c r="R124" s="38"/>
      <c r="S124" s="38"/>
      <c r="T124" s="38"/>
      <c r="U124" s="38"/>
    </row>
    <row r="125" spans="13:21" x14ac:dyDescent="0.35">
      <c r="M125" s="38"/>
      <c r="N125" s="38"/>
      <c r="O125" s="38"/>
      <c r="P125" s="38"/>
      <c r="Q125" s="38"/>
      <c r="R125" s="38"/>
      <c r="S125" s="38"/>
      <c r="T125" s="38"/>
      <c r="U125" s="38"/>
    </row>
    <row r="126" spans="13:21" x14ac:dyDescent="0.35">
      <c r="M126" s="38"/>
      <c r="N126" s="38"/>
      <c r="O126" s="38"/>
      <c r="P126" s="38"/>
      <c r="Q126" s="38"/>
      <c r="R126" s="38"/>
      <c r="S126" s="38"/>
      <c r="T126" s="38"/>
      <c r="U126" s="38"/>
    </row>
    <row r="127" spans="13:21" x14ac:dyDescent="0.35">
      <c r="M127" s="38"/>
      <c r="N127" s="38"/>
      <c r="O127" s="38"/>
      <c r="P127" s="38"/>
      <c r="Q127" s="38"/>
      <c r="R127" s="38"/>
      <c r="S127" s="38"/>
      <c r="T127" s="38"/>
      <c r="U127" s="38"/>
    </row>
    <row r="128" spans="13:21" x14ac:dyDescent="0.35">
      <c r="M128" s="38"/>
      <c r="N128" s="38"/>
      <c r="O128" s="38"/>
      <c r="P128" s="38"/>
      <c r="Q128" s="38"/>
      <c r="R128" s="38"/>
      <c r="S128" s="38"/>
      <c r="T128" s="38"/>
      <c r="U128" s="38"/>
    </row>
    <row r="129" spans="13:21" x14ac:dyDescent="0.35">
      <c r="M129" s="38"/>
      <c r="N129" s="38"/>
      <c r="O129" s="38"/>
      <c r="P129" s="38"/>
      <c r="Q129" s="38"/>
      <c r="R129" s="38"/>
      <c r="S129" s="38"/>
      <c r="T129" s="38"/>
      <c r="U129" s="38"/>
    </row>
    <row r="130" spans="13:21" x14ac:dyDescent="0.35">
      <c r="M130" s="38"/>
      <c r="N130" s="38"/>
      <c r="O130" s="38"/>
      <c r="P130" s="38"/>
      <c r="Q130" s="38"/>
      <c r="R130" s="38"/>
      <c r="S130" s="38"/>
      <c r="T130" s="38"/>
      <c r="U130" s="38"/>
    </row>
    <row r="131" spans="13:21" x14ac:dyDescent="0.35">
      <c r="M131" s="38"/>
      <c r="N131" s="38"/>
      <c r="O131" s="38"/>
      <c r="P131" s="38"/>
      <c r="Q131" s="38"/>
      <c r="R131" s="38"/>
      <c r="S131" s="38"/>
      <c r="T131" s="38"/>
      <c r="U131" s="38"/>
    </row>
    <row r="132" spans="13:21" x14ac:dyDescent="0.35">
      <c r="M132" s="38"/>
      <c r="N132" s="38"/>
      <c r="O132" s="38"/>
      <c r="P132" s="38"/>
      <c r="Q132" s="38"/>
      <c r="R132" s="38"/>
      <c r="S132" s="38"/>
      <c r="T132" s="38"/>
      <c r="U132" s="38"/>
    </row>
    <row r="133" spans="13:21" x14ac:dyDescent="0.35">
      <c r="M133" s="38"/>
      <c r="N133" s="38"/>
      <c r="O133" s="38"/>
      <c r="P133" s="38"/>
      <c r="Q133" s="38"/>
      <c r="R133" s="38"/>
      <c r="S133" s="38"/>
      <c r="T133" s="38"/>
      <c r="U133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J41"/>
  <sheetViews>
    <sheetView workbookViewId="0"/>
  </sheetViews>
  <sheetFormatPr defaultRowHeight="14.5" x14ac:dyDescent="0.35"/>
  <sheetData>
    <row r="3" spans="3:10" x14ac:dyDescent="0.35">
      <c r="C3" s="176" t="s">
        <v>0</v>
      </c>
      <c r="D3" s="176" t="s">
        <v>2</v>
      </c>
      <c r="E3" s="176" t="s">
        <v>517</v>
      </c>
    </row>
    <row r="4" spans="3:10" x14ac:dyDescent="0.35">
      <c r="C4" s="38">
        <v>1</v>
      </c>
      <c r="D4" s="38" t="s">
        <v>518</v>
      </c>
      <c r="E4" s="38" t="s">
        <v>522</v>
      </c>
    </row>
    <row r="5" spans="3:10" x14ac:dyDescent="0.35">
      <c r="C5" s="38">
        <v>2</v>
      </c>
      <c r="D5" s="38" t="s">
        <v>519</v>
      </c>
      <c r="E5" s="38" t="s">
        <v>525</v>
      </c>
    </row>
    <row r="6" spans="3:10" x14ac:dyDescent="0.35">
      <c r="C6" s="38">
        <v>3</v>
      </c>
      <c r="D6" s="38" t="s">
        <v>524</v>
      </c>
      <c r="E6" s="38" t="s">
        <v>523</v>
      </c>
    </row>
    <row r="7" spans="3:10" x14ac:dyDescent="0.35">
      <c r="C7" s="38">
        <v>4</v>
      </c>
      <c r="D7" s="38" t="s">
        <v>520</v>
      </c>
      <c r="E7" s="38" t="s">
        <v>525</v>
      </c>
    </row>
    <row r="8" spans="3:10" x14ac:dyDescent="0.35">
      <c r="C8" s="38">
        <v>5</v>
      </c>
      <c r="D8" s="38" t="s">
        <v>526</v>
      </c>
      <c r="E8" s="38" t="s">
        <v>523</v>
      </c>
    </row>
    <row r="9" spans="3:10" x14ac:dyDescent="0.35">
      <c r="C9" s="38">
        <v>6</v>
      </c>
      <c r="D9" s="38" t="s">
        <v>521</v>
      </c>
      <c r="E9" s="38" t="s">
        <v>523</v>
      </c>
    </row>
    <row r="10" spans="3:10" x14ac:dyDescent="0.35">
      <c r="C10" s="38">
        <v>7</v>
      </c>
      <c r="D10" s="38" t="s">
        <v>527</v>
      </c>
      <c r="E10" s="38" t="s">
        <v>523</v>
      </c>
    </row>
    <row r="11" spans="3:10" x14ac:dyDescent="0.35">
      <c r="H11">
        <f>1500*30</f>
        <v>45000</v>
      </c>
    </row>
    <row r="14" spans="3:10" x14ac:dyDescent="0.35">
      <c r="C14" s="176" t="s">
        <v>0</v>
      </c>
      <c r="D14" s="262" t="s">
        <v>2</v>
      </c>
      <c r="E14" s="262" t="s">
        <v>517</v>
      </c>
    </row>
    <row r="15" spans="3:10" ht="15.5" x14ac:dyDescent="0.35">
      <c r="C15" s="43">
        <v>1</v>
      </c>
      <c r="D15" s="52" t="s">
        <v>759</v>
      </c>
      <c r="E15" s="52"/>
      <c r="F15" s="214"/>
      <c r="G15" s="58"/>
      <c r="H15" s="60"/>
      <c r="I15" s="58"/>
      <c r="J15" s="58"/>
    </row>
    <row r="16" spans="3:10" ht="15.5" x14ac:dyDescent="0.35">
      <c r="C16" s="43">
        <f>C15+1</f>
        <v>2</v>
      </c>
      <c r="D16" s="52" t="s">
        <v>792</v>
      </c>
      <c r="E16" s="52"/>
      <c r="F16" s="214"/>
      <c r="G16" s="58"/>
      <c r="H16" s="60"/>
      <c r="I16" s="58"/>
      <c r="J16" s="58"/>
    </row>
    <row r="17" spans="3:10" ht="15.5" x14ac:dyDescent="0.35">
      <c r="C17" s="43">
        <f>C16+1</f>
        <v>3</v>
      </c>
      <c r="D17" s="52"/>
      <c r="E17" s="52"/>
      <c r="F17" s="214"/>
      <c r="G17" s="58"/>
      <c r="H17" s="60"/>
      <c r="I17" s="58"/>
      <c r="J17" s="58"/>
    </row>
    <row r="18" spans="3:10" ht="15.5" x14ac:dyDescent="0.35">
      <c r="C18" s="43">
        <v>4</v>
      </c>
      <c r="D18" s="52" t="s">
        <v>763</v>
      </c>
      <c r="E18" s="38"/>
    </row>
    <row r="19" spans="3:10" ht="15.5" x14ac:dyDescent="0.35">
      <c r="C19" s="43">
        <v>5</v>
      </c>
      <c r="D19" s="52"/>
      <c r="E19" s="43"/>
    </row>
    <row r="20" spans="3:10" ht="15.5" x14ac:dyDescent="0.35">
      <c r="C20" s="43">
        <v>6</v>
      </c>
      <c r="D20" s="52" t="s">
        <v>770</v>
      </c>
      <c r="E20" s="43"/>
    </row>
    <row r="21" spans="3:10" ht="15.5" x14ac:dyDescent="0.35">
      <c r="C21" s="43">
        <v>7</v>
      </c>
      <c r="D21" s="52" t="s">
        <v>772</v>
      </c>
      <c r="E21" s="38"/>
    </row>
    <row r="22" spans="3:10" ht="15.5" x14ac:dyDescent="0.35">
      <c r="C22" s="43">
        <v>8</v>
      </c>
      <c r="D22" s="52" t="s">
        <v>788</v>
      </c>
      <c r="E22" s="38"/>
    </row>
    <row r="23" spans="3:10" ht="15.5" x14ac:dyDescent="0.35">
      <c r="C23" s="43">
        <v>9</v>
      </c>
      <c r="D23" s="52" t="s">
        <v>799</v>
      </c>
      <c r="E23" s="38"/>
    </row>
    <row r="24" spans="3:10" x14ac:dyDescent="0.35">
      <c r="C24" s="43">
        <v>10</v>
      </c>
      <c r="D24" s="203" t="s">
        <v>801</v>
      </c>
      <c r="E24" s="38"/>
    </row>
    <row r="25" spans="3:10" ht="15.5" x14ac:dyDescent="0.35">
      <c r="C25" s="43">
        <v>11</v>
      </c>
      <c r="D25" s="196" t="s">
        <v>802</v>
      </c>
      <c r="E25" s="38"/>
    </row>
    <row r="26" spans="3:10" x14ac:dyDescent="0.35">
      <c r="C26" s="43">
        <v>12</v>
      </c>
      <c r="D26" s="203" t="s">
        <v>804</v>
      </c>
      <c r="E26" s="38"/>
    </row>
    <row r="27" spans="3:10" x14ac:dyDescent="0.35">
      <c r="C27" s="43">
        <v>13</v>
      </c>
      <c r="D27" s="203" t="s">
        <v>805</v>
      </c>
      <c r="E27" s="38"/>
    </row>
    <row r="28" spans="3:10" ht="15.5" x14ac:dyDescent="0.35">
      <c r="C28" s="43">
        <v>14</v>
      </c>
      <c r="D28" s="196" t="s">
        <v>809</v>
      </c>
      <c r="E28" s="38"/>
    </row>
    <row r="29" spans="3:10" ht="15.5" x14ac:dyDescent="0.35">
      <c r="C29" s="43">
        <v>15</v>
      </c>
      <c r="D29" s="250" t="s">
        <v>811</v>
      </c>
      <c r="E29" s="38"/>
    </row>
    <row r="30" spans="3:10" x14ac:dyDescent="0.35">
      <c r="C30" s="43">
        <v>16</v>
      </c>
      <c r="D30" s="203" t="s">
        <v>813</v>
      </c>
      <c r="E30" s="38"/>
    </row>
    <row r="31" spans="3:10" x14ac:dyDescent="0.35">
      <c r="C31" s="43">
        <v>17</v>
      </c>
      <c r="D31" s="203" t="s">
        <v>816</v>
      </c>
      <c r="E31" s="38"/>
    </row>
    <row r="32" spans="3:10" x14ac:dyDescent="0.35">
      <c r="C32" s="43">
        <v>18</v>
      </c>
      <c r="D32" s="43" t="s">
        <v>833</v>
      </c>
      <c r="E32" s="38"/>
    </row>
    <row r="33" spans="3:5" x14ac:dyDescent="0.35">
      <c r="C33" s="43">
        <v>19</v>
      </c>
      <c r="D33" s="43" t="s">
        <v>836</v>
      </c>
      <c r="E33" s="38"/>
    </row>
    <row r="34" spans="3:5" x14ac:dyDescent="0.35">
      <c r="C34" s="43">
        <v>20</v>
      </c>
      <c r="D34" s="43" t="s">
        <v>839</v>
      </c>
      <c r="E34" s="38"/>
    </row>
    <row r="35" spans="3:5" x14ac:dyDescent="0.35">
      <c r="C35" s="43">
        <v>21</v>
      </c>
      <c r="D35" s="43" t="s">
        <v>840</v>
      </c>
      <c r="E35" s="38"/>
    </row>
    <row r="36" spans="3:5" x14ac:dyDescent="0.35">
      <c r="C36" s="43">
        <v>22</v>
      </c>
      <c r="D36" s="207" t="s">
        <v>842</v>
      </c>
      <c r="E36" s="38"/>
    </row>
    <row r="37" spans="3:5" x14ac:dyDescent="0.35">
      <c r="C37" s="43">
        <v>23</v>
      </c>
      <c r="D37" s="261" t="s">
        <v>843</v>
      </c>
      <c r="E37" s="38"/>
    </row>
    <row r="38" spans="3:5" x14ac:dyDescent="0.35">
      <c r="C38" s="43">
        <v>24</v>
      </c>
      <c r="D38" s="43" t="s">
        <v>845</v>
      </c>
      <c r="E38" s="38"/>
    </row>
    <row r="39" spans="3:5" x14ac:dyDescent="0.35">
      <c r="C39" s="43">
        <v>25</v>
      </c>
      <c r="D39" s="43" t="s">
        <v>846</v>
      </c>
      <c r="E39" s="38"/>
    </row>
    <row r="40" spans="3:5" x14ac:dyDescent="0.35">
      <c r="C40" s="43">
        <v>26</v>
      </c>
      <c r="D40" s="43" t="s">
        <v>848</v>
      </c>
      <c r="E40" s="38"/>
    </row>
    <row r="41" spans="3:5" x14ac:dyDescent="0.35">
      <c r="C41" s="43">
        <v>27</v>
      </c>
      <c r="D41" s="43" t="s">
        <v>849</v>
      </c>
      <c r="E41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T122"/>
  <sheetViews>
    <sheetView topLeftCell="M28" workbookViewId="0">
      <selection activeCell="K18" sqref="K18"/>
    </sheetView>
  </sheetViews>
  <sheetFormatPr defaultRowHeight="14.5" x14ac:dyDescent="0.35"/>
  <cols>
    <col min="4" max="4" width="26.453125" bestFit="1" customWidth="1"/>
    <col min="5" max="5" width="34.6328125" bestFit="1" customWidth="1"/>
    <col min="8" max="8" width="13.1796875" bestFit="1" customWidth="1"/>
    <col min="9" max="9" width="17.7265625" bestFit="1" customWidth="1"/>
    <col min="14" max="14" width="28.90625" bestFit="1" customWidth="1"/>
  </cols>
  <sheetData>
    <row r="3" spans="2:20" x14ac:dyDescent="0.35">
      <c r="E3" s="38"/>
      <c r="F3" s="38"/>
    </row>
    <row r="4" spans="2:20" ht="18.5" x14ac:dyDescent="0.45">
      <c r="E4" s="193" t="s">
        <v>645</v>
      </c>
      <c r="F4" s="38"/>
      <c r="N4" s="144" t="s">
        <v>644</v>
      </c>
    </row>
    <row r="5" spans="2:20" ht="21" x14ac:dyDescent="0.5">
      <c r="B5" s="198" t="s">
        <v>0</v>
      </c>
      <c r="C5" s="198" t="s">
        <v>1</v>
      </c>
      <c r="D5" s="198" t="s">
        <v>2</v>
      </c>
      <c r="E5" s="198" t="s">
        <v>3</v>
      </c>
      <c r="F5" s="198" t="s">
        <v>4</v>
      </c>
      <c r="G5" s="198" t="s">
        <v>5</v>
      </c>
      <c r="H5" s="198" t="s">
        <v>6</v>
      </c>
      <c r="I5" s="198" t="s">
        <v>7</v>
      </c>
      <c r="J5" s="212" t="s">
        <v>661</v>
      </c>
      <c r="L5" s="173" t="s">
        <v>0</v>
      </c>
      <c r="M5" s="173" t="s">
        <v>1</v>
      </c>
      <c r="N5" s="173" t="s">
        <v>2</v>
      </c>
      <c r="O5" s="173" t="s">
        <v>3</v>
      </c>
      <c r="P5" s="173" t="s">
        <v>4</v>
      </c>
      <c r="Q5" s="173" t="s">
        <v>5</v>
      </c>
      <c r="R5" s="173" t="s">
        <v>6</v>
      </c>
      <c r="S5" s="1" t="s">
        <v>7</v>
      </c>
      <c r="T5" s="1" t="s">
        <v>8</v>
      </c>
    </row>
    <row r="6" spans="2:20" ht="12.4" customHeight="1" x14ac:dyDescent="0.4">
      <c r="B6" s="52">
        <v>1</v>
      </c>
      <c r="C6" s="52">
        <v>11268</v>
      </c>
      <c r="D6" s="52" t="s">
        <v>600</v>
      </c>
      <c r="E6" s="194">
        <v>102161633617</v>
      </c>
      <c r="F6" s="217">
        <v>5221679768</v>
      </c>
      <c r="G6" s="74">
        <v>45658</v>
      </c>
      <c r="H6" s="199" t="s">
        <v>417</v>
      </c>
      <c r="I6" s="52" t="s">
        <v>249</v>
      </c>
      <c r="J6" s="38"/>
      <c r="L6" s="43">
        <v>1</v>
      </c>
      <c r="M6" s="43">
        <v>11257</v>
      </c>
      <c r="N6" s="43" t="s">
        <v>609</v>
      </c>
      <c r="O6" s="114">
        <v>101571986837</v>
      </c>
      <c r="P6" s="43">
        <v>5218917801</v>
      </c>
      <c r="Q6" s="56">
        <v>45664</v>
      </c>
      <c r="R6" s="43" t="s">
        <v>305</v>
      </c>
      <c r="S6" s="43" t="s">
        <v>559</v>
      </c>
      <c r="T6" s="43"/>
    </row>
    <row r="7" spans="2:20" ht="18.5" x14ac:dyDescent="0.45">
      <c r="B7" s="52">
        <v>2</v>
      </c>
      <c r="C7" s="196">
        <v>11269</v>
      </c>
      <c r="D7" s="52" t="s">
        <v>601</v>
      </c>
      <c r="E7" s="194">
        <v>102107467281</v>
      </c>
      <c r="F7" s="200">
        <v>5221150661</v>
      </c>
      <c r="G7" s="74">
        <v>45661</v>
      </c>
      <c r="H7" s="199" t="s">
        <v>23</v>
      </c>
      <c r="I7" s="52" t="s">
        <v>603</v>
      </c>
      <c r="J7" s="38"/>
      <c r="L7" s="43">
        <v>2</v>
      </c>
      <c r="M7" s="43">
        <v>11258</v>
      </c>
      <c r="N7" s="43" t="s">
        <v>610</v>
      </c>
      <c r="O7" s="63">
        <v>101539775632</v>
      </c>
      <c r="P7" s="190">
        <v>5220512525</v>
      </c>
      <c r="Q7" s="56">
        <v>45664</v>
      </c>
      <c r="R7" s="43" t="s">
        <v>305</v>
      </c>
      <c r="S7" s="43" t="s">
        <v>559</v>
      </c>
      <c r="T7" s="43"/>
    </row>
    <row r="8" spans="2:20" ht="17.5" x14ac:dyDescent="0.35">
      <c r="B8" s="52">
        <v>3</v>
      </c>
      <c r="C8" s="52">
        <v>11270</v>
      </c>
      <c r="D8" s="52" t="s">
        <v>602</v>
      </c>
      <c r="E8" s="194">
        <v>101911049960</v>
      </c>
      <c r="F8" s="218">
        <v>5219348877</v>
      </c>
      <c r="G8" s="74">
        <v>45661</v>
      </c>
      <c r="H8" s="199" t="s">
        <v>23</v>
      </c>
      <c r="I8" s="52" t="s">
        <v>502</v>
      </c>
      <c r="J8" s="38"/>
      <c r="L8" s="43">
        <v>3</v>
      </c>
      <c r="M8" s="43">
        <v>11259</v>
      </c>
      <c r="N8" s="43" t="s">
        <v>611</v>
      </c>
      <c r="O8" s="63">
        <v>101755192512</v>
      </c>
      <c r="P8" s="43">
        <v>5219803864</v>
      </c>
      <c r="Q8" s="56">
        <v>45659</v>
      </c>
      <c r="R8" s="43" t="s">
        <v>305</v>
      </c>
      <c r="S8" s="43" t="s">
        <v>612</v>
      </c>
      <c r="T8" s="43"/>
    </row>
    <row r="9" spans="2:20" ht="18" x14ac:dyDescent="0.4">
      <c r="B9" s="52">
        <v>4</v>
      </c>
      <c r="C9" s="52">
        <v>11271</v>
      </c>
      <c r="D9" s="52" t="s">
        <v>604</v>
      </c>
      <c r="E9" s="194">
        <v>102161646180</v>
      </c>
      <c r="F9" s="217">
        <v>5221679966</v>
      </c>
      <c r="G9" s="74">
        <v>45658</v>
      </c>
      <c r="H9" s="75" t="s">
        <v>13</v>
      </c>
      <c r="I9" s="52" t="s">
        <v>249</v>
      </c>
      <c r="J9" s="38"/>
      <c r="L9" s="43">
        <v>4</v>
      </c>
      <c r="M9" s="203">
        <v>11264</v>
      </c>
      <c r="N9" s="43" t="s">
        <v>613</v>
      </c>
      <c r="O9" s="195">
        <v>102047891086</v>
      </c>
      <c r="P9" s="43">
        <v>5220501991</v>
      </c>
      <c r="Q9" s="43"/>
      <c r="R9" s="43" t="s">
        <v>305</v>
      </c>
      <c r="S9" s="43" t="s">
        <v>612</v>
      </c>
      <c r="T9" s="43"/>
    </row>
    <row r="10" spans="2:20" ht="17.5" x14ac:dyDescent="0.35">
      <c r="B10" s="52">
        <v>5</v>
      </c>
      <c r="C10" s="52">
        <v>11272</v>
      </c>
      <c r="D10" s="52" t="s">
        <v>605</v>
      </c>
      <c r="E10" s="194">
        <v>101490983729</v>
      </c>
      <c r="F10" s="218">
        <v>5215947474</v>
      </c>
      <c r="G10" s="74">
        <v>45664</v>
      </c>
      <c r="H10" s="52" t="s">
        <v>606</v>
      </c>
      <c r="I10" s="52" t="s">
        <v>17</v>
      </c>
      <c r="J10" s="38"/>
      <c r="L10" s="43">
        <v>5</v>
      </c>
      <c r="M10" s="43">
        <v>11260</v>
      </c>
      <c r="N10" s="43" t="s">
        <v>614</v>
      </c>
      <c r="O10" s="195">
        <v>101026842431</v>
      </c>
      <c r="P10" s="43">
        <v>5214126679</v>
      </c>
      <c r="Q10" s="56">
        <v>45659</v>
      </c>
      <c r="R10" s="43" t="s">
        <v>305</v>
      </c>
      <c r="S10" s="43" t="s">
        <v>559</v>
      </c>
      <c r="T10" s="43"/>
    </row>
    <row r="11" spans="2:20" ht="17.5" x14ac:dyDescent="0.35">
      <c r="B11" s="52">
        <v>6</v>
      </c>
      <c r="C11" s="52">
        <v>11273</v>
      </c>
      <c r="D11" s="52" t="s">
        <v>607</v>
      </c>
      <c r="E11" s="194">
        <v>101331571871</v>
      </c>
      <c r="F11" s="218">
        <v>6718431577</v>
      </c>
      <c r="G11" s="74">
        <v>45677</v>
      </c>
      <c r="H11" s="52" t="s">
        <v>470</v>
      </c>
      <c r="I11" s="52" t="s">
        <v>44</v>
      </c>
      <c r="J11" s="38"/>
      <c r="L11" s="43">
        <v>6</v>
      </c>
      <c r="M11" s="43">
        <v>11261</v>
      </c>
      <c r="N11" s="43" t="s">
        <v>615</v>
      </c>
      <c r="O11" s="62">
        <v>101408898679</v>
      </c>
      <c r="P11" s="43">
        <v>5219515090</v>
      </c>
      <c r="Q11" s="56">
        <v>45672</v>
      </c>
      <c r="R11" s="43" t="s">
        <v>305</v>
      </c>
      <c r="S11" s="202" t="s">
        <v>559</v>
      </c>
      <c r="T11" s="43"/>
    </row>
    <row r="12" spans="2:20" ht="17.5" x14ac:dyDescent="0.35">
      <c r="B12" s="52">
        <v>7</v>
      </c>
      <c r="C12" s="52">
        <v>11274</v>
      </c>
      <c r="D12" s="197" t="s">
        <v>608</v>
      </c>
      <c r="E12" s="73">
        <v>101919558080</v>
      </c>
      <c r="F12" s="219">
        <v>5219449336</v>
      </c>
      <c r="G12" s="74">
        <v>45673</v>
      </c>
      <c r="H12" s="52" t="s">
        <v>181</v>
      </c>
      <c r="I12" s="52" t="s">
        <v>17</v>
      </c>
      <c r="J12" s="38"/>
      <c r="L12" s="43">
        <v>7</v>
      </c>
      <c r="M12" s="43">
        <v>11262</v>
      </c>
      <c r="N12" s="43" t="s">
        <v>616</v>
      </c>
      <c r="O12" s="195">
        <v>102076261463</v>
      </c>
      <c r="P12" s="43">
        <v>5220913959</v>
      </c>
      <c r="Q12" s="56">
        <v>45664</v>
      </c>
      <c r="R12" s="43" t="s">
        <v>305</v>
      </c>
      <c r="S12" s="202" t="s">
        <v>559</v>
      </c>
      <c r="T12" s="43"/>
    </row>
    <row r="13" spans="2:20" ht="18" x14ac:dyDescent="0.4">
      <c r="B13" s="52">
        <v>8</v>
      </c>
      <c r="C13" s="196">
        <v>11276</v>
      </c>
      <c r="D13" s="52" t="s">
        <v>622</v>
      </c>
      <c r="E13" s="194">
        <v>102075233629</v>
      </c>
      <c r="F13" s="65">
        <v>5221729891</v>
      </c>
      <c r="G13" s="74">
        <v>45661</v>
      </c>
      <c r="H13" s="52" t="s">
        <v>417</v>
      </c>
      <c r="I13" s="52" t="s">
        <v>25</v>
      </c>
      <c r="J13" s="38"/>
      <c r="L13" s="43">
        <v>8</v>
      </c>
      <c r="M13" s="43">
        <v>11263</v>
      </c>
      <c r="N13" s="43" t="s">
        <v>617</v>
      </c>
      <c r="O13" s="195">
        <v>101819588655</v>
      </c>
      <c r="P13" s="43">
        <v>5218512801</v>
      </c>
      <c r="Q13" s="56">
        <v>45664</v>
      </c>
      <c r="R13" s="43" t="s">
        <v>305</v>
      </c>
      <c r="S13" s="202" t="s">
        <v>559</v>
      </c>
      <c r="T13" s="43"/>
    </row>
    <row r="14" spans="2:20" ht="18.5" x14ac:dyDescent="0.45">
      <c r="B14" s="52">
        <v>9</v>
      </c>
      <c r="C14" s="196">
        <v>11277</v>
      </c>
      <c r="D14" s="52" t="s">
        <v>623</v>
      </c>
      <c r="E14" s="194">
        <v>101875871531</v>
      </c>
      <c r="F14" s="66">
        <v>5220873146</v>
      </c>
      <c r="G14" s="74">
        <v>45668</v>
      </c>
      <c r="H14" s="52" t="s">
        <v>38</v>
      </c>
      <c r="I14" s="52"/>
      <c r="J14" s="38"/>
      <c r="L14" s="43">
        <v>9</v>
      </c>
      <c r="M14" s="43">
        <v>10808</v>
      </c>
      <c r="N14" s="43" t="s">
        <v>618</v>
      </c>
      <c r="O14" s="195">
        <v>101879295728</v>
      </c>
      <c r="P14" s="43">
        <v>5219057854</v>
      </c>
      <c r="Q14" s="56">
        <v>45672</v>
      </c>
      <c r="R14" s="43" t="s">
        <v>305</v>
      </c>
      <c r="S14" s="202" t="s">
        <v>559</v>
      </c>
      <c r="T14" s="43"/>
    </row>
    <row r="15" spans="2:20" ht="17.5" x14ac:dyDescent="0.35">
      <c r="B15" s="215">
        <v>10</v>
      </c>
      <c r="C15" s="215">
        <v>11278</v>
      </c>
      <c r="D15" s="215" t="s">
        <v>624</v>
      </c>
      <c r="E15" s="213">
        <v>100323983861</v>
      </c>
      <c r="F15" s="220">
        <v>5220522941</v>
      </c>
      <c r="G15" s="216">
        <v>45682</v>
      </c>
      <c r="H15" s="215" t="s">
        <v>625</v>
      </c>
      <c r="I15" s="215"/>
      <c r="J15" s="38"/>
      <c r="L15" s="43">
        <v>10</v>
      </c>
      <c r="M15" s="43">
        <v>11265</v>
      </c>
      <c r="N15" s="43" t="s">
        <v>619</v>
      </c>
      <c r="O15" s="195">
        <v>101240217479</v>
      </c>
      <c r="P15" s="143">
        <v>5217049308</v>
      </c>
      <c r="Q15" s="56">
        <v>45659</v>
      </c>
      <c r="R15" s="43" t="s">
        <v>305</v>
      </c>
      <c r="S15" s="202" t="s">
        <v>559</v>
      </c>
      <c r="T15" s="43"/>
    </row>
    <row r="16" spans="2:20" ht="18" x14ac:dyDescent="0.4">
      <c r="B16" s="52">
        <v>11</v>
      </c>
      <c r="C16" s="52">
        <v>11279</v>
      </c>
      <c r="D16" s="52" t="s">
        <v>626</v>
      </c>
      <c r="E16" s="194">
        <v>101627488677</v>
      </c>
      <c r="F16" s="17">
        <v>5221693350</v>
      </c>
      <c r="G16" s="74">
        <v>45664</v>
      </c>
      <c r="H16" s="52" t="s">
        <v>585</v>
      </c>
      <c r="I16" s="52"/>
      <c r="J16" s="183"/>
      <c r="L16" s="43">
        <v>11</v>
      </c>
      <c r="M16" s="43">
        <v>11266</v>
      </c>
      <c r="N16" s="203" t="s">
        <v>620</v>
      </c>
      <c r="O16" s="195">
        <v>102161520672</v>
      </c>
      <c r="P16" s="143">
        <v>5221690666</v>
      </c>
      <c r="Q16" s="56">
        <v>45664</v>
      </c>
      <c r="R16" s="43" t="s">
        <v>305</v>
      </c>
      <c r="S16" s="202" t="s">
        <v>559</v>
      </c>
      <c r="T16" s="43"/>
    </row>
    <row r="17" spans="2:20" ht="18.5" x14ac:dyDescent="0.45">
      <c r="B17" s="43">
        <v>13</v>
      </c>
      <c r="C17" s="43">
        <v>11289</v>
      </c>
      <c r="D17" s="43" t="s">
        <v>630</v>
      </c>
      <c r="E17" s="208">
        <v>101919558098</v>
      </c>
      <c r="F17" s="201">
        <v>5219449351</v>
      </c>
      <c r="G17" s="56">
        <v>45661</v>
      </c>
      <c r="H17" s="43" t="s">
        <v>181</v>
      </c>
      <c r="I17" s="43"/>
      <c r="J17" s="183"/>
      <c r="L17" s="43">
        <v>12</v>
      </c>
      <c r="M17" s="43">
        <v>11267</v>
      </c>
      <c r="N17" s="43" t="s">
        <v>621</v>
      </c>
      <c r="O17" s="204">
        <v>101748612776</v>
      </c>
      <c r="P17" s="143">
        <v>5221693435</v>
      </c>
      <c r="Q17" s="56">
        <v>45659</v>
      </c>
      <c r="R17" s="43" t="s">
        <v>120</v>
      </c>
      <c r="S17" s="202" t="s">
        <v>559</v>
      </c>
      <c r="T17" s="43"/>
    </row>
    <row r="18" spans="2:20" ht="18" x14ac:dyDescent="0.4">
      <c r="B18" s="43">
        <v>14</v>
      </c>
      <c r="C18" s="43">
        <v>11295</v>
      </c>
      <c r="D18" s="43" t="s">
        <v>631</v>
      </c>
      <c r="E18" s="194">
        <v>102027774854</v>
      </c>
      <c r="F18" s="65">
        <v>5221750675</v>
      </c>
      <c r="G18" s="56">
        <v>45661</v>
      </c>
      <c r="H18" s="43" t="s">
        <v>23</v>
      </c>
      <c r="I18" s="43"/>
      <c r="J18" s="183"/>
      <c r="L18" s="43">
        <v>13</v>
      </c>
      <c r="M18" s="43">
        <v>11293</v>
      </c>
      <c r="N18" s="43" t="s">
        <v>632</v>
      </c>
      <c r="O18" s="195">
        <v>101905493640</v>
      </c>
      <c r="P18" s="43">
        <v>5219291258</v>
      </c>
      <c r="Q18" s="56">
        <v>45687</v>
      </c>
      <c r="R18" s="43" t="s">
        <v>633</v>
      </c>
      <c r="S18" s="43" t="s">
        <v>571</v>
      </c>
      <c r="T18" s="43"/>
    </row>
    <row r="19" spans="2:20" ht="17.5" x14ac:dyDescent="0.35">
      <c r="B19" s="43">
        <v>15</v>
      </c>
      <c r="C19" s="43">
        <v>11288</v>
      </c>
      <c r="D19" s="43" t="s">
        <v>640</v>
      </c>
      <c r="E19" s="194">
        <v>101919631613</v>
      </c>
      <c r="F19" s="201">
        <v>5219405135</v>
      </c>
      <c r="G19" s="56">
        <v>45678</v>
      </c>
      <c r="H19" s="43" t="s">
        <v>458</v>
      </c>
      <c r="I19" s="43"/>
      <c r="J19" s="183"/>
      <c r="L19" s="43">
        <v>14</v>
      </c>
      <c r="M19" s="43">
        <v>11286</v>
      </c>
      <c r="N19" s="43" t="s">
        <v>634</v>
      </c>
      <c r="O19" s="195">
        <v>102137603700</v>
      </c>
      <c r="P19" s="43">
        <v>5221470997</v>
      </c>
      <c r="Q19" s="56">
        <v>45667</v>
      </c>
      <c r="R19" s="43" t="s">
        <v>339</v>
      </c>
      <c r="S19" s="43" t="s">
        <v>571</v>
      </c>
      <c r="T19" s="43"/>
    </row>
    <row r="20" spans="2:20" ht="18" x14ac:dyDescent="0.4">
      <c r="B20" s="43">
        <v>16</v>
      </c>
      <c r="C20" s="43">
        <v>11287</v>
      </c>
      <c r="D20" s="43" t="s">
        <v>641</v>
      </c>
      <c r="E20" s="194">
        <v>102163519911</v>
      </c>
      <c r="F20" s="17">
        <v>5221711333</v>
      </c>
      <c r="G20" s="56">
        <v>45677</v>
      </c>
      <c r="H20" s="43" t="s">
        <v>34</v>
      </c>
      <c r="I20" s="43"/>
      <c r="J20" s="183"/>
      <c r="L20" s="43">
        <v>15</v>
      </c>
      <c r="M20" s="43">
        <v>11282</v>
      </c>
      <c r="N20" s="43" t="s">
        <v>635</v>
      </c>
      <c r="O20" s="62">
        <v>101337273865</v>
      </c>
      <c r="P20" s="205">
        <v>5220323749</v>
      </c>
      <c r="Q20" s="43"/>
      <c r="R20" s="43"/>
      <c r="S20" s="43"/>
      <c r="T20" s="43"/>
    </row>
    <row r="21" spans="2:20" ht="28.65" customHeight="1" x14ac:dyDescent="0.4">
      <c r="B21" s="58"/>
      <c r="C21" s="58"/>
      <c r="D21" s="58"/>
      <c r="E21" s="214"/>
      <c r="F21" s="65"/>
      <c r="G21" s="60"/>
      <c r="H21" s="58"/>
      <c r="I21" s="58"/>
      <c r="L21" s="43">
        <v>16</v>
      </c>
      <c r="M21" s="43">
        <v>11284</v>
      </c>
      <c r="N21" s="43" t="s">
        <v>636</v>
      </c>
      <c r="O21" s="195">
        <v>101745133262</v>
      </c>
      <c r="P21" s="206">
        <v>5218288886</v>
      </c>
      <c r="Q21" s="56">
        <v>45677</v>
      </c>
      <c r="R21" s="43" t="s">
        <v>574</v>
      </c>
      <c r="S21" s="43" t="s">
        <v>543</v>
      </c>
      <c r="T21" s="43"/>
    </row>
    <row r="22" spans="2:20" x14ac:dyDescent="0.35">
      <c r="B22" s="58"/>
      <c r="C22" s="58"/>
      <c r="D22" s="58"/>
      <c r="E22" s="58"/>
      <c r="F22" s="58"/>
      <c r="G22" s="58"/>
      <c r="H22" s="58"/>
      <c r="I22" s="58"/>
      <c r="L22" s="43">
        <v>17</v>
      </c>
      <c r="M22" s="43">
        <v>11285</v>
      </c>
      <c r="N22" s="43" t="s">
        <v>637</v>
      </c>
      <c r="O22" s="195">
        <v>101585284162</v>
      </c>
      <c r="P22" s="207">
        <v>5218798652</v>
      </c>
      <c r="Q22" s="56">
        <v>45675</v>
      </c>
      <c r="R22" s="43" t="s">
        <v>490</v>
      </c>
      <c r="S22" s="43" t="s">
        <v>559</v>
      </c>
      <c r="T22" s="43"/>
    </row>
    <row r="23" spans="2:20" x14ac:dyDescent="0.35">
      <c r="B23" s="58"/>
      <c r="C23" s="58"/>
      <c r="D23" s="58"/>
      <c r="E23" s="58"/>
      <c r="F23" s="58"/>
      <c r="G23" s="58"/>
      <c r="H23" s="58"/>
      <c r="I23" s="58"/>
      <c r="L23" s="43">
        <v>18</v>
      </c>
      <c r="M23" s="43">
        <v>11281</v>
      </c>
      <c r="N23" s="43" t="s">
        <v>627</v>
      </c>
      <c r="O23" s="62">
        <v>102106146600</v>
      </c>
      <c r="P23" s="43">
        <v>5221699749</v>
      </c>
      <c r="Q23" s="56">
        <v>45658</v>
      </c>
      <c r="R23" s="43"/>
      <c r="S23" s="43" t="s">
        <v>543</v>
      </c>
      <c r="T23" s="43"/>
    </row>
    <row r="24" spans="2:20" x14ac:dyDescent="0.35">
      <c r="B24" s="58"/>
      <c r="C24" s="58"/>
      <c r="D24" s="58"/>
      <c r="E24" s="58"/>
      <c r="F24" s="58"/>
      <c r="G24" s="58"/>
      <c r="H24" s="58"/>
      <c r="I24" s="58"/>
      <c r="L24" s="43">
        <v>19</v>
      </c>
      <c r="M24" s="43">
        <v>11283</v>
      </c>
      <c r="N24" s="43" t="s">
        <v>638</v>
      </c>
      <c r="O24" s="195">
        <v>102163056368</v>
      </c>
      <c r="P24" s="143">
        <v>5221719500</v>
      </c>
      <c r="Q24" s="56">
        <v>45669</v>
      </c>
      <c r="R24" s="43" t="s">
        <v>244</v>
      </c>
      <c r="S24" s="43" t="s">
        <v>543</v>
      </c>
      <c r="T24" s="43"/>
    </row>
    <row r="25" spans="2:20" x14ac:dyDescent="0.35">
      <c r="B25" s="58"/>
      <c r="C25" s="58"/>
      <c r="D25" s="58"/>
      <c r="E25" s="58"/>
      <c r="F25" s="58"/>
      <c r="G25" s="58"/>
      <c r="H25" s="58"/>
      <c r="I25" s="58"/>
      <c r="L25" s="43">
        <v>20</v>
      </c>
      <c r="M25" s="43">
        <v>11280</v>
      </c>
      <c r="N25" s="43" t="s">
        <v>639</v>
      </c>
      <c r="O25" s="62">
        <v>102049020128</v>
      </c>
      <c r="P25" s="143">
        <v>5221709928</v>
      </c>
      <c r="Q25" s="56">
        <v>45659</v>
      </c>
      <c r="R25" s="43" t="s">
        <v>120</v>
      </c>
      <c r="S25" s="43" t="s">
        <v>543</v>
      </c>
      <c r="T25" s="43"/>
    </row>
    <row r="26" spans="2:20" x14ac:dyDescent="0.35">
      <c r="B26" s="58"/>
      <c r="C26" s="58"/>
      <c r="D26" s="58"/>
      <c r="E26" s="58"/>
      <c r="F26" s="58"/>
      <c r="G26" s="58"/>
      <c r="H26" s="58"/>
      <c r="I26" s="58"/>
      <c r="L26" s="43">
        <v>21</v>
      </c>
      <c r="M26" s="203">
        <v>11291</v>
      </c>
      <c r="N26" s="43" t="s">
        <v>643</v>
      </c>
      <c r="O26" s="195">
        <v>102164694469</v>
      </c>
      <c r="P26" s="143">
        <v>5221722678</v>
      </c>
      <c r="Q26" s="56">
        <v>45663</v>
      </c>
      <c r="R26" s="43" t="s">
        <v>628</v>
      </c>
      <c r="S26" s="43" t="s">
        <v>543</v>
      </c>
      <c r="T26" s="43"/>
    </row>
    <row r="27" spans="2:20" x14ac:dyDescent="0.35">
      <c r="B27" s="58"/>
      <c r="C27" s="58"/>
      <c r="D27" s="58"/>
      <c r="E27" s="58"/>
      <c r="F27" s="58"/>
      <c r="G27" s="58"/>
      <c r="H27" s="58"/>
      <c r="I27" s="58"/>
      <c r="L27" s="43">
        <v>22</v>
      </c>
      <c r="M27" s="43">
        <v>11290</v>
      </c>
      <c r="N27" s="43" t="s">
        <v>646</v>
      </c>
      <c r="O27" s="195">
        <v>102164689623</v>
      </c>
      <c r="P27" s="143">
        <v>5221722793</v>
      </c>
      <c r="Q27" s="56">
        <v>45663</v>
      </c>
      <c r="R27" s="43" t="s">
        <v>339</v>
      </c>
      <c r="S27" s="43" t="s">
        <v>543</v>
      </c>
      <c r="T27" s="43"/>
    </row>
    <row r="28" spans="2:20" x14ac:dyDescent="0.35">
      <c r="B28" s="58"/>
      <c r="C28" s="58"/>
      <c r="D28" s="58"/>
      <c r="E28" s="58"/>
      <c r="F28" s="58"/>
      <c r="G28" s="58"/>
      <c r="H28" s="58"/>
      <c r="I28" s="58"/>
      <c r="L28" s="43">
        <v>23</v>
      </c>
      <c r="M28" s="203">
        <v>11292</v>
      </c>
      <c r="N28" s="43" t="s">
        <v>642</v>
      </c>
      <c r="O28" s="195">
        <v>101230765873</v>
      </c>
      <c r="P28" s="43">
        <v>5216385319</v>
      </c>
      <c r="Q28" s="56">
        <v>45661</v>
      </c>
      <c r="R28" s="43" t="s">
        <v>141</v>
      </c>
      <c r="S28" s="43" t="s">
        <v>543</v>
      </c>
      <c r="T28" s="43"/>
    </row>
    <row r="29" spans="2:20" x14ac:dyDescent="0.35">
      <c r="B29" s="58"/>
      <c r="C29" s="58"/>
      <c r="D29" s="58"/>
      <c r="E29" s="58"/>
      <c r="F29" s="58"/>
      <c r="G29" s="58"/>
      <c r="H29" s="58"/>
      <c r="I29" s="58"/>
      <c r="L29" s="43">
        <v>24</v>
      </c>
      <c r="M29" s="43">
        <v>10954</v>
      </c>
      <c r="N29" s="43" t="s">
        <v>648</v>
      </c>
      <c r="O29" s="195">
        <v>101283487712</v>
      </c>
      <c r="P29" s="207">
        <v>5218443974</v>
      </c>
      <c r="Q29" s="56">
        <v>45674</v>
      </c>
      <c r="R29" s="43" t="s">
        <v>647</v>
      </c>
      <c r="S29" s="43" t="s">
        <v>543</v>
      </c>
      <c r="T29" s="43"/>
    </row>
    <row r="30" spans="2:20" x14ac:dyDescent="0.35">
      <c r="B30" s="58"/>
      <c r="C30" s="58"/>
      <c r="D30" s="58"/>
      <c r="E30" s="58"/>
      <c r="F30" s="58"/>
      <c r="G30" s="58"/>
      <c r="H30" s="58"/>
      <c r="I30" s="58"/>
      <c r="L30" s="43">
        <v>25</v>
      </c>
      <c r="M30" s="43">
        <v>11299</v>
      </c>
      <c r="N30" s="43" t="s">
        <v>649</v>
      </c>
      <c r="O30" s="195">
        <v>101788736701</v>
      </c>
      <c r="P30" s="43">
        <v>5218179693</v>
      </c>
      <c r="Q30" s="56">
        <v>45679</v>
      </c>
      <c r="R30" s="43" t="s">
        <v>141</v>
      </c>
      <c r="S30" s="43" t="s">
        <v>559</v>
      </c>
      <c r="T30" s="43"/>
    </row>
    <row r="31" spans="2:20" ht="15.5" x14ac:dyDescent="0.35">
      <c r="B31" s="58"/>
      <c r="C31" s="58"/>
      <c r="D31" s="58"/>
      <c r="E31" s="58"/>
      <c r="F31" s="58"/>
      <c r="G31" s="58"/>
      <c r="H31" s="58"/>
      <c r="I31" s="58"/>
      <c r="L31" s="43">
        <v>26</v>
      </c>
      <c r="M31" s="43">
        <v>11297</v>
      </c>
      <c r="N31" s="43" t="s">
        <v>650</v>
      </c>
      <c r="O31" s="194">
        <v>100596073353</v>
      </c>
      <c r="P31" s="43">
        <v>5211140185</v>
      </c>
      <c r="Q31" s="56">
        <v>45679</v>
      </c>
      <c r="R31" s="43" t="s">
        <v>141</v>
      </c>
      <c r="S31" s="43" t="s">
        <v>559</v>
      </c>
      <c r="T31" s="43"/>
    </row>
    <row r="32" spans="2:20" x14ac:dyDescent="0.35">
      <c r="B32" s="58"/>
      <c r="C32" s="58"/>
      <c r="D32" s="58"/>
      <c r="E32" s="58"/>
      <c r="F32" s="58"/>
      <c r="G32" s="58"/>
      <c r="H32" s="58"/>
      <c r="I32" s="58"/>
      <c r="L32" s="43">
        <v>27</v>
      </c>
      <c r="M32" s="43">
        <v>11301</v>
      </c>
      <c r="N32" s="43" t="s">
        <v>656</v>
      </c>
      <c r="O32" s="195">
        <v>100103450428</v>
      </c>
      <c r="P32" s="207">
        <v>5212588286</v>
      </c>
      <c r="Q32" s="56">
        <v>45679</v>
      </c>
      <c r="R32" s="43" t="s">
        <v>141</v>
      </c>
      <c r="S32" s="43" t="s">
        <v>543</v>
      </c>
      <c r="T32" s="43"/>
    </row>
    <row r="33" spans="2:20" x14ac:dyDescent="0.35">
      <c r="B33" s="58"/>
      <c r="C33" s="58"/>
      <c r="D33" s="58"/>
      <c r="E33" s="58"/>
      <c r="F33" s="58"/>
      <c r="G33" s="58"/>
      <c r="H33" s="58"/>
      <c r="I33" s="58"/>
      <c r="L33" s="43">
        <v>28</v>
      </c>
      <c r="M33" s="43">
        <v>11298</v>
      </c>
      <c r="N33" s="43" t="s">
        <v>651</v>
      </c>
      <c r="O33" s="195">
        <v>101301963714</v>
      </c>
      <c r="P33" s="207">
        <v>5214460665</v>
      </c>
      <c r="Q33" s="56">
        <v>45679</v>
      </c>
      <c r="R33" s="43" t="s">
        <v>141</v>
      </c>
      <c r="S33" s="43" t="s">
        <v>543</v>
      </c>
      <c r="T33" s="43"/>
    </row>
    <row r="34" spans="2:20" x14ac:dyDescent="0.35">
      <c r="B34" s="58"/>
      <c r="C34" s="58"/>
      <c r="D34" s="58"/>
      <c r="E34" s="58"/>
      <c r="F34" s="58"/>
      <c r="G34" s="58"/>
      <c r="H34" s="58"/>
      <c r="I34" s="58"/>
      <c r="L34" s="43">
        <v>29</v>
      </c>
      <c r="M34" s="43">
        <v>11300</v>
      </c>
      <c r="N34" s="43" t="s">
        <v>652</v>
      </c>
      <c r="O34" s="195">
        <v>101253465275</v>
      </c>
      <c r="P34" s="207">
        <v>5214204700</v>
      </c>
      <c r="Q34" s="56">
        <v>45679</v>
      </c>
      <c r="R34" s="43" t="s">
        <v>141</v>
      </c>
      <c r="S34" s="43" t="s">
        <v>543</v>
      </c>
      <c r="T34" s="43"/>
    </row>
    <row r="35" spans="2:20" x14ac:dyDescent="0.35">
      <c r="B35" s="58"/>
      <c r="C35" s="58"/>
      <c r="D35" s="58"/>
      <c r="E35" s="58"/>
      <c r="F35" s="58"/>
      <c r="G35" s="58"/>
      <c r="H35" s="58"/>
      <c r="I35" s="58"/>
      <c r="L35" s="43">
        <v>30</v>
      </c>
      <c r="M35" s="43">
        <v>11296</v>
      </c>
      <c r="N35" s="43" t="s">
        <v>653</v>
      </c>
      <c r="O35" s="195">
        <v>100245580374</v>
      </c>
      <c r="P35" s="43">
        <v>5209717079</v>
      </c>
      <c r="Q35" s="56">
        <v>45679</v>
      </c>
      <c r="R35" s="43" t="s">
        <v>141</v>
      </c>
      <c r="S35" s="43" t="s">
        <v>559</v>
      </c>
      <c r="T35" s="43"/>
    </row>
    <row r="36" spans="2:20" x14ac:dyDescent="0.35">
      <c r="B36" s="58"/>
      <c r="C36" s="58"/>
      <c r="D36" s="58"/>
      <c r="E36" s="58"/>
      <c r="F36" s="58"/>
      <c r="G36" s="58"/>
      <c r="H36" s="58"/>
      <c r="I36" s="58"/>
      <c r="L36" s="43">
        <v>31</v>
      </c>
      <c r="M36" s="43">
        <v>11304</v>
      </c>
      <c r="N36" s="43" t="s">
        <v>654</v>
      </c>
      <c r="O36" s="195">
        <v>101972813204</v>
      </c>
      <c r="P36" s="43">
        <v>5219889226</v>
      </c>
      <c r="Q36" s="56">
        <v>45679</v>
      </c>
      <c r="R36" s="43" t="s">
        <v>141</v>
      </c>
      <c r="S36" s="43" t="s">
        <v>543</v>
      </c>
      <c r="T36" s="43"/>
    </row>
    <row r="37" spans="2:20" x14ac:dyDescent="0.35">
      <c r="B37" s="58"/>
      <c r="C37" s="58"/>
      <c r="D37" s="58"/>
      <c r="E37" s="58"/>
      <c r="F37" s="58"/>
      <c r="G37" s="58"/>
      <c r="H37" s="58"/>
      <c r="I37" s="58"/>
      <c r="L37" s="43">
        <v>32</v>
      </c>
      <c r="M37" s="43">
        <v>11302</v>
      </c>
      <c r="N37" s="43" t="s">
        <v>655</v>
      </c>
      <c r="O37" s="209">
        <v>101547858419</v>
      </c>
      <c r="P37" s="43">
        <v>5215664598</v>
      </c>
      <c r="Q37" s="56">
        <v>45679</v>
      </c>
      <c r="R37" s="43" t="s">
        <v>141</v>
      </c>
      <c r="S37" s="43" t="s">
        <v>543</v>
      </c>
      <c r="T37" s="43"/>
    </row>
    <row r="38" spans="2:20" ht="15.5" x14ac:dyDescent="0.35">
      <c r="B38" s="58"/>
      <c r="C38" s="58"/>
      <c r="D38" s="58"/>
      <c r="E38" s="58"/>
      <c r="F38" s="58"/>
      <c r="G38" s="58"/>
      <c r="H38" s="58"/>
      <c r="I38" s="58"/>
      <c r="L38" s="43">
        <v>33</v>
      </c>
      <c r="M38" s="43">
        <v>11303</v>
      </c>
      <c r="N38" s="43" t="s">
        <v>657</v>
      </c>
      <c r="O38" s="195">
        <v>101753608689</v>
      </c>
      <c r="P38" s="75">
        <v>5217945263</v>
      </c>
      <c r="Q38" s="56">
        <v>45679</v>
      </c>
      <c r="R38" s="43" t="s">
        <v>141</v>
      </c>
      <c r="S38" s="43" t="s">
        <v>543</v>
      </c>
      <c r="T38" s="43"/>
    </row>
    <row r="39" spans="2:20" ht="15" thickBot="1" x14ac:dyDescent="0.4">
      <c r="B39" s="58"/>
      <c r="C39" s="58"/>
      <c r="D39" s="58"/>
      <c r="E39" s="58"/>
      <c r="F39" s="58"/>
      <c r="G39" s="58"/>
      <c r="H39" s="58"/>
      <c r="I39" s="58"/>
      <c r="L39" s="43">
        <v>34</v>
      </c>
      <c r="M39" s="43">
        <v>11305</v>
      </c>
      <c r="N39" s="203" t="s">
        <v>658</v>
      </c>
      <c r="O39" s="195">
        <v>101588708518</v>
      </c>
      <c r="P39" s="236"/>
      <c r="Q39" s="56">
        <v>45679</v>
      </c>
      <c r="R39" s="43" t="s">
        <v>141</v>
      </c>
      <c r="S39" s="43" t="s">
        <v>543</v>
      </c>
      <c r="T39" s="43"/>
    </row>
    <row r="40" spans="2:20" ht="16" thickBot="1" x14ac:dyDescent="0.4">
      <c r="B40" s="58"/>
      <c r="C40" s="58"/>
      <c r="D40" s="58"/>
      <c r="E40" s="58"/>
      <c r="F40" s="58"/>
      <c r="G40" s="58"/>
      <c r="H40" s="58"/>
      <c r="I40" s="58"/>
      <c r="L40" s="43">
        <v>35</v>
      </c>
      <c r="M40" s="43">
        <v>11306</v>
      </c>
      <c r="N40" s="43" t="s">
        <v>659</v>
      </c>
      <c r="O40" s="210">
        <v>101938226980</v>
      </c>
      <c r="P40" s="43" t="s">
        <v>268</v>
      </c>
      <c r="Q40" s="56">
        <v>45677</v>
      </c>
      <c r="R40" s="43" t="s">
        <v>660</v>
      </c>
      <c r="S40" s="43" t="s">
        <v>543</v>
      </c>
      <c r="T40" s="43"/>
    </row>
    <row r="41" spans="2:20" ht="16" thickBot="1" x14ac:dyDescent="0.4">
      <c r="B41" s="58"/>
      <c r="C41" s="58"/>
      <c r="D41" s="58"/>
      <c r="E41" s="58"/>
      <c r="F41" s="58"/>
      <c r="G41" s="58"/>
      <c r="H41" s="58"/>
      <c r="I41" s="58"/>
      <c r="L41" s="43">
        <v>36</v>
      </c>
      <c r="M41" s="43">
        <v>11307</v>
      </c>
      <c r="N41" s="221" t="s">
        <v>673</v>
      </c>
      <c r="O41" s="210">
        <v>101490680773</v>
      </c>
      <c r="P41" s="43" t="s">
        <v>268</v>
      </c>
      <c r="Q41" s="56">
        <v>45677</v>
      </c>
      <c r="R41" s="43" t="s">
        <v>660</v>
      </c>
      <c r="S41" s="43" t="s">
        <v>674</v>
      </c>
      <c r="T41" s="43"/>
    </row>
    <row r="42" spans="2:20" x14ac:dyDescent="0.35">
      <c r="B42" s="58"/>
      <c r="C42" s="58"/>
      <c r="D42" s="58"/>
      <c r="E42" s="58"/>
      <c r="F42" s="58"/>
      <c r="G42" s="58"/>
      <c r="H42" s="58"/>
      <c r="I42" s="58"/>
      <c r="L42" s="43">
        <v>16</v>
      </c>
      <c r="M42" s="43">
        <v>11284</v>
      </c>
      <c r="N42" s="43" t="s">
        <v>636</v>
      </c>
      <c r="O42" s="195">
        <v>101745133262</v>
      </c>
      <c r="P42" s="206">
        <v>5218288886</v>
      </c>
      <c r="Q42" s="56">
        <v>45677</v>
      </c>
      <c r="R42" s="43" t="s">
        <v>574</v>
      </c>
      <c r="S42" s="43" t="s">
        <v>543</v>
      </c>
      <c r="T42" s="43"/>
    </row>
    <row r="43" spans="2:20" x14ac:dyDescent="0.35">
      <c r="B43" s="58"/>
      <c r="C43" s="58"/>
      <c r="D43" s="58"/>
      <c r="E43" s="58"/>
      <c r="F43" s="58"/>
      <c r="G43" s="58"/>
      <c r="H43" s="58"/>
      <c r="I43" s="58"/>
      <c r="L43" s="43"/>
      <c r="M43" s="43"/>
      <c r="N43" s="43"/>
      <c r="O43" s="43"/>
      <c r="P43" s="43"/>
      <c r="Q43" s="43"/>
      <c r="R43" s="43"/>
      <c r="S43" s="43"/>
      <c r="T43" s="43"/>
    </row>
    <row r="44" spans="2:20" x14ac:dyDescent="0.35">
      <c r="B44" s="58"/>
      <c r="C44" s="58"/>
      <c r="D44" s="58"/>
      <c r="E44" s="58"/>
      <c r="F44" s="58"/>
      <c r="G44" s="58"/>
      <c r="H44" s="58"/>
      <c r="I44" s="58"/>
      <c r="L44" s="123"/>
      <c r="M44" s="123"/>
      <c r="N44" s="123"/>
      <c r="O44" s="123"/>
      <c r="P44" s="123"/>
      <c r="Q44" s="123"/>
      <c r="R44" s="123"/>
      <c r="S44" s="123"/>
      <c r="T44" s="123"/>
    </row>
    <row r="45" spans="2:20" x14ac:dyDescent="0.35">
      <c r="B45" s="58"/>
      <c r="C45" s="58"/>
      <c r="D45" s="58"/>
      <c r="E45" s="58"/>
      <c r="F45" s="58"/>
      <c r="G45" s="58"/>
      <c r="H45" s="58"/>
      <c r="I45" s="58"/>
      <c r="L45" s="58"/>
      <c r="M45" s="58"/>
      <c r="N45" s="58"/>
      <c r="O45" s="58"/>
      <c r="P45" s="58"/>
      <c r="Q45" s="58"/>
      <c r="R45" s="58"/>
      <c r="S45" s="58"/>
      <c r="T45" s="58"/>
    </row>
    <row r="46" spans="2:20" x14ac:dyDescent="0.35">
      <c r="B46" s="58"/>
      <c r="C46" s="58"/>
      <c r="D46" s="58"/>
      <c r="E46" s="58"/>
      <c r="F46" s="58"/>
      <c r="G46" s="58"/>
      <c r="H46" s="58"/>
      <c r="I46" s="58"/>
      <c r="L46" s="58"/>
      <c r="M46" s="58"/>
      <c r="N46" s="58"/>
      <c r="O46" s="58"/>
      <c r="P46" s="58"/>
      <c r="Q46" s="58"/>
      <c r="R46" s="58"/>
      <c r="S46" s="58"/>
      <c r="T46" s="58"/>
    </row>
    <row r="47" spans="2:20" x14ac:dyDescent="0.35">
      <c r="B47" s="58"/>
      <c r="C47" s="58"/>
      <c r="D47" s="58"/>
      <c r="E47" s="58"/>
      <c r="F47" s="58"/>
      <c r="G47" s="58"/>
      <c r="H47" s="58"/>
      <c r="I47" s="58"/>
      <c r="L47" s="58"/>
      <c r="M47" s="58"/>
      <c r="N47" s="58"/>
      <c r="O47" s="58"/>
      <c r="P47" s="58"/>
      <c r="Q47" s="58"/>
      <c r="R47" s="58"/>
      <c r="S47" s="58"/>
      <c r="T47" s="58"/>
    </row>
    <row r="48" spans="2:20" x14ac:dyDescent="0.35">
      <c r="B48" s="58"/>
      <c r="C48" s="58"/>
      <c r="D48" s="58"/>
      <c r="E48" s="58"/>
      <c r="F48" s="58"/>
      <c r="G48" s="58"/>
      <c r="H48" s="58"/>
      <c r="I48" s="58"/>
      <c r="L48" s="58"/>
      <c r="M48" s="58"/>
      <c r="N48" s="58"/>
      <c r="O48" s="58"/>
      <c r="P48" s="58"/>
      <c r="Q48" s="58"/>
      <c r="R48" s="58"/>
      <c r="S48" s="58"/>
      <c r="T48" s="58"/>
    </row>
    <row r="49" spans="2:20" x14ac:dyDescent="0.35">
      <c r="B49" s="58"/>
      <c r="C49" s="58"/>
      <c r="D49" s="58"/>
      <c r="E49" s="58"/>
      <c r="F49" s="58"/>
      <c r="G49" s="58"/>
      <c r="H49" s="58"/>
      <c r="I49" s="58"/>
      <c r="L49" s="58"/>
      <c r="M49" s="58"/>
      <c r="N49" s="58"/>
      <c r="O49" s="58"/>
      <c r="P49" s="58"/>
      <c r="Q49" s="58"/>
      <c r="R49" s="58"/>
      <c r="S49" s="58"/>
      <c r="T49" s="58"/>
    </row>
    <row r="50" spans="2:20" x14ac:dyDescent="0.35">
      <c r="B50" s="58"/>
      <c r="C50" s="58"/>
      <c r="D50" s="58"/>
      <c r="E50" s="58"/>
      <c r="F50" s="58"/>
      <c r="G50" s="58"/>
      <c r="H50" s="58"/>
      <c r="I50" s="58"/>
      <c r="L50" s="58"/>
      <c r="M50" s="58"/>
      <c r="N50" s="58"/>
      <c r="O50" s="58"/>
      <c r="P50" s="58"/>
      <c r="Q50" s="58"/>
      <c r="R50" s="58"/>
      <c r="S50" s="58"/>
      <c r="T50" s="58"/>
    </row>
    <row r="51" spans="2:20" x14ac:dyDescent="0.35">
      <c r="B51" s="58"/>
      <c r="C51" s="58"/>
      <c r="D51" s="58"/>
      <c r="E51" s="58"/>
      <c r="F51" s="58"/>
      <c r="G51" s="58"/>
      <c r="H51" s="58"/>
      <c r="I51" s="58"/>
      <c r="L51" s="58"/>
      <c r="M51" s="58"/>
      <c r="N51" s="58"/>
      <c r="O51" s="58"/>
      <c r="P51" s="58"/>
      <c r="Q51" s="58"/>
      <c r="R51" s="58"/>
      <c r="S51" s="58"/>
      <c r="T51" s="58"/>
    </row>
    <row r="52" spans="2:20" x14ac:dyDescent="0.35">
      <c r="B52" s="58"/>
      <c r="C52" s="58"/>
      <c r="D52" s="58"/>
      <c r="E52" s="58"/>
      <c r="F52" s="58"/>
      <c r="G52" s="58"/>
      <c r="H52" s="58"/>
      <c r="I52" s="58"/>
      <c r="L52" s="58"/>
      <c r="M52" s="58"/>
      <c r="N52" s="58"/>
      <c r="O52" s="58"/>
      <c r="P52" s="58"/>
      <c r="Q52" s="58"/>
      <c r="R52" s="58"/>
      <c r="S52" s="58"/>
      <c r="T52" s="58"/>
    </row>
    <row r="53" spans="2:20" x14ac:dyDescent="0.35">
      <c r="B53" s="58"/>
      <c r="C53" s="58"/>
      <c r="D53" s="58"/>
      <c r="E53" s="58"/>
      <c r="F53" s="58"/>
      <c r="G53" s="58"/>
      <c r="H53" s="58"/>
      <c r="I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2:20" x14ac:dyDescent="0.35">
      <c r="B54" s="58"/>
      <c r="C54" s="58"/>
      <c r="D54" s="58"/>
      <c r="E54" s="58"/>
      <c r="F54" s="58"/>
      <c r="G54" s="58"/>
      <c r="H54" s="58"/>
      <c r="I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2:20" x14ac:dyDescent="0.35">
      <c r="B55" s="58"/>
      <c r="C55" s="58"/>
      <c r="D55" s="58"/>
      <c r="E55" s="58"/>
      <c r="F55" s="58"/>
      <c r="G55" s="58"/>
      <c r="H55" s="58"/>
      <c r="I55" s="58"/>
      <c r="L55" s="58"/>
      <c r="M55" s="58"/>
      <c r="N55" s="58"/>
      <c r="O55" s="58"/>
      <c r="P55" s="58"/>
      <c r="Q55" s="58"/>
      <c r="R55" s="58"/>
      <c r="S55" s="58"/>
      <c r="T55" s="58"/>
    </row>
    <row r="56" spans="2:20" x14ac:dyDescent="0.35">
      <c r="B56" s="58"/>
      <c r="C56" s="58"/>
      <c r="D56" s="58"/>
      <c r="E56" s="58"/>
      <c r="F56" s="58"/>
      <c r="G56" s="58"/>
      <c r="H56" s="58"/>
      <c r="I56" s="58"/>
      <c r="L56" s="58"/>
      <c r="M56" s="58"/>
      <c r="N56" s="58"/>
      <c r="O56" s="58"/>
      <c r="P56" s="58"/>
      <c r="Q56" s="58"/>
      <c r="R56" s="58"/>
      <c r="S56" s="58"/>
      <c r="T56" s="58"/>
    </row>
    <row r="57" spans="2:20" x14ac:dyDescent="0.35">
      <c r="B57" s="58"/>
      <c r="C57" s="58"/>
      <c r="D57" s="58"/>
      <c r="E57" s="58"/>
      <c r="F57" s="58"/>
      <c r="G57" s="58"/>
      <c r="H57" s="58"/>
      <c r="I57" s="58"/>
      <c r="L57" s="58"/>
      <c r="M57" s="58"/>
      <c r="N57" s="58"/>
      <c r="O57" s="58"/>
      <c r="P57" s="58"/>
      <c r="Q57" s="58"/>
      <c r="R57" s="58"/>
      <c r="S57" s="58"/>
      <c r="T57" s="58"/>
    </row>
    <row r="58" spans="2:20" x14ac:dyDescent="0.35">
      <c r="B58" s="58"/>
      <c r="C58" s="58"/>
      <c r="D58" s="58"/>
      <c r="E58" s="58"/>
      <c r="F58" s="58"/>
      <c r="G58" s="58"/>
      <c r="H58" s="58"/>
      <c r="I58" s="58"/>
      <c r="L58" s="58"/>
      <c r="M58" s="58"/>
      <c r="N58" s="58"/>
      <c r="O58" s="58"/>
      <c r="P58" s="58"/>
      <c r="Q58" s="58"/>
      <c r="R58" s="58"/>
      <c r="S58" s="58"/>
      <c r="T58" s="58"/>
    </row>
    <row r="59" spans="2:20" x14ac:dyDescent="0.35">
      <c r="B59" s="58"/>
      <c r="C59" s="58"/>
      <c r="D59" s="58"/>
      <c r="E59" s="58"/>
      <c r="F59" s="58"/>
      <c r="G59" s="58"/>
      <c r="H59" s="58"/>
      <c r="I59" s="58"/>
      <c r="L59" s="58"/>
      <c r="M59" s="58"/>
      <c r="N59" s="58"/>
      <c r="O59" s="58"/>
      <c r="P59" s="58"/>
      <c r="Q59" s="58"/>
      <c r="R59" s="58"/>
      <c r="S59" s="58"/>
      <c r="T59" s="58"/>
    </row>
    <row r="60" spans="2:20" x14ac:dyDescent="0.35">
      <c r="B60" s="58"/>
      <c r="C60" s="58"/>
      <c r="D60" s="58"/>
      <c r="E60" s="58"/>
      <c r="F60" s="58"/>
      <c r="G60" s="58"/>
      <c r="H60" s="58"/>
      <c r="I60" s="58"/>
      <c r="L60" s="58"/>
      <c r="M60" s="58"/>
      <c r="N60" s="58"/>
      <c r="O60" s="58"/>
      <c r="P60" s="58"/>
      <c r="Q60" s="58"/>
      <c r="R60" s="58"/>
      <c r="S60" s="58"/>
      <c r="T60" s="58"/>
    </row>
    <row r="61" spans="2:20" x14ac:dyDescent="0.35">
      <c r="L61" s="58"/>
      <c r="M61" s="58"/>
      <c r="N61" s="58"/>
      <c r="O61" s="58"/>
      <c r="P61" s="58"/>
      <c r="Q61" s="58"/>
      <c r="R61" s="58"/>
      <c r="S61" s="58"/>
      <c r="T61" s="58"/>
    </row>
    <row r="62" spans="2:20" x14ac:dyDescent="0.35">
      <c r="L62" s="58"/>
      <c r="M62" s="58"/>
      <c r="N62" s="58"/>
      <c r="O62" s="58"/>
      <c r="P62" s="58"/>
      <c r="Q62" s="58"/>
      <c r="R62" s="58"/>
      <c r="S62" s="58"/>
      <c r="T62" s="58"/>
    </row>
    <row r="63" spans="2:20" x14ac:dyDescent="0.35">
      <c r="L63" s="58"/>
      <c r="M63" s="58"/>
      <c r="N63" s="58"/>
      <c r="O63" s="58"/>
      <c r="P63" s="58"/>
      <c r="Q63" s="58"/>
      <c r="R63" s="58"/>
      <c r="S63" s="58"/>
      <c r="T63" s="58"/>
    </row>
    <row r="64" spans="2:20" x14ac:dyDescent="0.35">
      <c r="L64" s="58"/>
      <c r="M64" s="58"/>
      <c r="N64" s="58"/>
      <c r="O64" s="58"/>
      <c r="P64" s="58"/>
      <c r="Q64" s="58"/>
      <c r="R64" s="58"/>
      <c r="S64" s="58"/>
      <c r="T64" s="58"/>
    </row>
    <row r="65" spans="12:20" x14ac:dyDescent="0.35">
      <c r="L65" s="58"/>
      <c r="M65" s="58"/>
      <c r="N65" s="58"/>
      <c r="O65" s="58"/>
      <c r="P65" s="58"/>
      <c r="Q65" s="58"/>
      <c r="R65" s="58"/>
      <c r="S65" s="58"/>
      <c r="T65" s="58"/>
    </row>
    <row r="66" spans="12:20" x14ac:dyDescent="0.35">
      <c r="L66" s="58"/>
      <c r="M66" s="58"/>
      <c r="N66" s="58"/>
      <c r="O66" s="58"/>
      <c r="P66" s="58"/>
      <c r="Q66" s="58"/>
      <c r="R66" s="58"/>
      <c r="S66" s="58"/>
      <c r="T66" s="58"/>
    </row>
    <row r="67" spans="12:20" x14ac:dyDescent="0.35">
      <c r="L67" s="58"/>
      <c r="M67" s="58"/>
      <c r="N67" s="58"/>
      <c r="O67" s="58"/>
      <c r="P67" s="58"/>
      <c r="Q67" s="58"/>
      <c r="R67" s="58"/>
      <c r="S67" s="58"/>
      <c r="T67" s="58"/>
    </row>
    <row r="68" spans="12:20" x14ac:dyDescent="0.35">
      <c r="L68" s="58"/>
      <c r="M68" s="58"/>
      <c r="N68" s="58"/>
      <c r="O68" s="58"/>
      <c r="P68" s="58"/>
      <c r="Q68" s="58"/>
      <c r="R68" s="58"/>
      <c r="S68" s="58"/>
      <c r="T68" s="58"/>
    </row>
    <row r="69" spans="12:20" x14ac:dyDescent="0.35">
      <c r="L69" s="58"/>
      <c r="M69" s="58"/>
      <c r="N69" s="58"/>
      <c r="O69" s="58"/>
      <c r="P69" s="58"/>
      <c r="Q69" s="58"/>
      <c r="R69" s="58"/>
      <c r="S69" s="58"/>
      <c r="T69" s="58"/>
    </row>
    <row r="70" spans="12:20" x14ac:dyDescent="0.35">
      <c r="L70" s="58"/>
      <c r="M70" s="58"/>
      <c r="N70" s="58"/>
      <c r="O70" s="58"/>
      <c r="P70" s="58"/>
      <c r="Q70" s="58"/>
      <c r="R70" s="58"/>
      <c r="S70" s="58"/>
      <c r="T70" s="58"/>
    </row>
    <row r="71" spans="12:20" x14ac:dyDescent="0.35">
      <c r="L71" s="58"/>
      <c r="M71" s="58"/>
      <c r="N71" s="58"/>
      <c r="O71" s="58"/>
      <c r="P71" s="58"/>
      <c r="Q71" s="58"/>
      <c r="R71" s="58"/>
      <c r="S71" s="58"/>
      <c r="T71" s="58"/>
    </row>
    <row r="72" spans="12:20" x14ac:dyDescent="0.35">
      <c r="L72" s="58"/>
      <c r="M72" s="58"/>
      <c r="N72" s="58"/>
      <c r="O72" s="58"/>
      <c r="P72" s="58"/>
      <c r="Q72" s="58"/>
      <c r="R72" s="58"/>
      <c r="S72" s="58"/>
      <c r="T72" s="58"/>
    </row>
    <row r="73" spans="12:20" x14ac:dyDescent="0.35">
      <c r="L73" s="58"/>
      <c r="M73" s="58"/>
      <c r="N73" s="58"/>
      <c r="O73" s="58"/>
      <c r="P73" s="58"/>
      <c r="Q73" s="58"/>
      <c r="R73" s="58"/>
      <c r="S73" s="58"/>
      <c r="T73" s="58"/>
    </row>
    <row r="74" spans="12:20" x14ac:dyDescent="0.35">
      <c r="L74" s="58"/>
      <c r="M74" s="58"/>
      <c r="N74" s="58"/>
      <c r="O74" s="58"/>
      <c r="P74" s="58"/>
      <c r="Q74" s="58"/>
      <c r="R74" s="58"/>
      <c r="S74" s="58"/>
      <c r="T74" s="58"/>
    </row>
    <row r="75" spans="12:20" x14ac:dyDescent="0.35">
      <c r="L75" s="58"/>
      <c r="M75" s="58"/>
      <c r="N75" s="58"/>
      <c r="O75" s="58"/>
      <c r="P75" s="58"/>
      <c r="Q75" s="58"/>
      <c r="R75" s="58"/>
      <c r="S75" s="58"/>
      <c r="T75" s="58"/>
    </row>
    <row r="76" spans="12:20" x14ac:dyDescent="0.35">
      <c r="L76" s="58"/>
      <c r="M76" s="58"/>
      <c r="N76" s="58"/>
      <c r="O76" s="58"/>
      <c r="P76" s="58"/>
      <c r="Q76" s="58"/>
      <c r="R76" s="58"/>
      <c r="S76" s="58"/>
      <c r="T76" s="58"/>
    </row>
    <row r="77" spans="12:20" x14ac:dyDescent="0.35">
      <c r="L77" s="58"/>
      <c r="M77" s="58"/>
      <c r="N77" s="58"/>
      <c r="O77" s="58"/>
      <c r="P77" s="58"/>
      <c r="Q77" s="58"/>
      <c r="R77" s="58"/>
      <c r="S77" s="58"/>
      <c r="T77" s="58"/>
    </row>
    <row r="78" spans="12:20" x14ac:dyDescent="0.35">
      <c r="L78" s="58"/>
      <c r="M78" s="58"/>
      <c r="N78" s="58"/>
      <c r="O78" s="58"/>
      <c r="P78" s="58"/>
      <c r="Q78" s="58"/>
      <c r="R78" s="58"/>
      <c r="S78" s="58"/>
      <c r="T78" s="58"/>
    </row>
    <row r="79" spans="12:20" x14ac:dyDescent="0.35">
      <c r="L79" s="58"/>
      <c r="M79" s="58"/>
      <c r="N79" s="58"/>
      <c r="O79" s="58"/>
      <c r="P79" s="58"/>
      <c r="Q79" s="58"/>
      <c r="R79" s="58"/>
      <c r="S79" s="58"/>
      <c r="T79" s="58"/>
    </row>
    <row r="80" spans="12:20" x14ac:dyDescent="0.35">
      <c r="L80" s="58"/>
      <c r="M80" s="58"/>
      <c r="N80" s="58"/>
      <c r="O80" s="58"/>
      <c r="P80" s="58"/>
      <c r="Q80" s="58"/>
      <c r="R80" s="58"/>
      <c r="S80" s="58"/>
      <c r="T80" s="58"/>
    </row>
    <row r="81" spans="12:20" x14ac:dyDescent="0.35">
      <c r="L81" s="58"/>
      <c r="M81" s="58"/>
      <c r="N81" s="58"/>
      <c r="O81" s="58"/>
      <c r="P81" s="58"/>
      <c r="Q81" s="58"/>
      <c r="R81" s="58"/>
      <c r="S81" s="58"/>
      <c r="T81" s="58"/>
    </row>
    <row r="82" spans="12:20" x14ac:dyDescent="0.35">
      <c r="L82" s="58"/>
      <c r="M82" s="58"/>
      <c r="N82" s="58"/>
      <c r="O82" s="58"/>
      <c r="P82" s="58"/>
      <c r="Q82" s="58"/>
      <c r="R82" s="58"/>
      <c r="S82" s="58"/>
      <c r="T82" s="58"/>
    </row>
    <row r="83" spans="12:20" x14ac:dyDescent="0.35">
      <c r="L83" s="58"/>
      <c r="M83" s="58"/>
      <c r="N83" s="58"/>
      <c r="O83" s="58"/>
      <c r="P83" s="58"/>
      <c r="Q83" s="58"/>
      <c r="R83" s="58"/>
      <c r="S83" s="58"/>
      <c r="T83" s="58"/>
    </row>
    <row r="84" spans="12:20" x14ac:dyDescent="0.35">
      <c r="L84" s="58"/>
      <c r="M84" s="58"/>
      <c r="N84" s="58"/>
      <c r="O84" s="58"/>
      <c r="P84" s="58"/>
      <c r="Q84" s="58"/>
      <c r="R84" s="58"/>
      <c r="S84" s="58"/>
      <c r="T84" s="58"/>
    </row>
    <row r="85" spans="12:20" x14ac:dyDescent="0.35">
      <c r="L85" s="58"/>
      <c r="M85" s="58"/>
      <c r="N85" s="58"/>
      <c r="O85" s="58"/>
      <c r="P85" s="58"/>
      <c r="Q85" s="58"/>
      <c r="R85" s="58"/>
      <c r="S85" s="58"/>
      <c r="T85" s="58"/>
    </row>
    <row r="86" spans="12:20" x14ac:dyDescent="0.35">
      <c r="L86" s="58"/>
      <c r="M86" s="58"/>
      <c r="N86" s="58"/>
      <c r="O86" s="58"/>
      <c r="P86" s="58"/>
      <c r="Q86" s="58"/>
      <c r="R86" s="58"/>
      <c r="S86" s="58"/>
      <c r="T86" s="58"/>
    </row>
    <row r="87" spans="12:20" x14ac:dyDescent="0.35">
      <c r="L87" s="58"/>
      <c r="M87" s="58"/>
      <c r="N87" s="58"/>
      <c r="O87" s="58"/>
      <c r="P87" s="58"/>
      <c r="Q87" s="58"/>
      <c r="R87" s="58"/>
      <c r="S87" s="58"/>
      <c r="T87" s="58"/>
    </row>
    <row r="88" spans="12:20" x14ac:dyDescent="0.35">
      <c r="L88" s="58"/>
      <c r="M88" s="58"/>
      <c r="N88" s="58"/>
      <c r="O88" s="58"/>
      <c r="P88" s="58"/>
      <c r="Q88" s="58"/>
      <c r="R88" s="58"/>
      <c r="S88" s="58"/>
      <c r="T88" s="58"/>
    </row>
    <row r="89" spans="12:20" x14ac:dyDescent="0.35">
      <c r="L89" s="58"/>
      <c r="M89" s="58"/>
      <c r="N89" s="58"/>
      <c r="O89" s="58"/>
      <c r="P89" s="58"/>
      <c r="Q89" s="58"/>
      <c r="R89" s="58"/>
      <c r="S89" s="58"/>
      <c r="T89" s="58"/>
    </row>
    <row r="90" spans="12:20" x14ac:dyDescent="0.35">
      <c r="L90" s="58"/>
      <c r="M90" s="58"/>
      <c r="N90" s="58"/>
      <c r="O90" s="58"/>
      <c r="P90" s="58"/>
      <c r="Q90" s="58"/>
      <c r="R90" s="58"/>
      <c r="S90" s="58"/>
      <c r="T90" s="58"/>
    </row>
    <row r="91" spans="12:20" x14ac:dyDescent="0.35">
      <c r="L91" s="58"/>
      <c r="M91" s="58"/>
      <c r="N91" s="58"/>
      <c r="O91" s="58"/>
      <c r="P91" s="58"/>
      <c r="Q91" s="58"/>
      <c r="R91" s="58"/>
      <c r="S91" s="58"/>
      <c r="T91" s="58"/>
    </row>
    <row r="92" spans="12:20" x14ac:dyDescent="0.35">
      <c r="L92" s="58"/>
      <c r="M92" s="58"/>
      <c r="N92" s="58"/>
      <c r="O92" s="58"/>
      <c r="P92" s="58"/>
      <c r="Q92" s="58"/>
      <c r="R92" s="58"/>
      <c r="S92" s="58"/>
      <c r="T92" s="58"/>
    </row>
    <row r="93" spans="12:20" x14ac:dyDescent="0.35">
      <c r="L93" s="58"/>
      <c r="M93" s="58"/>
      <c r="N93" s="58"/>
      <c r="O93" s="58"/>
      <c r="P93" s="58"/>
      <c r="Q93" s="58"/>
      <c r="R93" s="58"/>
      <c r="S93" s="58"/>
      <c r="T93" s="58"/>
    </row>
    <row r="94" spans="12:20" x14ac:dyDescent="0.35">
      <c r="L94" s="58"/>
      <c r="M94" s="58"/>
      <c r="N94" s="58"/>
      <c r="O94" s="58"/>
      <c r="P94" s="58"/>
      <c r="Q94" s="58"/>
      <c r="R94" s="58"/>
      <c r="S94" s="58"/>
      <c r="T94" s="58"/>
    </row>
    <row r="95" spans="12:20" x14ac:dyDescent="0.35">
      <c r="L95" s="58"/>
      <c r="M95" s="58"/>
      <c r="N95" s="58"/>
      <c r="O95" s="58"/>
      <c r="P95" s="58"/>
      <c r="Q95" s="58"/>
      <c r="R95" s="58"/>
      <c r="S95" s="58"/>
      <c r="T95" s="58"/>
    </row>
    <row r="96" spans="12:20" x14ac:dyDescent="0.35">
      <c r="L96" s="58"/>
      <c r="M96" s="58"/>
      <c r="N96" s="58"/>
      <c r="O96" s="58"/>
      <c r="P96" s="58"/>
      <c r="Q96" s="58"/>
      <c r="R96" s="58"/>
      <c r="S96" s="58"/>
      <c r="T96" s="58"/>
    </row>
    <row r="97" spans="12:20" x14ac:dyDescent="0.35">
      <c r="L97" s="58"/>
      <c r="M97" s="58"/>
      <c r="N97" s="58"/>
      <c r="O97" s="58"/>
      <c r="P97" s="58"/>
      <c r="Q97" s="58"/>
      <c r="R97" s="58"/>
      <c r="S97" s="58"/>
      <c r="T97" s="58"/>
    </row>
    <row r="98" spans="12:20" x14ac:dyDescent="0.35">
      <c r="L98" s="58"/>
      <c r="M98" s="58"/>
      <c r="N98" s="58"/>
      <c r="O98" s="58"/>
      <c r="P98" s="58"/>
      <c r="Q98" s="58"/>
      <c r="R98" s="58"/>
      <c r="S98" s="58"/>
      <c r="T98" s="58"/>
    </row>
    <row r="99" spans="12:20" x14ac:dyDescent="0.35">
      <c r="L99" s="58"/>
      <c r="M99" s="58"/>
      <c r="N99" s="58"/>
      <c r="O99" s="58"/>
      <c r="P99" s="58"/>
      <c r="Q99" s="58"/>
      <c r="R99" s="58"/>
      <c r="S99" s="58"/>
      <c r="T99" s="58"/>
    </row>
    <row r="100" spans="12:20" x14ac:dyDescent="0.35">
      <c r="L100" s="58"/>
      <c r="M100" s="58"/>
      <c r="N100" s="58"/>
      <c r="O100" s="58"/>
      <c r="P100" s="58"/>
      <c r="Q100" s="58"/>
      <c r="R100" s="58"/>
      <c r="S100" s="58"/>
      <c r="T100" s="58"/>
    </row>
    <row r="101" spans="12:20" x14ac:dyDescent="0.35">
      <c r="L101" s="58"/>
      <c r="M101" s="58"/>
      <c r="N101" s="58"/>
      <c r="O101" s="58"/>
      <c r="P101" s="58"/>
      <c r="Q101" s="58"/>
      <c r="R101" s="58"/>
      <c r="S101" s="58"/>
      <c r="T101" s="58"/>
    </row>
    <row r="102" spans="12:20" x14ac:dyDescent="0.35">
      <c r="L102" s="58"/>
      <c r="M102" s="58"/>
      <c r="N102" s="58"/>
      <c r="O102" s="58"/>
      <c r="P102" s="58"/>
      <c r="Q102" s="58"/>
      <c r="R102" s="58"/>
      <c r="S102" s="58"/>
      <c r="T102" s="58"/>
    </row>
    <row r="103" spans="12:20" x14ac:dyDescent="0.35">
      <c r="L103" s="58"/>
      <c r="M103" s="58"/>
      <c r="N103" s="58"/>
      <c r="O103" s="58"/>
      <c r="P103" s="58"/>
      <c r="Q103" s="58"/>
      <c r="R103" s="58"/>
      <c r="S103" s="58"/>
      <c r="T103" s="58"/>
    </row>
    <row r="104" spans="12:20" x14ac:dyDescent="0.35">
      <c r="L104" s="58"/>
      <c r="M104" s="58"/>
      <c r="N104" s="58"/>
      <c r="O104" s="58"/>
      <c r="P104" s="58"/>
      <c r="Q104" s="58"/>
      <c r="R104" s="58"/>
      <c r="S104" s="58"/>
      <c r="T104" s="58"/>
    </row>
    <row r="105" spans="12:20" x14ac:dyDescent="0.35">
      <c r="L105" s="58"/>
      <c r="M105" s="58"/>
      <c r="N105" s="58"/>
      <c r="O105" s="58"/>
      <c r="P105" s="58"/>
      <c r="Q105" s="58"/>
      <c r="R105" s="58"/>
      <c r="S105" s="58"/>
      <c r="T105" s="58"/>
    </row>
    <row r="106" spans="12:20" x14ac:dyDescent="0.35">
      <c r="L106" s="58"/>
      <c r="M106" s="58"/>
      <c r="N106" s="58"/>
      <c r="O106" s="58"/>
      <c r="P106" s="58"/>
      <c r="Q106" s="58"/>
      <c r="R106" s="58"/>
      <c r="S106" s="58"/>
      <c r="T106" s="58"/>
    </row>
    <row r="107" spans="12:20" x14ac:dyDescent="0.35">
      <c r="L107" s="58"/>
      <c r="M107" s="58"/>
      <c r="N107" s="58"/>
      <c r="O107" s="58"/>
      <c r="P107" s="58"/>
      <c r="Q107" s="58"/>
      <c r="R107" s="58"/>
      <c r="S107" s="58"/>
      <c r="T107" s="58"/>
    </row>
    <row r="108" spans="12:20" x14ac:dyDescent="0.35">
      <c r="L108" s="58"/>
      <c r="M108" s="58"/>
      <c r="N108" s="58"/>
      <c r="O108" s="58"/>
      <c r="P108" s="58"/>
      <c r="Q108" s="58"/>
      <c r="R108" s="58"/>
      <c r="S108" s="58"/>
      <c r="T108" s="58"/>
    </row>
    <row r="109" spans="12:20" x14ac:dyDescent="0.35">
      <c r="L109" s="58"/>
      <c r="M109" s="58"/>
      <c r="N109" s="58"/>
      <c r="O109" s="58"/>
      <c r="P109" s="58"/>
      <c r="Q109" s="58"/>
      <c r="R109" s="58"/>
      <c r="S109" s="58"/>
      <c r="T109" s="58"/>
    </row>
    <row r="110" spans="12:20" x14ac:dyDescent="0.35">
      <c r="L110" s="58"/>
      <c r="M110" s="58"/>
      <c r="N110" s="58"/>
      <c r="O110" s="58"/>
      <c r="P110" s="58"/>
      <c r="Q110" s="58"/>
      <c r="R110" s="58"/>
      <c r="S110" s="58"/>
      <c r="T110" s="58"/>
    </row>
    <row r="111" spans="12:20" x14ac:dyDescent="0.35">
      <c r="L111" s="58"/>
      <c r="M111" s="58"/>
      <c r="N111" s="58"/>
      <c r="O111" s="58"/>
      <c r="P111" s="58"/>
      <c r="Q111" s="58"/>
      <c r="R111" s="58"/>
      <c r="S111" s="58"/>
      <c r="T111" s="58"/>
    </row>
    <row r="112" spans="12:20" x14ac:dyDescent="0.35">
      <c r="L112" s="58"/>
      <c r="M112" s="58"/>
      <c r="N112" s="58"/>
      <c r="O112" s="58"/>
      <c r="P112" s="58"/>
      <c r="Q112" s="58"/>
      <c r="R112" s="58"/>
      <c r="S112" s="58"/>
      <c r="T112" s="58"/>
    </row>
    <row r="113" spans="12:20" x14ac:dyDescent="0.35">
      <c r="L113" s="58"/>
      <c r="M113" s="58"/>
      <c r="N113" s="58"/>
      <c r="O113" s="58"/>
      <c r="P113" s="58"/>
      <c r="Q113" s="58"/>
      <c r="R113" s="58"/>
      <c r="S113" s="58"/>
      <c r="T113" s="58"/>
    </row>
    <row r="114" spans="12:20" x14ac:dyDescent="0.35">
      <c r="L114" s="58"/>
      <c r="M114" s="58"/>
      <c r="N114" s="58"/>
      <c r="O114" s="58"/>
      <c r="P114" s="58"/>
      <c r="Q114" s="58"/>
      <c r="R114" s="58"/>
      <c r="S114" s="58"/>
      <c r="T114" s="58"/>
    </row>
    <row r="115" spans="12:20" x14ac:dyDescent="0.35">
      <c r="L115" s="58"/>
      <c r="M115" s="58"/>
      <c r="N115" s="58"/>
      <c r="O115" s="58"/>
      <c r="P115" s="58"/>
      <c r="Q115" s="58"/>
      <c r="R115" s="58"/>
      <c r="S115" s="58"/>
      <c r="T115" s="58"/>
    </row>
    <row r="116" spans="12:20" x14ac:dyDescent="0.35">
      <c r="L116" s="58"/>
      <c r="M116" s="58"/>
      <c r="N116" s="58"/>
      <c r="O116" s="58"/>
      <c r="P116" s="58"/>
      <c r="Q116" s="58"/>
      <c r="R116" s="58"/>
      <c r="S116" s="58"/>
      <c r="T116" s="58"/>
    </row>
    <row r="117" spans="12:20" x14ac:dyDescent="0.35">
      <c r="L117" s="58"/>
      <c r="M117" s="58"/>
      <c r="N117" s="58"/>
      <c r="O117" s="58"/>
      <c r="P117" s="58"/>
      <c r="Q117" s="58"/>
      <c r="R117" s="58"/>
      <c r="S117" s="58"/>
      <c r="T117" s="58"/>
    </row>
    <row r="118" spans="12:20" x14ac:dyDescent="0.35">
      <c r="L118" s="58"/>
      <c r="M118" s="58"/>
      <c r="N118" s="58"/>
      <c r="O118" s="58"/>
      <c r="P118" s="58"/>
      <c r="Q118" s="58"/>
      <c r="R118" s="58"/>
      <c r="S118" s="58"/>
      <c r="T118" s="58"/>
    </row>
    <row r="119" spans="12:20" x14ac:dyDescent="0.35">
      <c r="L119" s="58"/>
      <c r="M119" s="58"/>
      <c r="N119" s="58"/>
      <c r="O119" s="58"/>
      <c r="P119" s="58"/>
      <c r="Q119" s="58"/>
      <c r="R119" s="58"/>
      <c r="S119" s="58"/>
      <c r="T119" s="58"/>
    </row>
    <row r="120" spans="12:20" x14ac:dyDescent="0.35">
      <c r="L120" s="58"/>
      <c r="M120" s="58"/>
      <c r="N120" s="58"/>
      <c r="O120" s="58"/>
      <c r="P120" s="58"/>
      <c r="Q120" s="58"/>
      <c r="R120" s="58"/>
      <c r="S120" s="58"/>
      <c r="T120" s="58"/>
    </row>
    <row r="121" spans="12:20" x14ac:dyDescent="0.35">
      <c r="L121" s="58"/>
      <c r="M121" s="58"/>
      <c r="N121" s="58"/>
      <c r="O121" s="58"/>
      <c r="P121" s="58"/>
      <c r="Q121" s="58"/>
      <c r="R121" s="58"/>
      <c r="S121" s="58"/>
      <c r="T121" s="58"/>
    </row>
    <row r="122" spans="12:20" x14ac:dyDescent="0.35">
      <c r="L122" s="58"/>
      <c r="M122" s="58"/>
      <c r="N122" s="58"/>
      <c r="O122" s="58"/>
      <c r="P122" s="58"/>
      <c r="Q122" s="58"/>
      <c r="R122" s="58"/>
      <c r="S122" s="58"/>
      <c r="T122" s="5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T44"/>
  <sheetViews>
    <sheetView topLeftCell="B10" workbookViewId="0">
      <selection activeCell="P7" sqref="P7"/>
    </sheetView>
  </sheetViews>
  <sheetFormatPr defaultRowHeight="14.5" x14ac:dyDescent="0.35"/>
  <cols>
    <col min="4" max="4" width="35.453125" bestFit="1" customWidth="1"/>
    <col min="8" max="8" width="13.08984375" bestFit="1" customWidth="1"/>
    <col min="16" max="16" width="10.81640625" bestFit="1" customWidth="1"/>
  </cols>
  <sheetData>
    <row r="3" spans="2:20" x14ac:dyDescent="0.35">
      <c r="E3" s="38"/>
      <c r="F3" s="38"/>
    </row>
    <row r="4" spans="2:20" ht="18.5" x14ac:dyDescent="0.45">
      <c r="E4" s="193" t="s">
        <v>662</v>
      </c>
      <c r="F4" s="38"/>
      <c r="L4" s="38"/>
      <c r="M4" s="38"/>
      <c r="N4" s="176" t="s">
        <v>663</v>
      </c>
      <c r="O4" s="38"/>
      <c r="P4" s="38"/>
      <c r="Q4" s="38"/>
      <c r="R4" s="38"/>
      <c r="S4" s="38"/>
      <c r="T4" s="38"/>
    </row>
    <row r="5" spans="2:20" ht="21" x14ac:dyDescent="0.5">
      <c r="B5" s="211" t="s">
        <v>0</v>
      </c>
      <c r="C5" s="211" t="s">
        <v>1</v>
      </c>
      <c r="D5" s="211" t="s">
        <v>2</v>
      </c>
      <c r="E5" s="211" t="s">
        <v>3</v>
      </c>
      <c r="F5" s="211" t="s">
        <v>4</v>
      </c>
      <c r="G5" s="211" t="s">
        <v>5</v>
      </c>
      <c r="H5" s="211" t="s">
        <v>6</v>
      </c>
      <c r="I5" s="211" t="s">
        <v>7</v>
      </c>
      <c r="J5" s="211" t="s">
        <v>661</v>
      </c>
      <c r="L5" s="173" t="s">
        <v>0</v>
      </c>
      <c r="M5" s="173" t="s">
        <v>1</v>
      </c>
      <c r="N5" s="173" t="s">
        <v>2</v>
      </c>
      <c r="O5" s="173" t="s">
        <v>3</v>
      </c>
      <c r="P5" s="173" t="s">
        <v>4</v>
      </c>
      <c r="Q5" s="173" t="s">
        <v>5</v>
      </c>
      <c r="R5" s="173" t="s">
        <v>6</v>
      </c>
      <c r="S5" s="173" t="s">
        <v>7</v>
      </c>
      <c r="T5" s="173" t="s">
        <v>8</v>
      </c>
    </row>
    <row r="6" spans="2:20" ht="15.5" x14ac:dyDescent="0.35">
      <c r="B6" s="43">
        <v>1</v>
      </c>
      <c r="C6" s="203">
        <v>11314</v>
      </c>
      <c r="D6" s="52" t="s">
        <v>664</v>
      </c>
      <c r="E6" s="222">
        <v>102044009876</v>
      </c>
      <c r="F6" s="197" t="s">
        <v>665</v>
      </c>
      <c r="G6" s="56">
        <v>45689</v>
      </c>
      <c r="H6" s="43" t="s">
        <v>97</v>
      </c>
      <c r="I6" s="43" t="s">
        <v>323</v>
      </c>
      <c r="J6" s="38"/>
      <c r="L6" s="43">
        <v>1</v>
      </c>
      <c r="M6" s="52">
        <v>10163</v>
      </c>
      <c r="N6" s="203" t="s">
        <v>676</v>
      </c>
      <c r="O6" s="195">
        <v>101671443751</v>
      </c>
      <c r="P6" s="43">
        <v>5218364828</v>
      </c>
      <c r="Q6" s="56">
        <v>45310</v>
      </c>
      <c r="R6" s="43" t="s">
        <v>305</v>
      </c>
      <c r="S6" s="43" t="s">
        <v>675</v>
      </c>
      <c r="T6" s="38"/>
    </row>
    <row r="7" spans="2:20" ht="15.5" x14ac:dyDescent="0.35">
      <c r="B7" s="43">
        <f>B6+1</f>
        <v>2</v>
      </c>
      <c r="C7" s="43">
        <v>11315</v>
      </c>
      <c r="D7" s="52" t="s">
        <v>666</v>
      </c>
      <c r="E7" s="195">
        <v>101569541443</v>
      </c>
      <c r="F7" s="52">
        <v>5216634854</v>
      </c>
      <c r="G7" s="56">
        <v>45689</v>
      </c>
      <c r="H7" s="43" t="s">
        <v>671</v>
      </c>
      <c r="I7" s="43" t="s">
        <v>41</v>
      </c>
      <c r="J7" s="38"/>
      <c r="L7" s="43">
        <v>2</v>
      </c>
      <c r="M7" s="203">
        <v>11308</v>
      </c>
      <c r="N7" s="203" t="s">
        <v>677</v>
      </c>
      <c r="O7" s="195">
        <v>101907906676</v>
      </c>
      <c r="P7" s="43">
        <v>5220362384</v>
      </c>
      <c r="Q7" s="56">
        <v>45679</v>
      </c>
      <c r="R7" s="43" t="s">
        <v>305</v>
      </c>
      <c r="S7" s="43" t="s">
        <v>678</v>
      </c>
      <c r="T7" s="38"/>
    </row>
    <row r="8" spans="2:20" ht="29" x14ac:dyDescent="0.35">
      <c r="B8" s="43">
        <v>3</v>
      </c>
      <c r="C8" s="221">
        <v>10492</v>
      </c>
      <c r="D8" s="52" t="s">
        <v>667</v>
      </c>
      <c r="E8" s="222">
        <v>101925800595</v>
      </c>
      <c r="F8" s="52">
        <v>5220323113</v>
      </c>
      <c r="G8" s="56">
        <v>45689</v>
      </c>
      <c r="H8" s="43" t="s">
        <v>13</v>
      </c>
      <c r="I8" s="43" t="s">
        <v>25</v>
      </c>
      <c r="J8" s="38"/>
      <c r="L8" s="43">
        <v>3</v>
      </c>
      <c r="M8" s="224">
        <v>11309</v>
      </c>
      <c r="N8" s="224" t="s">
        <v>679</v>
      </c>
      <c r="O8" s="195">
        <v>101519540953</v>
      </c>
      <c r="P8" s="43">
        <v>5217180277</v>
      </c>
      <c r="Q8" s="56">
        <v>45693</v>
      </c>
      <c r="R8" s="43" t="s">
        <v>305</v>
      </c>
      <c r="S8" s="43" t="s">
        <v>678</v>
      </c>
      <c r="T8" s="38"/>
    </row>
    <row r="9" spans="2:20" ht="15.5" x14ac:dyDescent="0.35">
      <c r="B9" s="43">
        <v>4</v>
      </c>
      <c r="C9" s="52">
        <v>11311</v>
      </c>
      <c r="D9" s="52" t="s">
        <v>668</v>
      </c>
      <c r="E9" s="195">
        <v>101109085478</v>
      </c>
      <c r="F9" s="207">
        <v>5221751222</v>
      </c>
      <c r="G9" s="56">
        <v>45691</v>
      </c>
      <c r="H9" s="43" t="s">
        <v>417</v>
      </c>
      <c r="I9" s="43" t="s">
        <v>669</v>
      </c>
      <c r="J9" s="38"/>
      <c r="L9" s="43">
        <v>4</v>
      </c>
      <c r="M9" s="203">
        <v>11310</v>
      </c>
      <c r="N9" s="43" t="s">
        <v>680</v>
      </c>
      <c r="O9" s="194">
        <v>101377205189</v>
      </c>
      <c r="P9" s="143">
        <v>5221787691</v>
      </c>
      <c r="Q9" s="56">
        <v>45692</v>
      </c>
      <c r="R9" s="43" t="s">
        <v>305</v>
      </c>
      <c r="S9" s="43" t="s">
        <v>678</v>
      </c>
      <c r="T9" s="38"/>
    </row>
    <row r="10" spans="2:20" ht="15.5" x14ac:dyDescent="0.35">
      <c r="B10" s="43">
        <v>5</v>
      </c>
      <c r="C10" s="221">
        <v>11322</v>
      </c>
      <c r="D10" s="52" t="s">
        <v>670</v>
      </c>
      <c r="E10" s="214">
        <v>102172260908</v>
      </c>
      <c r="F10" s="75">
        <v>5221751439</v>
      </c>
      <c r="G10" s="56">
        <v>45692</v>
      </c>
      <c r="H10" s="43" t="s">
        <v>458</v>
      </c>
      <c r="I10" s="43" t="s">
        <v>17</v>
      </c>
      <c r="J10" s="38"/>
      <c r="L10" s="43">
        <v>5</v>
      </c>
      <c r="M10" s="235">
        <v>11320</v>
      </c>
      <c r="N10" s="43" t="s">
        <v>698</v>
      </c>
      <c r="O10" s="222">
        <v>100783833711</v>
      </c>
      <c r="P10" s="143">
        <v>5218490735</v>
      </c>
      <c r="Q10" s="56">
        <v>45689</v>
      </c>
      <c r="R10" s="43" t="s">
        <v>117</v>
      </c>
      <c r="S10" s="43" t="s">
        <v>678</v>
      </c>
      <c r="T10" s="38"/>
    </row>
    <row r="11" spans="2:20" ht="15.5" x14ac:dyDescent="0.35">
      <c r="B11" s="43">
        <v>6</v>
      </c>
      <c r="C11" s="43">
        <v>10696</v>
      </c>
      <c r="D11" s="226" t="s">
        <v>672</v>
      </c>
      <c r="E11" s="195">
        <v>101794580140</v>
      </c>
      <c r="F11" s="43" t="s">
        <v>425</v>
      </c>
      <c r="G11" s="56">
        <v>45689</v>
      </c>
      <c r="H11" s="43" t="s">
        <v>34</v>
      </c>
      <c r="I11" s="43" t="s">
        <v>358</v>
      </c>
      <c r="J11" s="38"/>
      <c r="L11" s="43">
        <v>6</v>
      </c>
      <c r="M11" s="196">
        <v>11321</v>
      </c>
      <c r="N11" s="228" t="s">
        <v>702</v>
      </c>
      <c r="O11" s="195">
        <v>101243943018</v>
      </c>
      <c r="P11" s="43">
        <v>5220477135</v>
      </c>
      <c r="Q11" s="56">
        <v>45707</v>
      </c>
      <c r="R11" s="43" t="s">
        <v>700</v>
      </c>
      <c r="S11" s="43" t="s">
        <v>701</v>
      </c>
      <c r="T11" s="38"/>
    </row>
    <row r="12" spans="2:20" ht="15.5" x14ac:dyDescent="0.35">
      <c r="B12" s="43">
        <v>7</v>
      </c>
      <c r="C12" s="203">
        <v>11312</v>
      </c>
      <c r="D12" s="226" t="s">
        <v>681</v>
      </c>
      <c r="E12" s="195">
        <v>101418861086</v>
      </c>
      <c r="F12" s="43" t="s">
        <v>425</v>
      </c>
      <c r="G12" s="56">
        <v>45691</v>
      </c>
      <c r="H12" s="43" t="s">
        <v>490</v>
      </c>
      <c r="I12" s="43" t="s">
        <v>358</v>
      </c>
      <c r="J12" s="38"/>
      <c r="L12" s="154">
        <v>7</v>
      </c>
      <c r="M12" s="230">
        <v>11323</v>
      </c>
      <c r="N12" s="196" t="s">
        <v>705</v>
      </c>
      <c r="O12" s="231">
        <v>101415313589</v>
      </c>
      <c r="P12" s="143">
        <v>5221789566</v>
      </c>
      <c r="Q12" s="229">
        <v>45689</v>
      </c>
      <c r="R12" s="154" t="s">
        <v>706</v>
      </c>
      <c r="S12" s="43" t="s">
        <v>678</v>
      </c>
      <c r="T12" s="38"/>
    </row>
    <row r="13" spans="2:20" ht="15.5" x14ac:dyDescent="0.35">
      <c r="B13" s="43">
        <v>8</v>
      </c>
      <c r="C13" s="203">
        <v>11313</v>
      </c>
      <c r="D13" s="226" t="s">
        <v>682</v>
      </c>
      <c r="E13" s="195">
        <v>101945909041</v>
      </c>
      <c r="F13" s="53" t="s">
        <v>713</v>
      </c>
      <c r="G13" s="56">
        <v>45698</v>
      </c>
      <c r="H13" s="43" t="s">
        <v>683</v>
      </c>
      <c r="I13" s="43" t="s">
        <v>17</v>
      </c>
      <c r="J13" s="38"/>
      <c r="L13" s="43">
        <v>8</v>
      </c>
      <c r="M13" s="38"/>
      <c r="N13" s="52" t="s">
        <v>707</v>
      </c>
      <c r="O13" s="38"/>
      <c r="P13" s="53">
        <v>5221789703</v>
      </c>
      <c r="Q13" s="56">
        <v>45699</v>
      </c>
      <c r="R13" s="154" t="s">
        <v>706</v>
      </c>
      <c r="S13" s="43" t="s">
        <v>678</v>
      </c>
      <c r="T13" s="38"/>
    </row>
    <row r="14" spans="2:20" ht="15.5" x14ac:dyDescent="0.35">
      <c r="B14" s="43">
        <v>9</v>
      </c>
      <c r="C14" s="196">
        <v>11316</v>
      </c>
      <c r="D14" s="226" t="s">
        <v>684</v>
      </c>
      <c r="E14" s="222">
        <v>102170767835</v>
      </c>
      <c r="F14" s="75">
        <v>5221788468</v>
      </c>
      <c r="G14" s="56">
        <v>45701</v>
      </c>
      <c r="H14" s="43" t="s">
        <v>685</v>
      </c>
      <c r="I14" s="43" t="s">
        <v>29</v>
      </c>
      <c r="J14" s="38"/>
      <c r="L14" s="43">
        <v>9</v>
      </c>
      <c r="M14" s="203">
        <v>11324</v>
      </c>
      <c r="N14" s="43" t="s">
        <v>708</v>
      </c>
      <c r="O14" s="194">
        <v>101935625871</v>
      </c>
      <c r="P14" s="43">
        <v>52201030254</v>
      </c>
      <c r="Q14" s="56">
        <v>45693</v>
      </c>
      <c r="R14" s="43" t="s">
        <v>710</v>
      </c>
      <c r="S14" s="43" t="s">
        <v>678</v>
      </c>
      <c r="T14" s="43"/>
    </row>
    <row r="15" spans="2:20" ht="15.5" x14ac:dyDescent="0.35">
      <c r="B15" s="43">
        <v>10</v>
      </c>
      <c r="C15" s="221">
        <v>11317</v>
      </c>
      <c r="D15" s="227" t="s">
        <v>686</v>
      </c>
      <c r="E15" s="195">
        <v>102170791810</v>
      </c>
      <c r="F15" s="232">
        <v>5221790070</v>
      </c>
      <c r="G15" s="56">
        <v>45689</v>
      </c>
      <c r="H15" s="43" t="s">
        <v>671</v>
      </c>
      <c r="I15" s="43" t="s">
        <v>29</v>
      </c>
      <c r="J15" s="38"/>
      <c r="L15" s="43">
        <v>10</v>
      </c>
      <c r="M15" s="196">
        <v>11325</v>
      </c>
      <c r="N15" s="196" t="s">
        <v>709</v>
      </c>
      <c r="O15" s="194">
        <v>101906837503</v>
      </c>
      <c r="P15" s="53">
        <v>5219203624</v>
      </c>
      <c r="Q15" s="56">
        <v>45693</v>
      </c>
      <c r="R15" s="43" t="s">
        <v>266</v>
      </c>
      <c r="S15" s="43" t="s">
        <v>678</v>
      </c>
      <c r="T15" s="43"/>
    </row>
    <row r="16" spans="2:20" ht="15.5" x14ac:dyDescent="0.35">
      <c r="B16" s="43">
        <v>11</v>
      </c>
      <c r="C16" s="196">
        <v>11318</v>
      </c>
      <c r="D16" s="43" t="s">
        <v>718</v>
      </c>
      <c r="E16" s="195">
        <v>102044843236</v>
      </c>
      <c r="F16" s="43"/>
      <c r="G16" s="56">
        <v>45701</v>
      </c>
      <c r="H16" s="38" t="s">
        <v>699</v>
      </c>
      <c r="I16" s="43" t="s">
        <v>17</v>
      </c>
      <c r="J16" s="38"/>
      <c r="L16" s="52">
        <v>11</v>
      </c>
      <c r="M16" s="196">
        <v>11326</v>
      </c>
      <c r="N16" s="196" t="s">
        <v>711</v>
      </c>
      <c r="O16" s="194">
        <v>101391926917</v>
      </c>
      <c r="P16" s="43">
        <v>5221409978</v>
      </c>
      <c r="Q16" s="56">
        <v>45693</v>
      </c>
      <c r="R16" s="43" t="s">
        <v>266</v>
      </c>
      <c r="S16" s="43" t="s">
        <v>678</v>
      </c>
      <c r="T16" s="38"/>
    </row>
    <row r="17" spans="2:20" ht="15.5" x14ac:dyDescent="0.35">
      <c r="B17" s="43">
        <v>12</v>
      </c>
      <c r="C17" s="52">
        <v>11319</v>
      </c>
      <c r="D17" s="43" t="s">
        <v>696</v>
      </c>
      <c r="E17" s="195">
        <v>102171784337</v>
      </c>
      <c r="F17" s="75">
        <v>5221790121</v>
      </c>
      <c r="G17" s="56">
        <v>45692</v>
      </c>
      <c r="H17" s="38" t="s">
        <v>23</v>
      </c>
      <c r="I17" s="43" t="s">
        <v>697</v>
      </c>
      <c r="J17" s="38"/>
      <c r="L17" s="43">
        <v>12</v>
      </c>
      <c r="M17" s="52">
        <v>11327</v>
      </c>
      <c r="N17" s="43" t="s">
        <v>712</v>
      </c>
      <c r="O17" s="214">
        <v>101223981028</v>
      </c>
      <c r="P17" s="43">
        <v>5214043125</v>
      </c>
      <c r="Q17" s="56">
        <v>45698</v>
      </c>
      <c r="R17" s="233" t="s">
        <v>758</v>
      </c>
      <c r="S17" s="43" t="s">
        <v>678</v>
      </c>
      <c r="T17" s="38"/>
    </row>
    <row r="18" spans="2:20" ht="15.5" x14ac:dyDescent="0.35">
      <c r="B18" s="43">
        <v>13</v>
      </c>
      <c r="C18" s="225">
        <v>10312</v>
      </c>
      <c r="D18" s="43" t="s">
        <v>703</v>
      </c>
      <c r="E18" s="194">
        <v>101810762450</v>
      </c>
      <c r="F18" s="43" t="s">
        <v>233</v>
      </c>
      <c r="G18" s="56">
        <v>45713</v>
      </c>
      <c r="H18" s="38" t="s">
        <v>671</v>
      </c>
      <c r="I18" s="43" t="s">
        <v>358</v>
      </c>
      <c r="J18" s="38"/>
      <c r="L18" s="38"/>
      <c r="M18" s="38"/>
      <c r="N18" s="38"/>
      <c r="O18" s="38"/>
      <c r="P18" s="38"/>
      <c r="Q18" s="38"/>
      <c r="R18" s="38"/>
      <c r="S18" s="38"/>
      <c r="T18" s="38"/>
    </row>
    <row r="19" spans="2:20" ht="15.5" x14ac:dyDescent="0.35">
      <c r="B19" s="43">
        <v>14</v>
      </c>
      <c r="C19" s="203">
        <v>11328</v>
      </c>
      <c r="D19" s="43" t="s">
        <v>704</v>
      </c>
      <c r="E19" s="214">
        <v>101288440153</v>
      </c>
      <c r="F19" s="43" t="s">
        <v>233</v>
      </c>
      <c r="G19" s="56">
        <v>45712</v>
      </c>
      <c r="H19" s="38" t="s">
        <v>633</v>
      </c>
      <c r="I19" s="43" t="s">
        <v>41</v>
      </c>
      <c r="J19" s="38"/>
      <c r="L19" s="38"/>
      <c r="M19" s="38"/>
      <c r="N19" s="38"/>
      <c r="O19" s="38"/>
      <c r="P19" s="38"/>
      <c r="Q19" s="38"/>
      <c r="R19" s="38"/>
      <c r="S19" s="38"/>
      <c r="T19" s="38"/>
    </row>
    <row r="20" spans="2:20" x14ac:dyDescent="0.35">
      <c r="B20" s="38">
        <v>15</v>
      </c>
      <c r="C20" s="38"/>
      <c r="D20" s="38"/>
      <c r="E20" s="38"/>
      <c r="F20" s="38"/>
      <c r="G20" s="38"/>
      <c r="H20" s="38"/>
      <c r="I20" s="38"/>
      <c r="J20" s="38"/>
      <c r="L20" s="38"/>
      <c r="M20" s="38"/>
      <c r="N20" s="38"/>
      <c r="O20" s="38"/>
      <c r="P20" s="38"/>
      <c r="Q20" s="38"/>
      <c r="R20" s="38"/>
      <c r="S20" s="38"/>
      <c r="T20" s="38"/>
    </row>
    <row r="21" spans="2:20" x14ac:dyDescent="0.35">
      <c r="B21" s="38"/>
      <c r="C21" s="38"/>
      <c r="D21" s="38"/>
      <c r="E21" s="38"/>
      <c r="F21" s="38"/>
      <c r="G21" s="38"/>
      <c r="H21" s="38"/>
      <c r="I21" s="38"/>
      <c r="J21" s="38"/>
      <c r="L21" s="38"/>
      <c r="M21" s="38"/>
      <c r="N21" s="38"/>
      <c r="O21" s="38"/>
      <c r="P21" s="38"/>
      <c r="Q21" s="38"/>
      <c r="R21" s="38"/>
      <c r="S21" s="38"/>
      <c r="T21" s="38"/>
    </row>
    <row r="22" spans="2:20" x14ac:dyDescent="0.35">
      <c r="B22" s="38"/>
      <c r="C22" s="38"/>
      <c r="D22" s="38"/>
      <c r="E22" s="38"/>
      <c r="F22" s="38"/>
      <c r="G22" s="38"/>
      <c r="H22" s="38"/>
      <c r="I22" s="38"/>
      <c r="L22" s="38"/>
      <c r="M22" s="38"/>
      <c r="N22" s="38"/>
      <c r="O22" s="38"/>
      <c r="P22" s="38"/>
      <c r="Q22" s="38"/>
      <c r="R22" s="38"/>
      <c r="S22" s="38"/>
      <c r="T22" s="38"/>
    </row>
    <row r="23" spans="2:20" x14ac:dyDescent="0.35">
      <c r="B23" s="38"/>
      <c r="C23" s="38"/>
      <c r="D23" s="38"/>
      <c r="E23" s="38"/>
      <c r="F23" s="38"/>
      <c r="G23" s="38"/>
      <c r="H23" s="38"/>
      <c r="I23" s="38"/>
      <c r="L23" s="38"/>
      <c r="M23" s="38"/>
      <c r="N23" s="38"/>
      <c r="O23" s="38"/>
      <c r="P23" s="38"/>
      <c r="Q23" s="38"/>
      <c r="R23" s="38"/>
      <c r="S23" s="38"/>
      <c r="T23" s="38"/>
    </row>
    <row r="24" spans="2:20" x14ac:dyDescent="0.35">
      <c r="B24" s="38"/>
      <c r="C24" s="38"/>
      <c r="D24" s="38"/>
      <c r="E24" s="38"/>
      <c r="F24" s="38"/>
      <c r="G24" s="38"/>
      <c r="H24" s="38"/>
      <c r="I24" s="38"/>
      <c r="L24" s="38"/>
      <c r="M24" s="38"/>
      <c r="N24" s="38"/>
      <c r="O24" s="38"/>
      <c r="P24" s="38"/>
      <c r="Q24" s="38"/>
      <c r="R24" s="38"/>
      <c r="S24" s="38"/>
      <c r="T24" s="38"/>
    </row>
    <row r="25" spans="2:20" x14ac:dyDescent="0.35">
      <c r="B25" s="38"/>
      <c r="C25" s="38"/>
      <c r="D25" s="38"/>
      <c r="E25" s="38"/>
      <c r="F25" s="38"/>
      <c r="G25" s="38"/>
      <c r="H25" s="38"/>
      <c r="I25" s="38"/>
      <c r="L25" s="38"/>
      <c r="M25" s="38"/>
      <c r="N25" s="38"/>
      <c r="O25" s="38"/>
      <c r="P25" s="38"/>
      <c r="Q25" s="38"/>
      <c r="R25" s="38"/>
      <c r="S25" s="38"/>
      <c r="T25" s="38"/>
    </row>
    <row r="26" spans="2:20" x14ac:dyDescent="0.35">
      <c r="B26" s="38"/>
      <c r="C26" s="38"/>
      <c r="D26" s="38"/>
      <c r="E26" s="38"/>
      <c r="F26" s="38"/>
      <c r="G26" s="38"/>
      <c r="H26" s="38"/>
      <c r="I26" s="38"/>
      <c r="L26" s="38"/>
      <c r="M26" s="38"/>
      <c r="N26" s="38"/>
      <c r="O26" s="38"/>
      <c r="P26" s="38"/>
      <c r="Q26" s="38"/>
      <c r="R26" s="38"/>
      <c r="S26" s="38"/>
      <c r="T26" s="38"/>
    </row>
    <row r="27" spans="2:20" x14ac:dyDescent="0.35">
      <c r="B27" s="38"/>
      <c r="C27" s="38"/>
      <c r="D27" s="38"/>
      <c r="E27" s="38"/>
      <c r="F27" s="38"/>
      <c r="G27" s="38"/>
      <c r="H27" s="38"/>
      <c r="I27" s="38"/>
      <c r="L27" s="38"/>
      <c r="M27" s="38"/>
      <c r="N27" s="38"/>
      <c r="O27" s="38"/>
      <c r="P27" s="38"/>
      <c r="Q27" s="38"/>
      <c r="R27" s="38"/>
      <c r="S27" s="38"/>
      <c r="T27" s="38"/>
    </row>
    <row r="28" spans="2:20" x14ac:dyDescent="0.35">
      <c r="B28" s="38"/>
      <c r="C28" s="38"/>
      <c r="D28" s="38"/>
      <c r="E28" s="38"/>
      <c r="F28" s="38"/>
      <c r="G28" s="38"/>
      <c r="H28" s="38"/>
      <c r="I28" s="38"/>
      <c r="L28" s="38"/>
      <c r="M28" s="38"/>
      <c r="N28" s="38"/>
      <c r="O28" s="38"/>
      <c r="P28" s="38"/>
      <c r="Q28" s="38"/>
      <c r="R28" s="38"/>
      <c r="S28" s="38"/>
      <c r="T28" s="38"/>
    </row>
    <row r="29" spans="2:20" x14ac:dyDescent="0.35">
      <c r="B29" s="38"/>
      <c r="C29" s="38"/>
      <c r="D29" s="38"/>
      <c r="E29" s="38"/>
      <c r="F29" s="38"/>
      <c r="G29" s="38"/>
      <c r="H29" s="38"/>
      <c r="I29" s="38"/>
      <c r="L29" s="38"/>
      <c r="M29" s="38"/>
      <c r="N29" s="38"/>
      <c r="O29" s="38"/>
      <c r="P29" s="38"/>
      <c r="Q29" s="38"/>
      <c r="R29" s="38"/>
      <c r="S29" s="38"/>
      <c r="T29" s="38"/>
    </row>
    <row r="30" spans="2:20" x14ac:dyDescent="0.35">
      <c r="B30" s="38"/>
      <c r="C30" s="38"/>
      <c r="D30" s="38"/>
      <c r="E30" s="38"/>
      <c r="F30" s="38"/>
      <c r="G30" s="38"/>
      <c r="H30" s="38"/>
      <c r="I30" s="38"/>
      <c r="L30" s="38"/>
      <c r="M30" s="38"/>
      <c r="N30" s="38"/>
      <c r="O30" s="38"/>
      <c r="P30" s="38"/>
      <c r="Q30" s="38"/>
      <c r="R30" s="38"/>
      <c r="S30" s="38"/>
      <c r="T30" s="38"/>
    </row>
    <row r="38" spans="13:14" x14ac:dyDescent="0.35">
      <c r="M38" s="223" t="s">
        <v>2</v>
      </c>
      <c r="N38" s="223" t="s">
        <v>661</v>
      </c>
    </row>
    <row r="39" spans="13:14" x14ac:dyDescent="0.35">
      <c r="M39" s="38" t="s">
        <v>687</v>
      </c>
      <c r="N39" s="38" t="s">
        <v>5</v>
      </c>
    </row>
    <row r="40" spans="13:14" x14ac:dyDescent="0.35">
      <c r="M40" s="38" t="s">
        <v>688</v>
      </c>
      <c r="N40" s="38" t="s">
        <v>689</v>
      </c>
    </row>
    <row r="41" spans="13:14" x14ac:dyDescent="0.35">
      <c r="M41" s="38" t="s">
        <v>690</v>
      </c>
      <c r="N41" s="38" t="s">
        <v>689</v>
      </c>
    </row>
    <row r="42" spans="13:14" x14ac:dyDescent="0.35">
      <c r="M42" s="38" t="s">
        <v>691</v>
      </c>
      <c r="N42" s="38" t="s">
        <v>692</v>
      </c>
    </row>
    <row r="43" spans="13:14" x14ac:dyDescent="0.35">
      <c r="M43" s="38" t="s">
        <v>693</v>
      </c>
      <c r="N43" s="38" t="s">
        <v>694</v>
      </c>
    </row>
    <row r="44" spans="13:14" x14ac:dyDescent="0.35">
      <c r="M44" s="38" t="s">
        <v>695</v>
      </c>
      <c r="N44" s="38" t="s">
        <v>694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23ED-BD5D-4930-8A25-FB4315A5B92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AJ44"/>
  <sheetViews>
    <sheetView topLeftCell="A10" workbookViewId="0">
      <selection activeCell="O9" sqref="O9"/>
    </sheetView>
  </sheetViews>
  <sheetFormatPr defaultRowHeight="14.5" x14ac:dyDescent="0.35"/>
  <cols>
    <col min="3" max="3" width="23.26953125" bestFit="1" customWidth="1"/>
    <col min="4" max="4" width="15.26953125" bestFit="1" customWidth="1"/>
    <col min="6" max="6" width="14.08984375" bestFit="1" customWidth="1"/>
    <col min="8" max="8" width="18.81640625" bestFit="1" customWidth="1"/>
    <col min="16" max="16" width="14" bestFit="1" customWidth="1"/>
  </cols>
  <sheetData>
    <row r="3" spans="1:36" x14ac:dyDescent="0.35">
      <c r="E3" s="38"/>
    </row>
    <row r="4" spans="1:36" ht="18.5" x14ac:dyDescent="0.45">
      <c r="E4" s="193" t="s">
        <v>751</v>
      </c>
      <c r="Q4" s="193" t="s">
        <v>728</v>
      </c>
      <c r="R4" s="38"/>
      <c r="S4" s="38"/>
    </row>
    <row r="5" spans="1:36" ht="15.5" x14ac:dyDescent="0.35">
      <c r="A5" s="198" t="s">
        <v>0</v>
      </c>
      <c r="B5" s="198" t="s">
        <v>1</v>
      </c>
      <c r="C5" s="198" t="s">
        <v>2</v>
      </c>
      <c r="D5" s="198" t="s">
        <v>3</v>
      </c>
      <c r="E5" s="198" t="s">
        <v>4</v>
      </c>
      <c r="F5" s="198" t="s">
        <v>5</v>
      </c>
      <c r="G5" s="198" t="s">
        <v>6</v>
      </c>
      <c r="H5" s="198" t="s">
        <v>7</v>
      </c>
      <c r="I5" s="223" t="s">
        <v>661</v>
      </c>
      <c r="M5" s="234" t="s">
        <v>0</v>
      </c>
      <c r="N5" s="234" t="s">
        <v>1</v>
      </c>
      <c r="O5" s="234" t="s">
        <v>2</v>
      </c>
      <c r="P5" s="234" t="s">
        <v>3</v>
      </c>
      <c r="Q5" s="234" t="s">
        <v>4</v>
      </c>
      <c r="R5" s="234" t="s">
        <v>5</v>
      </c>
      <c r="S5" s="234" t="s">
        <v>6</v>
      </c>
      <c r="T5" s="234" t="s">
        <v>7</v>
      </c>
      <c r="U5" s="238" t="s">
        <v>661</v>
      </c>
    </row>
    <row r="6" spans="1:36" ht="15.5" x14ac:dyDescent="0.35">
      <c r="A6" s="43">
        <v>1</v>
      </c>
      <c r="B6" s="43">
        <v>11130</v>
      </c>
      <c r="C6" s="52" t="s">
        <v>714</v>
      </c>
      <c r="D6" s="62">
        <v>101406826870</v>
      </c>
      <c r="E6" s="146" t="s">
        <v>366</v>
      </c>
      <c r="F6" s="56">
        <v>45726</v>
      </c>
      <c r="G6" s="43" t="s">
        <v>750</v>
      </c>
      <c r="H6" s="43" t="s">
        <v>197</v>
      </c>
      <c r="I6" s="43"/>
      <c r="M6" s="43">
        <v>1</v>
      </c>
      <c r="N6" s="43">
        <v>11333</v>
      </c>
      <c r="O6" s="124" t="s">
        <v>727</v>
      </c>
      <c r="P6" s="195">
        <v>101884857139</v>
      </c>
      <c r="Q6" s="43">
        <v>5221200222</v>
      </c>
      <c r="R6" s="56">
        <v>45726</v>
      </c>
      <c r="S6" s="43" t="s">
        <v>266</v>
      </c>
      <c r="T6" s="43" t="s">
        <v>730</v>
      </c>
      <c r="U6" s="38"/>
      <c r="V6" s="182"/>
    </row>
    <row r="7" spans="1:36" ht="15.5" x14ac:dyDescent="0.35">
      <c r="A7" s="43">
        <v>2</v>
      </c>
      <c r="B7" s="43">
        <v>11239</v>
      </c>
      <c r="C7" s="52" t="s">
        <v>715</v>
      </c>
      <c r="D7" s="62">
        <v>102167639084</v>
      </c>
      <c r="E7" s="199">
        <v>5221743862</v>
      </c>
      <c r="F7" s="56">
        <v>45729</v>
      </c>
      <c r="G7" s="43" t="s">
        <v>716</v>
      </c>
      <c r="H7" s="43" t="s">
        <v>717</v>
      </c>
      <c r="I7" s="43"/>
      <c r="M7" s="43">
        <v>2</v>
      </c>
      <c r="N7" s="43">
        <v>11334</v>
      </c>
      <c r="O7" s="124" t="s">
        <v>729</v>
      </c>
      <c r="P7" s="195">
        <v>102083192236</v>
      </c>
      <c r="Q7" s="43">
        <v>5221409925</v>
      </c>
      <c r="R7" s="56">
        <v>45726</v>
      </c>
      <c r="S7" s="43" t="s">
        <v>266</v>
      </c>
      <c r="T7" s="43" t="s">
        <v>731</v>
      </c>
      <c r="U7" s="38"/>
      <c r="V7" s="182"/>
    </row>
    <row r="8" spans="1:36" ht="18" x14ac:dyDescent="0.4">
      <c r="A8" s="43">
        <v>3</v>
      </c>
      <c r="B8" s="43">
        <v>11331</v>
      </c>
      <c r="C8" s="196" t="s">
        <v>719</v>
      </c>
      <c r="D8" s="194">
        <v>102179910161</v>
      </c>
      <c r="E8" s="65" t="s">
        <v>778</v>
      </c>
      <c r="F8" s="56">
        <v>45730</v>
      </c>
      <c r="G8" s="43" t="s">
        <v>296</v>
      </c>
      <c r="H8" s="43" t="s">
        <v>720</v>
      </c>
      <c r="I8" s="43"/>
      <c r="M8" s="43">
        <v>3</v>
      </c>
      <c r="N8" s="43">
        <v>11335</v>
      </c>
      <c r="O8" s="124" t="s">
        <v>732</v>
      </c>
      <c r="P8" s="195">
        <v>102106637264</v>
      </c>
      <c r="Q8" s="43">
        <v>3417553353</v>
      </c>
      <c r="R8" s="56">
        <v>45727</v>
      </c>
      <c r="S8" s="43" t="s">
        <v>339</v>
      </c>
      <c r="T8" s="43" t="s">
        <v>731</v>
      </c>
      <c r="U8" s="38"/>
      <c r="V8" s="182"/>
    </row>
    <row r="9" spans="1:36" ht="15.5" x14ac:dyDescent="0.35">
      <c r="A9" s="43">
        <v>4</v>
      </c>
      <c r="B9" s="43">
        <v>11332</v>
      </c>
      <c r="C9" s="52" t="s">
        <v>721</v>
      </c>
      <c r="D9" s="62">
        <v>102125181275</v>
      </c>
      <c r="E9" s="146" t="s">
        <v>366</v>
      </c>
      <c r="F9" s="56">
        <v>45726</v>
      </c>
      <c r="G9" s="43" t="s">
        <v>722</v>
      </c>
      <c r="H9" s="43" t="s">
        <v>197</v>
      </c>
      <c r="I9" s="43"/>
      <c r="M9" s="43">
        <v>4</v>
      </c>
      <c r="N9" s="43">
        <v>11336</v>
      </c>
      <c r="O9" s="242" t="s">
        <v>733</v>
      </c>
      <c r="P9" s="195">
        <v>101321131170</v>
      </c>
      <c r="Q9" s="43">
        <v>5214618440</v>
      </c>
      <c r="R9" s="56">
        <v>45717</v>
      </c>
      <c r="S9" s="43" t="s">
        <v>223</v>
      </c>
      <c r="T9" s="43" t="s">
        <v>731</v>
      </c>
      <c r="U9" s="38"/>
      <c r="V9" s="182"/>
    </row>
    <row r="10" spans="1:36" ht="15.5" x14ac:dyDescent="0.35">
      <c r="A10" s="43">
        <v>5</v>
      </c>
      <c r="B10" s="225">
        <v>11345</v>
      </c>
      <c r="C10" s="52" t="s">
        <v>723</v>
      </c>
      <c r="D10" s="214">
        <v>102008948889</v>
      </c>
      <c r="E10" s="146"/>
      <c r="F10" s="43"/>
      <c r="G10" s="43"/>
      <c r="H10" s="43" t="s">
        <v>779</v>
      </c>
      <c r="I10" s="43"/>
      <c r="M10" s="43">
        <v>5</v>
      </c>
      <c r="N10" s="43">
        <v>11338</v>
      </c>
      <c r="O10" s="43" t="s">
        <v>743</v>
      </c>
      <c r="P10" s="243">
        <v>101023102614</v>
      </c>
      <c r="Q10" s="43">
        <v>5220330523</v>
      </c>
      <c r="R10" s="56">
        <v>45720</v>
      </c>
      <c r="S10" s="43" t="s">
        <v>488</v>
      </c>
      <c r="T10" s="43" t="s">
        <v>744</v>
      </c>
      <c r="U10" s="38"/>
      <c r="V10" s="182"/>
      <c r="AH10" s="239" t="s">
        <v>0</v>
      </c>
      <c r="AI10" s="239" t="s">
        <v>734</v>
      </c>
      <c r="AJ10" s="239" t="s">
        <v>735</v>
      </c>
    </row>
    <row r="11" spans="1:36" ht="18" x14ac:dyDescent="0.4">
      <c r="A11" s="43">
        <v>6</v>
      </c>
      <c r="B11" s="43">
        <v>11344</v>
      </c>
      <c r="C11" s="52" t="s">
        <v>724</v>
      </c>
      <c r="D11" s="195">
        <v>101275715654</v>
      </c>
      <c r="E11" s="146">
        <v>5</v>
      </c>
      <c r="F11" s="43"/>
      <c r="G11" s="43"/>
      <c r="H11" s="43"/>
      <c r="I11" s="43"/>
      <c r="M11" s="43">
        <v>6</v>
      </c>
      <c r="N11" s="203">
        <v>11339</v>
      </c>
      <c r="O11" s="242" t="s">
        <v>745</v>
      </c>
      <c r="P11" s="195">
        <v>102180602491</v>
      </c>
      <c r="Q11" s="17" t="s">
        <v>746</v>
      </c>
      <c r="R11" s="56">
        <v>45726</v>
      </c>
      <c r="S11" s="43" t="s">
        <v>120</v>
      </c>
      <c r="T11" s="43" t="s">
        <v>744</v>
      </c>
      <c r="U11" s="38"/>
      <c r="V11" s="182"/>
      <c r="AH11" s="38">
        <v>1</v>
      </c>
      <c r="AI11" s="38" t="s">
        <v>736</v>
      </c>
      <c r="AJ11" s="38" t="s">
        <v>737</v>
      </c>
    </row>
    <row r="12" spans="1:36" ht="18" x14ac:dyDescent="0.4">
      <c r="A12" s="43">
        <v>7</v>
      </c>
      <c r="B12" s="43">
        <v>11337</v>
      </c>
      <c r="C12" s="52" t="s">
        <v>725</v>
      </c>
      <c r="D12" s="195">
        <v>101494571258</v>
      </c>
      <c r="E12" s="146" t="s">
        <v>757</v>
      </c>
      <c r="F12" s="56">
        <v>45736</v>
      </c>
      <c r="G12" s="43"/>
      <c r="H12" s="43" t="s">
        <v>742</v>
      </c>
      <c r="I12" s="43"/>
      <c r="M12" s="43">
        <v>7</v>
      </c>
      <c r="N12" s="221">
        <v>11340</v>
      </c>
      <c r="O12" s="43" t="s">
        <v>756</v>
      </c>
      <c r="P12" s="222">
        <v>101778065299</v>
      </c>
      <c r="Q12" s="17">
        <v>5221865117</v>
      </c>
      <c r="R12" s="56">
        <v>45723</v>
      </c>
      <c r="S12" s="43" t="s">
        <v>120</v>
      </c>
      <c r="T12" s="43" t="s">
        <v>744</v>
      </c>
      <c r="U12" s="38"/>
      <c r="V12" s="182"/>
      <c r="AH12" s="38">
        <v>2</v>
      </c>
      <c r="AI12" s="38" t="s">
        <v>721</v>
      </c>
      <c r="AJ12" s="38" t="s">
        <v>737</v>
      </c>
    </row>
    <row r="13" spans="1:36" ht="18" x14ac:dyDescent="0.4">
      <c r="A13" s="43">
        <v>8</v>
      </c>
      <c r="B13" s="38"/>
      <c r="C13" s="52" t="s">
        <v>726</v>
      </c>
      <c r="D13" s="38"/>
      <c r="E13" s="65">
        <v>5221922693</v>
      </c>
      <c r="F13" s="38"/>
      <c r="G13" s="38"/>
      <c r="H13" s="38"/>
      <c r="I13" s="38"/>
      <c r="M13" s="38"/>
      <c r="N13" s="38"/>
      <c r="O13" s="38"/>
      <c r="P13" s="38"/>
      <c r="Q13" s="38"/>
      <c r="R13" s="38"/>
      <c r="S13" s="38"/>
      <c r="T13" s="38"/>
      <c r="U13" s="38"/>
      <c r="V13" s="182"/>
      <c r="AH13" s="38">
        <v>3</v>
      </c>
      <c r="AI13" s="38" t="s">
        <v>738</v>
      </c>
      <c r="AJ13" s="38" t="s">
        <v>737</v>
      </c>
    </row>
    <row r="14" spans="1:36" ht="18" x14ac:dyDescent="0.4">
      <c r="A14" s="43">
        <v>9</v>
      </c>
      <c r="B14" s="43">
        <v>11341</v>
      </c>
      <c r="C14" s="52" t="s">
        <v>747</v>
      </c>
      <c r="D14" s="195">
        <v>102182356204</v>
      </c>
      <c r="E14" s="217" t="s">
        <v>749</v>
      </c>
      <c r="F14" s="56">
        <v>45698</v>
      </c>
      <c r="G14" s="43" t="s">
        <v>29</v>
      </c>
      <c r="H14" s="43" t="s">
        <v>748</v>
      </c>
      <c r="I14" s="38"/>
      <c r="M14" s="38"/>
      <c r="N14" s="38"/>
      <c r="O14" s="38"/>
      <c r="P14" s="38"/>
      <c r="Q14" s="38"/>
      <c r="R14" s="38"/>
      <c r="S14" s="38"/>
      <c r="T14" s="38"/>
      <c r="U14" s="38"/>
      <c r="V14" s="182"/>
      <c r="AH14" s="38">
        <v>4</v>
      </c>
      <c r="AI14" s="38" t="s">
        <v>739</v>
      </c>
      <c r="AJ14" s="38" t="s">
        <v>737</v>
      </c>
    </row>
    <row r="15" spans="1:36" ht="18.5" x14ac:dyDescent="0.45">
      <c r="A15" s="43">
        <v>10</v>
      </c>
      <c r="B15" s="203">
        <v>11342</v>
      </c>
      <c r="C15" s="228" t="s">
        <v>752</v>
      </c>
      <c r="D15" s="195">
        <v>102128935965</v>
      </c>
      <c r="E15" s="200">
        <v>5221372015</v>
      </c>
      <c r="F15" s="56">
        <v>45702</v>
      </c>
      <c r="G15" s="43" t="s">
        <v>753</v>
      </c>
      <c r="H15" s="43" t="s">
        <v>160</v>
      </c>
      <c r="I15" s="38"/>
      <c r="M15" s="38"/>
      <c r="N15" s="38"/>
      <c r="O15" s="38"/>
      <c r="P15" s="38"/>
      <c r="Q15" s="38"/>
      <c r="R15" s="38"/>
      <c r="S15" s="38"/>
      <c r="T15" s="38"/>
      <c r="U15" s="38"/>
      <c r="V15" s="182"/>
      <c r="AH15" s="38">
        <v>5</v>
      </c>
      <c r="AI15" s="38" t="s">
        <v>740</v>
      </c>
      <c r="AJ15" s="38" t="s">
        <v>741</v>
      </c>
    </row>
    <row r="16" spans="1:36" x14ac:dyDescent="0.35">
      <c r="A16" s="43">
        <v>11</v>
      </c>
      <c r="B16" s="203">
        <v>11343</v>
      </c>
      <c r="C16" s="203" t="s">
        <v>754</v>
      </c>
      <c r="D16" s="195">
        <v>101993538469</v>
      </c>
      <c r="E16" s="146"/>
      <c r="F16" s="56">
        <v>45712</v>
      </c>
      <c r="G16" s="43" t="s">
        <v>753</v>
      </c>
      <c r="H16" s="43" t="s">
        <v>755</v>
      </c>
      <c r="I16" s="43"/>
      <c r="M16" s="38"/>
      <c r="N16" s="38"/>
      <c r="O16" s="38"/>
      <c r="P16" s="38"/>
      <c r="Q16" s="38"/>
      <c r="R16" s="38"/>
      <c r="S16" s="38"/>
      <c r="T16" s="38"/>
      <c r="U16" s="38"/>
      <c r="V16" s="182"/>
      <c r="AH16" s="38"/>
      <c r="AI16" s="38"/>
      <c r="AJ16" s="38"/>
    </row>
    <row r="17" spans="1:22" x14ac:dyDescent="0.35">
      <c r="A17" s="38"/>
      <c r="B17" s="233"/>
      <c r="C17" s="38"/>
      <c r="D17" s="233"/>
      <c r="E17" s="244"/>
      <c r="F17" s="38"/>
      <c r="G17" s="38"/>
      <c r="H17" s="38"/>
      <c r="I17" s="38"/>
      <c r="M17" s="38"/>
      <c r="N17" s="38"/>
      <c r="O17" s="38"/>
      <c r="P17" s="38"/>
      <c r="Q17" s="38"/>
      <c r="R17" s="38"/>
      <c r="S17" s="38"/>
      <c r="T17" s="38"/>
      <c r="U17" s="38"/>
      <c r="V17" s="182"/>
    </row>
    <row r="18" spans="1:22" x14ac:dyDescent="0.35">
      <c r="A18" s="38"/>
      <c r="B18" s="38"/>
      <c r="C18" s="38"/>
      <c r="D18" s="38"/>
      <c r="E18" s="244"/>
      <c r="F18" s="38"/>
      <c r="G18" s="38"/>
      <c r="H18" s="38"/>
      <c r="I18" s="38"/>
      <c r="M18" s="38"/>
      <c r="N18" s="38"/>
      <c r="O18" s="38"/>
      <c r="P18" s="38"/>
      <c r="Q18" s="38"/>
      <c r="R18" s="38"/>
      <c r="S18" s="38"/>
      <c r="T18" s="38"/>
      <c r="U18" s="38"/>
      <c r="V18" s="182"/>
    </row>
    <row r="19" spans="1:22" x14ac:dyDescent="0.35">
      <c r="A19" s="38"/>
      <c r="B19" s="38"/>
      <c r="C19" s="38"/>
      <c r="D19" s="38"/>
      <c r="E19" s="38"/>
      <c r="F19" s="38"/>
      <c r="G19" s="38"/>
      <c r="H19" s="38"/>
      <c r="I19" s="38"/>
      <c r="M19" s="38"/>
      <c r="N19" s="38"/>
      <c r="O19" s="38"/>
      <c r="P19" s="38"/>
      <c r="Q19" s="38"/>
      <c r="R19" s="38"/>
      <c r="S19" s="38"/>
      <c r="T19" s="38"/>
      <c r="U19" s="38"/>
      <c r="V19" s="182"/>
    </row>
    <row r="20" spans="1:22" x14ac:dyDescent="0.35">
      <c r="A20" s="38"/>
      <c r="B20" s="38"/>
      <c r="C20" s="38"/>
      <c r="D20" s="38" t="s">
        <v>39</v>
      </c>
      <c r="E20" s="38"/>
      <c r="F20" s="38"/>
      <c r="G20" s="38"/>
      <c r="H20" s="38"/>
      <c r="I20" s="38"/>
      <c r="M20" s="38"/>
      <c r="N20" s="38"/>
      <c r="O20" s="38"/>
      <c r="P20" s="38"/>
      <c r="Q20" s="38"/>
      <c r="R20" s="38"/>
      <c r="S20" s="38"/>
      <c r="T20" s="38"/>
      <c r="U20" s="38"/>
      <c r="V20" s="182"/>
    </row>
    <row r="21" spans="1:22" ht="15.5" x14ac:dyDescent="0.35">
      <c r="A21" s="38"/>
      <c r="B21" s="38"/>
      <c r="C21" s="241"/>
      <c r="D21" s="38"/>
      <c r="E21" s="240"/>
      <c r="F21" s="38"/>
      <c r="G21" s="38"/>
      <c r="H21" s="38"/>
      <c r="I21" s="38"/>
      <c r="M21" s="38"/>
      <c r="N21" s="38"/>
      <c r="O21" s="38"/>
      <c r="P21" s="38"/>
      <c r="Q21" s="38"/>
      <c r="R21" s="38"/>
      <c r="S21" s="38"/>
      <c r="T21" s="38"/>
      <c r="U21" s="38"/>
      <c r="V21" s="182"/>
    </row>
    <row r="22" spans="1:22" x14ac:dyDescent="0.35">
      <c r="A22" s="38"/>
      <c r="B22" s="38"/>
      <c r="C22" s="38"/>
      <c r="D22" s="38"/>
      <c r="E22" s="38"/>
      <c r="F22" s="38"/>
      <c r="G22" s="38"/>
      <c r="H22" s="38"/>
      <c r="I22" s="38"/>
      <c r="M22" s="38"/>
      <c r="N22" s="38"/>
      <c r="O22" s="38"/>
      <c r="P22" s="38"/>
      <c r="Q22" s="38"/>
      <c r="R22" s="38"/>
      <c r="S22" s="38"/>
      <c r="T22" s="38"/>
      <c r="U22" s="38"/>
      <c r="V22" s="182"/>
    </row>
    <row r="23" spans="1:22" x14ac:dyDescent="0.35">
      <c r="A23" s="38"/>
      <c r="B23" s="38"/>
      <c r="C23" s="38"/>
      <c r="D23" s="38"/>
      <c r="E23" s="38"/>
      <c r="F23" s="38"/>
      <c r="G23" s="38"/>
      <c r="H23" s="38"/>
      <c r="I23" s="38"/>
      <c r="M23" s="38"/>
      <c r="N23" s="38"/>
      <c r="O23" s="38"/>
      <c r="P23" s="38"/>
      <c r="Q23" s="38"/>
      <c r="R23" s="38"/>
      <c r="S23" s="38"/>
      <c r="T23" s="38"/>
      <c r="U23" s="38"/>
      <c r="V23" s="182"/>
    </row>
    <row r="24" spans="1:22" x14ac:dyDescent="0.35">
      <c r="A24" s="38"/>
      <c r="B24" s="38"/>
      <c r="C24" s="38"/>
      <c r="D24" s="38"/>
      <c r="E24" s="38"/>
      <c r="F24" s="38"/>
      <c r="G24" s="38"/>
      <c r="H24" s="38"/>
      <c r="I24" s="38"/>
      <c r="M24" s="38"/>
      <c r="N24" s="38"/>
      <c r="O24" s="38"/>
      <c r="P24" s="38"/>
      <c r="Q24" s="38"/>
      <c r="R24" s="38"/>
      <c r="S24" s="38"/>
      <c r="T24" s="38"/>
      <c r="U24" s="38"/>
      <c r="V24" s="182"/>
    </row>
    <row r="25" spans="1:22" x14ac:dyDescent="0.35">
      <c r="A25" s="38"/>
      <c r="B25" s="38"/>
      <c r="C25" s="38"/>
      <c r="D25" s="38"/>
      <c r="E25" s="38"/>
      <c r="F25" s="38"/>
      <c r="G25" s="38"/>
      <c r="H25" s="38"/>
      <c r="I25" s="38"/>
      <c r="M25" s="38"/>
      <c r="N25" s="38"/>
      <c r="O25" s="38"/>
      <c r="P25" s="38"/>
      <c r="Q25" s="38"/>
      <c r="R25" s="38"/>
      <c r="S25" s="38"/>
      <c r="T25" s="38"/>
      <c r="U25" s="38"/>
      <c r="V25" s="182"/>
    </row>
    <row r="26" spans="1:22" x14ac:dyDescent="0.35">
      <c r="A26" s="38"/>
      <c r="B26" s="38"/>
      <c r="C26" s="38"/>
      <c r="D26" s="38"/>
      <c r="E26" s="38"/>
      <c r="F26" s="38"/>
      <c r="G26" s="38"/>
      <c r="H26" s="38"/>
      <c r="I26" s="38"/>
      <c r="M26" s="38"/>
      <c r="N26" s="38"/>
      <c r="O26" s="38"/>
      <c r="P26" s="38"/>
      <c r="Q26" s="38"/>
      <c r="R26" s="38"/>
      <c r="S26" s="38"/>
      <c r="T26" s="38"/>
      <c r="U26" s="38"/>
      <c r="V26" s="182"/>
    </row>
    <row r="27" spans="1:22" x14ac:dyDescent="0.35">
      <c r="A27" s="38"/>
      <c r="B27" s="38"/>
      <c r="C27" s="38"/>
      <c r="D27" s="38"/>
      <c r="E27" s="38"/>
      <c r="F27" s="38"/>
      <c r="G27" s="38"/>
      <c r="H27" s="38"/>
      <c r="I27" s="38"/>
      <c r="M27" s="38"/>
      <c r="N27" s="38"/>
      <c r="O27" s="38"/>
      <c r="P27" s="38"/>
      <c r="Q27" s="38"/>
      <c r="R27" s="38"/>
      <c r="S27" s="38"/>
      <c r="T27" s="38"/>
      <c r="U27" s="38"/>
      <c r="V27" s="182"/>
    </row>
    <row r="28" spans="1:22" x14ac:dyDescent="0.35">
      <c r="A28" s="38"/>
      <c r="B28" s="38"/>
      <c r="C28" s="38"/>
      <c r="D28" s="38"/>
      <c r="E28" s="38"/>
      <c r="F28" s="38"/>
      <c r="G28" s="38"/>
      <c r="H28" s="38"/>
      <c r="I28" s="38"/>
      <c r="M28" s="38"/>
      <c r="N28" s="38"/>
      <c r="O28" s="38"/>
      <c r="P28" s="38"/>
      <c r="Q28" s="38"/>
      <c r="R28" s="38"/>
      <c r="S28" s="38"/>
      <c r="T28" s="38"/>
      <c r="U28" s="38"/>
      <c r="V28" s="182"/>
    </row>
    <row r="29" spans="1:22" x14ac:dyDescent="0.35">
      <c r="M29" s="38"/>
      <c r="N29" s="38"/>
      <c r="O29" s="38"/>
      <c r="P29" s="38"/>
      <c r="Q29" s="38"/>
      <c r="R29" s="38"/>
      <c r="S29" s="38"/>
      <c r="T29" s="38"/>
      <c r="U29" s="38"/>
      <c r="V29" s="182"/>
    </row>
    <row r="30" spans="1:22" x14ac:dyDescent="0.35">
      <c r="M30" s="38"/>
      <c r="N30" s="38"/>
      <c r="O30" s="38"/>
      <c r="P30" s="38"/>
      <c r="Q30" s="38"/>
      <c r="R30" s="38"/>
      <c r="S30" s="38"/>
      <c r="T30" s="38"/>
      <c r="U30" s="38"/>
      <c r="V30" s="182"/>
    </row>
    <row r="31" spans="1:22" x14ac:dyDescent="0.35">
      <c r="M31" s="38"/>
      <c r="N31" s="38"/>
      <c r="O31" s="38"/>
      <c r="P31" s="38"/>
      <c r="Q31" s="38"/>
      <c r="R31" s="38"/>
      <c r="S31" s="38"/>
      <c r="T31" s="38"/>
      <c r="U31" s="38"/>
      <c r="V31" s="182"/>
    </row>
    <row r="32" spans="1:22" x14ac:dyDescent="0.35">
      <c r="M32" s="38"/>
      <c r="N32" s="38"/>
      <c r="O32" s="38"/>
      <c r="P32" s="38"/>
      <c r="Q32" s="38"/>
      <c r="R32" s="38"/>
      <c r="S32" s="38"/>
      <c r="T32" s="38"/>
      <c r="U32" s="38"/>
      <c r="V32" s="182"/>
    </row>
    <row r="33" spans="13:22" x14ac:dyDescent="0.35">
      <c r="M33" s="38"/>
      <c r="N33" s="38"/>
      <c r="O33" s="38"/>
      <c r="P33" s="38"/>
      <c r="Q33" s="38"/>
      <c r="R33" s="38"/>
      <c r="S33" s="38"/>
      <c r="T33" s="38"/>
      <c r="U33" s="38"/>
      <c r="V33" s="182"/>
    </row>
    <row r="34" spans="13:22" x14ac:dyDescent="0.35">
      <c r="M34" s="38"/>
      <c r="N34" s="38"/>
      <c r="O34" s="38"/>
      <c r="P34" s="38"/>
      <c r="Q34" s="38"/>
      <c r="R34" s="38"/>
      <c r="S34" s="38"/>
      <c r="T34" s="38"/>
      <c r="U34" s="38"/>
      <c r="V34" s="182"/>
    </row>
    <row r="35" spans="13:22" x14ac:dyDescent="0.35">
      <c r="M35" s="38"/>
      <c r="N35" s="38"/>
      <c r="O35" s="38"/>
      <c r="P35" s="38"/>
      <c r="Q35" s="38"/>
      <c r="R35" s="38"/>
      <c r="S35" s="38"/>
      <c r="T35" s="38"/>
      <c r="U35" s="38"/>
      <c r="V35" s="182"/>
    </row>
    <row r="36" spans="13:22" x14ac:dyDescent="0.35">
      <c r="M36" s="38"/>
      <c r="N36" s="38"/>
      <c r="O36" s="38"/>
      <c r="P36" s="38"/>
      <c r="Q36" s="38"/>
      <c r="R36" s="38"/>
      <c r="S36" s="38"/>
      <c r="T36" s="38"/>
      <c r="U36" s="38"/>
      <c r="V36" s="182"/>
    </row>
    <row r="37" spans="13:22" x14ac:dyDescent="0.35">
      <c r="M37" s="38"/>
      <c r="N37" s="38"/>
      <c r="O37" s="38"/>
      <c r="P37" s="38"/>
      <c r="Q37" s="38"/>
      <c r="R37" s="38"/>
      <c r="S37" s="38"/>
      <c r="T37" s="38"/>
      <c r="U37" s="38"/>
      <c r="V37" s="182"/>
    </row>
    <row r="38" spans="13:22" x14ac:dyDescent="0.35">
      <c r="M38" s="38"/>
      <c r="N38" s="38"/>
      <c r="O38" s="38"/>
      <c r="P38" s="38"/>
      <c r="Q38" s="38"/>
      <c r="R38" s="38"/>
      <c r="S38" s="38"/>
      <c r="T38" s="38"/>
      <c r="U38" s="38"/>
      <c r="V38" s="182"/>
    </row>
    <row r="39" spans="13:22" x14ac:dyDescent="0.35">
      <c r="M39" s="38"/>
      <c r="N39" s="38"/>
      <c r="O39" s="38"/>
      <c r="P39" s="38"/>
      <c r="Q39" s="38"/>
      <c r="R39" s="38"/>
      <c r="S39" s="38"/>
      <c r="T39" s="38"/>
      <c r="U39" s="38"/>
      <c r="V39" s="182"/>
    </row>
    <row r="40" spans="13:22" x14ac:dyDescent="0.35">
      <c r="M40" s="38"/>
      <c r="N40" s="38"/>
      <c r="O40" s="38"/>
      <c r="P40" s="38"/>
      <c r="Q40" s="38"/>
      <c r="R40" s="38"/>
      <c r="S40" s="38"/>
      <c r="T40" s="38"/>
      <c r="U40" s="38"/>
      <c r="V40" s="182"/>
    </row>
    <row r="41" spans="13:22" x14ac:dyDescent="0.35">
      <c r="M41" s="38"/>
      <c r="N41" s="38"/>
      <c r="O41" s="38"/>
      <c r="P41" s="38"/>
      <c r="Q41" s="38"/>
      <c r="R41" s="38"/>
      <c r="S41" s="38"/>
      <c r="T41" s="38"/>
      <c r="U41" s="38"/>
      <c r="V41" s="182"/>
    </row>
    <row r="42" spans="13:22" x14ac:dyDescent="0.35">
      <c r="M42" s="38"/>
      <c r="N42" s="38"/>
      <c r="O42" s="38"/>
      <c r="P42" s="38"/>
      <c r="Q42" s="38"/>
      <c r="R42" s="38"/>
      <c r="S42" s="38"/>
      <c r="T42" s="38"/>
      <c r="U42" s="38"/>
      <c r="V42" s="182"/>
    </row>
    <row r="43" spans="13:22" x14ac:dyDescent="0.35">
      <c r="M43" s="38"/>
      <c r="N43" s="38"/>
      <c r="O43" s="38"/>
      <c r="P43" s="38"/>
      <c r="Q43" s="38"/>
      <c r="R43" s="38"/>
      <c r="S43" s="38"/>
      <c r="T43" s="38"/>
      <c r="U43" s="38"/>
      <c r="V43" s="182"/>
    </row>
    <row r="44" spans="13:22" x14ac:dyDescent="0.35">
      <c r="M44" s="38"/>
      <c r="N44" s="38"/>
      <c r="O44" s="38"/>
      <c r="P44" s="38"/>
      <c r="Q44" s="38"/>
      <c r="R44" s="38"/>
      <c r="S44" s="38"/>
      <c r="T44" s="38"/>
      <c r="U44" s="38"/>
      <c r="V44" s="18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CK106"/>
  <sheetViews>
    <sheetView workbookViewId="0">
      <selection activeCell="E19" sqref="E19"/>
    </sheetView>
  </sheetViews>
  <sheetFormatPr defaultRowHeight="14.5" x14ac:dyDescent="0.35"/>
  <cols>
    <col min="3" max="3" width="44.1796875" bestFit="1" customWidth="1"/>
    <col min="4" max="4" width="14" bestFit="1" customWidth="1"/>
    <col min="5" max="5" width="13.81640625" bestFit="1" customWidth="1"/>
  </cols>
  <sheetData>
    <row r="2" spans="1:89" x14ac:dyDescent="0.35">
      <c r="E2" s="38"/>
    </row>
    <row r="3" spans="1:89" ht="18.5" x14ac:dyDescent="0.45">
      <c r="E3" s="270" t="s">
        <v>751</v>
      </c>
      <c r="Q3" s="193" t="s">
        <v>728</v>
      </c>
      <c r="R3" s="38"/>
      <c r="S3" s="38"/>
    </row>
    <row r="4" spans="1:89" ht="15.5" x14ac:dyDescent="0.35">
      <c r="A4" s="198" t="s">
        <v>0</v>
      </c>
      <c r="B4" s="198" t="s">
        <v>1</v>
      </c>
      <c r="C4" s="198" t="s">
        <v>2</v>
      </c>
      <c r="D4" s="276" t="s">
        <v>3</v>
      </c>
      <c r="E4" s="198" t="s">
        <v>4</v>
      </c>
      <c r="F4" s="198" t="s">
        <v>5</v>
      </c>
      <c r="G4" s="198" t="s">
        <v>6</v>
      </c>
      <c r="H4" s="198" t="s">
        <v>7</v>
      </c>
      <c r="I4" s="248" t="s">
        <v>661</v>
      </c>
      <c r="J4" s="38"/>
      <c r="K4" s="38"/>
      <c r="M4" s="198" t="s">
        <v>0</v>
      </c>
      <c r="N4" s="198" t="s">
        <v>1</v>
      </c>
      <c r="O4" s="198" t="s">
        <v>2</v>
      </c>
      <c r="P4" s="198" t="s">
        <v>3</v>
      </c>
      <c r="Q4" s="198" t="s">
        <v>4</v>
      </c>
      <c r="R4" s="198" t="s">
        <v>5</v>
      </c>
      <c r="S4" s="198" t="s">
        <v>6</v>
      </c>
      <c r="T4" s="198" t="s">
        <v>7</v>
      </c>
      <c r="U4" s="238" t="s">
        <v>661</v>
      </c>
    </row>
    <row r="5" spans="1:89" ht="18" x14ac:dyDescent="0.4">
      <c r="A5" s="43">
        <v>1</v>
      </c>
      <c r="B5" s="203">
        <v>11358</v>
      </c>
      <c r="C5" s="271" t="s">
        <v>759</v>
      </c>
      <c r="D5" s="194">
        <v>102191147300</v>
      </c>
      <c r="E5" s="134" t="s">
        <v>883</v>
      </c>
      <c r="F5" s="56">
        <v>45744</v>
      </c>
      <c r="G5" s="43" t="s">
        <v>777</v>
      </c>
      <c r="H5" s="43" t="s">
        <v>323</v>
      </c>
      <c r="I5" s="43" t="s">
        <v>859</v>
      </c>
      <c r="J5" s="38"/>
      <c r="K5" s="38"/>
      <c r="M5" s="43">
        <v>1</v>
      </c>
      <c r="N5" s="43">
        <v>11355</v>
      </c>
      <c r="O5" s="52" t="s">
        <v>787</v>
      </c>
      <c r="P5" s="73">
        <v>101988933938</v>
      </c>
      <c r="Q5" s="43">
        <v>5220058327</v>
      </c>
      <c r="R5" s="56">
        <v>45762</v>
      </c>
      <c r="S5" s="43" t="s">
        <v>305</v>
      </c>
      <c r="T5" s="43" t="s">
        <v>559</v>
      </c>
      <c r="U5" s="38"/>
    </row>
    <row r="6" spans="1:89" ht="18" x14ac:dyDescent="0.4">
      <c r="A6" s="43">
        <f>A5+1</f>
        <v>2</v>
      </c>
      <c r="B6" s="52">
        <v>11349</v>
      </c>
      <c r="C6" s="271" t="s">
        <v>792</v>
      </c>
      <c r="D6" s="194">
        <v>102189485471</v>
      </c>
      <c r="E6" s="149">
        <v>5222015630</v>
      </c>
      <c r="F6" s="56">
        <v>45744</v>
      </c>
      <c r="G6" s="43" t="s">
        <v>777</v>
      </c>
      <c r="H6" s="43" t="s">
        <v>323</v>
      </c>
      <c r="I6" s="43"/>
      <c r="J6" s="38"/>
      <c r="K6" s="38"/>
      <c r="M6" s="43">
        <v>2</v>
      </c>
      <c r="N6" s="43">
        <v>11359</v>
      </c>
      <c r="O6" s="203" t="s">
        <v>793</v>
      </c>
      <c r="P6" s="264">
        <v>101567643354</v>
      </c>
      <c r="Q6" s="17">
        <v>5221989598</v>
      </c>
      <c r="R6" s="56">
        <v>45746</v>
      </c>
      <c r="S6" s="43" t="s">
        <v>305</v>
      </c>
      <c r="T6" s="43" t="s">
        <v>559</v>
      </c>
      <c r="U6" s="38"/>
    </row>
    <row r="7" spans="1:89" ht="18" x14ac:dyDescent="0.4">
      <c r="A7" s="43" t="e">
        <f>#N/A</f>
        <v>#N/A</v>
      </c>
      <c r="B7" s="52">
        <v>11348</v>
      </c>
      <c r="C7" s="271" t="s">
        <v>791</v>
      </c>
      <c r="D7" s="194">
        <v>102189472978</v>
      </c>
      <c r="E7" s="17">
        <v>5221987568</v>
      </c>
      <c r="F7" s="56">
        <v>45740</v>
      </c>
      <c r="G7" s="43" t="s">
        <v>775</v>
      </c>
      <c r="H7" s="43" t="s">
        <v>776</v>
      </c>
      <c r="I7" s="43"/>
      <c r="J7" s="38"/>
      <c r="K7" s="38"/>
      <c r="M7" s="43">
        <v>3</v>
      </c>
      <c r="N7" s="203">
        <v>11360</v>
      </c>
      <c r="O7" s="203" t="s">
        <v>794</v>
      </c>
      <c r="P7" s="195">
        <v>101443875444</v>
      </c>
      <c r="Q7" s="17">
        <v>5221989451</v>
      </c>
      <c r="R7" s="56">
        <v>45754</v>
      </c>
      <c r="S7" s="43" t="s">
        <v>117</v>
      </c>
      <c r="T7" s="43" t="s">
        <v>559</v>
      </c>
      <c r="U7" s="38"/>
    </row>
    <row r="8" spans="1:89" ht="18" x14ac:dyDescent="0.4">
      <c r="A8" s="43" t="e">
        <f>#N/A</f>
        <v>#N/A</v>
      </c>
      <c r="B8" s="196">
        <v>11357</v>
      </c>
      <c r="C8" s="271" t="s">
        <v>760</v>
      </c>
      <c r="D8" s="194">
        <v>102191109765</v>
      </c>
      <c r="E8" s="17" t="s">
        <v>798</v>
      </c>
      <c r="F8" s="56">
        <v>45755</v>
      </c>
      <c r="G8" s="43" t="s">
        <v>789</v>
      </c>
      <c r="H8" s="43" t="s">
        <v>790</v>
      </c>
      <c r="I8" s="43"/>
      <c r="J8" s="38"/>
      <c r="K8" s="38"/>
      <c r="M8" s="52">
        <v>4</v>
      </c>
      <c r="N8" s="196">
        <v>11361</v>
      </c>
      <c r="O8" s="196" t="s">
        <v>795</v>
      </c>
      <c r="P8" s="194">
        <v>102191353911</v>
      </c>
      <c r="Q8" s="17" t="s">
        <v>861</v>
      </c>
      <c r="R8" s="56">
        <v>45754</v>
      </c>
      <c r="S8" s="43" t="s">
        <v>706</v>
      </c>
      <c r="T8" s="43" t="s">
        <v>559</v>
      </c>
      <c r="U8" s="38"/>
    </row>
    <row r="9" spans="1:89" ht="18" x14ac:dyDescent="0.4">
      <c r="A9" s="146" t="e">
        <f>#N/A</f>
        <v>#N/A</v>
      </c>
      <c r="B9" s="277">
        <v>11351</v>
      </c>
      <c r="C9" s="272" t="s">
        <v>762</v>
      </c>
      <c r="D9" s="278">
        <v>101878254820</v>
      </c>
      <c r="E9" s="279">
        <v>5221521016</v>
      </c>
      <c r="F9" s="147">
        <v>45748</v>
      </c>
      <c r="G9" s="146" t="s">
        <v>777</v>
      </c>
      <c r="H9" s="146" t="s">
        <v>784</v>
      </c>
      <c r="I9" s="146"/>
      <c r="J9" s="255"/>
      <c r="K9" s="255"/>
      <c r="L9" s="245"/>
      <c r="M9" s="249">
        <v>6</v>
      </c>
      <c r="N9" s="196">
        <v>11363</v>
      </c>
      <c r="O9" s="196" t="s">
        <v>797</v>
      </c>
      <c r="P9" s="265">
        <v>101748072632</v>
      </c>
      <c r="Q9" s="249" t="s">
        <v>366</v>
      </c>
      <c r="R9" s="251">
        <v>45763</v>
      </c>
      <c r="S9" s="249" t="s">
        <v>588</v>
      </c>
      <c r="T9" s="249" t="s">
        <v>543</v>
      </c>
      <c r="U9" s="246"/>
      <c r="V9" s="245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  <c r="AZ9" s="245"/>
      <c r="BA9" s="245"/>
      <c r="BB9" s="245"/>
      <c r="BC9" s="245"/>
      <c r="BD9" s="245"/>
      <c r="BE9" s="245"/>
      <c r="BF9" s="245"/>
      <c r="BG9" s="245"/>
      <c r="BH9" s="245"/>
      <c r="BI9" s="245"/>
      <c r="BJ9" s="245"/>
      <c r="BK9" s="245"/>
      <c r="BL9" s="245"/>
      <c r="BM9" s="245"/>
      <c r="BN9" s="245"/>
      <c r="BO9" s="245"/>
      <c r="BP9" s="245"/>
      <c r="BQ9" s="245"/>
      <c r="BR9" s="245"/>
      <c r="BS9" s="245"/>
      <c r="BT9" s="245"/>
      <c r="BU9" s="245"/>
      <c r="BV9" s="245"/>
      <c r="BW9" s="245"/>
      <c r="BX9" s="245"/>
      <c r="BY9" s="245"/>
      <c r="BZ9" s="245"/>
      <c r="CA9" s="245"/>
      <c r="CB9" s="245"/>
      <c r="CC9" s="245"/>
      <c r="CD9" s="245"/>
      <c r="CE9" s="245"/>
      <c r="CF9" s="245"/>
      <c r="CG9" s="245"/>
      <c r="CH9" s="245"/>
      <c r="CI9" s="245"/>
      <c r="CJ9" s="245"/>
      <c r="CK9" s="245"/>
    </row>
    <row r="10" spans="1:89" ht="18" x14ac:dyDescent="0.4">
      <c r="A10" s="43" t="e">
        <f>#N/A</f>
        <v>#N/A</v>
      </c>
      <c r="B10" s="43"/>
      <c r="C10" s="271" t="s">
        <v>763</v>
      </c>
      <c r="D10" s="43" t="s">
        <v>884</v>
      </c>
      <c r="E10" s="134">
        <v>5222017376</v>
      </c>
      <c r="F10" s="147">
        <v>45749</v>
      </c>
      <c r="G10" s="146" t="s">
        <v>777</v>
      </c>
      <c r="H10" s="43"/>
      <c r="I10" s="43"/>
      <c r="J10" s="255"/>
      <c r="K10" s="255"/>
      <c r="L10" s="245"/>
      <c r="M10" s="249">
        <v>7</v>
      </c>
      <c r="N10" s="203">
        <v>11390</v>
      </c>
      <c r="O10" s="203" t="s">
        <v>855</v>
      </c>
      <c r="P10" s="195">
        <v>101425005944</v>
      </c>
      <c r="Q10" s="249" t="s">
        <v>37</v>
      </c>
      <c r="R10" s="251">
        <v>45754</v>
      </c>
      <c r="S10" s="249" t="s">
        <v>339</v>
      </c>
      <c r="T10" s="249" t="s">
        <v>803</v>
      </c>
      <c r="U10" s="246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  <c r="BX10" s="245"/>
      <c r="BY10" s="245"/>
      <c r="BZ10" s="245"/>
      <c r="CA10" s="245"/>
      <c r="CB10" s="245"/>
      <c r="CC10" s="245"/>
      <c r="CD10" s="245"/>
      <c r="CE10" s="245"/>
      <c r="CF10" s="245"/>
      <c r="CG10" s="245"/>
      <c r="CH10" s="245"/>
      <c r="CI10" s="245"/>
      <c r="CJ10" s="245"/>
      <c r="CK10" s="245"/>
    </row>
    <row r="11" spans="1:89" ht="18" x14ac:dyDescent="0.4">
      <c r="A11" s="43" t="e">
        <f>#N/A</f>
        <v>#N/A</v>
      </c>
      <c r="B11" s="196">
        <v>11347</v>
      </c>
      <c r="C11" s="271" t="s">
        <v>765</v>
      </c>
      <c r="D11" s="195">
        <v>102189403941</v>
      </c>
      <c r="E11" s="17">
        <v>5221941894</v>
      </c>
      <c r="F11" s="56">
        <v>45748</v>
      </c>
      <c r="G11" s="43" t="s">
        <v>750</v>
      </c>
      <c r="H11" s="43" t="s">
        <v>197</v>
      </c>
      <c r="I11" s="43"/>
      <c r="J11" s="255"/>
      <c r="K11" s="255"/>
      <c r="L11" s="245"/>
      <c r="M11" s="249">
        <v>9</v>
      </c>
      <c r="N11" s="249">
        <v>11413</v>
      </c>
      <c r="O11" s="249" t="s">
        <v>860</v>
      </c>
      <c r="P11" s="282">
        <v>102121475507</v>
      </c>
      <c r="Q11" s="207">
        <v>5221442241</v>
      </c>
      <c r="R11" s="251">
        <v>45754</v>
      </c>
      <c r="S11" s="43" t="s">
        <v>706</v>
      </c>
      <c r="T11" s="146" t="s">
        <v>559</v>
      </c>
      <c r="U11" s="246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  <c r="CB11" s="245"/>
      <c r="CC11" s="245"/>
      <c r="CD11" s="245"/>
      <c r="CE11" s="245"/>
      <c r="CF11" s="245"/>
      <c r="CG11" s="245"/>
      <c r="CH11" s="245"/>
      <c r="CI11" s="245"/>
      <c r="CJ11" s="245"/>
      <c r="CK11" s="245"/>
    </row>
    <row r="12" spans="1:89" ht="18.5" x14ac:dyDescent="0.45">
      <c r="A12" s="43" t="e">
        <f>#N/A</f>
        <v>#N/A</v>
      </c>
      <c r="B12" s="196">
        <v>11346</v>
      </c>
      <c r="C12" s="271" t="s">
        <v>766</v>
      </c>
      <c r="D12" s="195">
        <v>101882269712</v>
      </c>
      <c r="E12" s="190">
        <v>5219029763</v>
      </c>
      <c r="F12" s="56">
        <v>45748</v>
      </c>
      <c r="G12" s="146" t="s">
        <v>777</v>
      </c>
      <c r="H12" s="66" t="s">
        <v>774</v>
      </c>
      <c r="I12" s="43"/>
      <c r="J12" s="255"/>
      <c r="K12" s="255"/>
      <c r="L12" s="245"/>
      <c r="M12" s="249">
        <v>10</v>
      </c>
      <c r="N12" s="203">
        <v>10669</v>
      </c>
      <c r="O12" s="203" t="s">
        <v>862</v>
      </c>
      <c r="P12" s="195">
        <v>100984842560</v>
      </c>
      <c r="Q12" s="207">
        <v>5212789847</v>
      </c>
      <c r="R12" s="251">
        <v>45761</v>
      </c>
      <c r="S12" s="249" t="s">
        <v>710</v>
      </c>
      <c r="T12" s="249" t="s">
        <v>863</v>
      </c>
      <c r="U12" s="246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5"/>
      <c r="CE12" s="245"/>
      <c r="CF12" s="245"/>
      <c r="CG12" s="245"/>
      <c r="CH12" s="245"/>
      <c r="CI12" s="245"/>
      <c r="CJ12" s="245"/>
      <c r="CK12" s="245"/>
    </row>
    <row r="13" spans="1:89" ht="18" x14ac:dyDescent="0.4">
      <c r="A13" s="43" t="e">
        <f>#N/A</f>
        <v>#N/A</v>
      </c>
      <c r="B13" s="196">
        <v>11388</v>
      </c>
      <c r="C13" s="271" t="s">
        <v>767</v>
      </c>
      <c r="D13" s="195">
        <v>101831423230</v>
      </c>
      <c r="E13" s="17">
        <v>7343163747</v>
      </c>
      <c r="F13" s="56">
        <v>45775</v>
      </c>
      <c r="G13" s="43" t="s">
        <v>750</v>
      </c>
      <c r="H13" s="43"/>
      <c r="I13" s="43"/>
      <c r="J13" s="255"/>
      <c r="K13" s="255"/>
      <c r="L13" s="245"/>
      <c r="M13" s="249">
        <v>11</v>
      </c>
      <c r="N13" s="203">
        <v>11401</v>
      </c>
      <c r="O13" s="203" t="s">
        <v>864</v>
      </c>
      <c r="P13" s="195">
        <v>101934941635</v>
      </c>
      <c r="Q13" s="207" t="s">
        <v>866</v>
      </c>
      <c r="R13" s="251">
        <v>45765</v>
      </c>
      <c r="S13" s="249" t="s">
        <v>401</v>
      </c>
      <c r="T13" s="249" t="s">
        <v>865</v>
      </c>
      <c r="U13" s="246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</row>
    <row r="14" spans="1:89" s="267" customFormat="1" ht="18" x14ac:dyDescent="0.4">
      <c r="A14" s="146" t="e">
        <f>#N/A</f>
        <v>#N/A</v>
      </c>
      <c r="B14" s="266">
        <v>11154</v>
      </c>
      <c r="C14" s="272" t="s">
        <v>770</v>
      </c>
      <c r="D14" s="281">
        <v>101621637728</v>
      </c>
      <c r="E14" s="146" t="s">
        <v>327</v>
      </c>
      <c r="F14" s="147">
        <v>45770</v>
      </c>
      <c r="G14" s="146" t="s">
        <v>877</v>
      </c>
      <c r="H14" s="266" t="s">
        <v>885</v>
      </c>
      <c r="I14" s="266"/>
      <c r="J14" s="268"/>
      <c r="K14" s="268"/>
      <c r="M14" s="146">
        <v>14</v>
      </c>
      <c r="N14" s="280">
        <v>11405</v>
      </c>
      <c r="O14" s="269" t="s">
        <v>871</v>
      </c>
      <c r="P14" s="152">
        <v>101749300834</v>
      </c>
      <c r="Q14" s="65">
        <v>5222199109</v>
      </c>
      <c r="R14" s="147">
        <v>45768</v>
      </c>
      <c r="S14" s="244" t="s">
        <v>872</v>
      </c>
      <c r="T14" s="146" t="s">
        <v>867</v>
      </c>
      <c r="U14" s="268"/>
    </row>
    <row r="15" spans="1:89" ht="18" x14ac:dyDescent="0.4">
      <c r="A15" s="43" t="e">
        <f>#N/A</f>
        <v>#N/A</v>
      </c>
      <c r="B15" s="52">
        <v>11350</v>
      </c>
      <c r="C15" s="271" t="s">
        <v>771</v>
      </c>
      <c r="D15" s="73">
        <v>101745131621</v>
      </c>
      <c r="E15" s="43">
        <v>5220696966</v>
      </c>
      <c r="F15" s="56">
        <v>45763</v>
      </c>
      <c r="G15" s="43" t="s">
        <v>722</v>
      </c>
      <c r="H15" s="43" t="s">
        <v>780</v>
      </c>
      <c r="I15" s="43"/>
      <c r="J15" s="38"/>
      <c r="K15" s="38"/>
      <c r="M15" s="43">
        <v>15</v>
      </c>
      <c r="N15" s="43">
        <v>11406</v>
      </c>
      <c r="O15" s="203" t="s">
        <v>873</v>
      </c>
      <c r="P15" s="195">
        <v>102194110132</v>
      </c>
      <c r="Q15" s="65">
        <v>5222021268</v>
      </c>
      <c r="R15" s="56">
        <v>45771</v>
      </c>
      <c r="S15" s="38" t="s">
        <v>872</v>
      </c>
      <c r="T15" s="146" t="s">
        <v>867</v>
      </c>
      <c r="U15" s="38"/>
    </row>
    <row r="16" spans="1:89" ht="15.5" x14ac:dyDescent="0.35">
      <c r="A16" s="43" t="e">
        <f>#N/A</f>
        <v>#N/A</v>
      </c>
      <c r="B16" s="196">
        <v>11353</v>
      </c>
      <c r="C16" s="271" t="s">
        <v>772</v>
      </c>
      <c r="D16" s="194">
        <v>102119788595</v>
      </c>
      <c r="E16" s="43"/>
      <c r="F16" s="56">
        <v>45764</v>
      </c>
      <c r="G16" s="146" t="s">
        <v>777</v>
      </c>
      <c r="H16" s="43"/>
      <c r="I16" s="43"/>
      <c r="J16" s="38"/>
      <c r="K16" s="38"/>
      <c r="M16" s="43">
        <v>16</v>
      </c>
      <c r="N16" s="43">
        <v>11409</v>
      </c>
      <c r="O16" s="203" t="s">
        <v>876</v>
      </c>
      <c r="P16" s="195">
        <v>102124327752</v>
      </c>
      <c r="Q16" s="190">
        <v>5221316924</v>
      </c>
      <c r="R16" s="56">
        <v>45748</v>
      </c>
      <c r="S16" s="38" t="s">
        <v>647</v>
      </c>
      <c r="T16" s="146" t="s">
        <v>867</v>
      </c>
      <c r="U16" s="38"/>
    </row>
    <row r="17" spans="1:21" ht="18" x14ac:dyDescent="0.4">
      <c r="A17" s="43" t="e">
        <f>#N/A</f>
        <v>#N/A</v>
      </c>
      <c r="B17" s="196">
        <v>11352</v>
      </c>
      <c r="C17" s="271" t="s">
        <v>773</v>
      </c>
      <c r="D17" s="195">
        <v>102190657254</v>
      </c>
      <c r="E17" s="17">
        <v>5221961508</v>
      </c>
      <c r="F17" s="56">
        <v>45765</v>
      </c>
      <c r="G17" s="43" t="s">
        <v>750</v>
      </c>
      <c r="H17" s="43" t="s">
        <v>197</v>
      </c>
      <c r="I17" s="43"/>
      <c r="J17" s="38"/>
      <c r="K17" s="38"/>
      <c r="M17" s="43">
        <v>17</v>
      </c>
      <c r="N17" s="221">
        <v>11412</v>
      </c>
      <c r="O17" s="43" t="s">
        <v>886</v>
      </c>
      <c r="P17" s="214">
        <v>101186791823</v>
      </c>
      <c r="Q17" s="149" t="s">
        <v>890</v>
      </c>
      <c r="R17" s="56">
        <v>45763</v>
      </c>
      <c r="S17" s="38" t="s">
        <v>401</v>
      </c>
      <c r="T17" s="146" t="s">
        <v>867</v>
      </c>
      <c r="U17" s="38"/>
    </row>
    <row r="18" spans="1:21" ht="18.5" x14ac:dyDescent="0.45">
      <c r="A18" s="43" t="e">
        <f>#N/A</f>
        <v>#N/A</v>
      </c>
      <c r="B18" s="66">
        <v>10788</v>
      </c>
      <c r="C18" s="271" t="s">
        <v>781</v>
      </c>
      <c r="D18" s="73">
        <v>102039287756</v>
      </c>
      <c r="E18" s="17" t="s">
        <v>782</v>
      </c>
      <c r="F18" s="56">
        <v>45768</v>
      </c>
      <c r="G18" s="146" t="s">
        <v>777</v>
      </c>
      <c r="H18" s="43" t="s">
        <v>783</v>
      </c>
      <c r="I18" s="43"/>
      <c r="J18" s="38"/>
      <c r="K18" s="38"/>
      <c r="M18" s="43">
        <v>18</v>
      </c>
      <c r="N18" s="43">
        <v>10303</v>
      </c>
      <c r="O18" s="43" t="s">
        <v>888</v>
      </c>
      <c r="P18" s="38"/>
      <c r="Q18" s="283" t="s">
        <v>887</v>
      </c>
      <c r="R18" s="38"/>
      <c r="S18" s="38"/>
      <c r="T18" s="38"/>
      <c r="U18" s="38"/>
    </row>
    <row r="19" spans="1:21" ht="18" x14ac:dyDescent="0.4">
      <c r="A19" s="43" t="e">
        <f>#N/A</f>
        <v>#N/A</v>
      </c>
      <c r="B19" s="196">
        <v>11354</v>
      </c>
      <c r="C19" s="75" t="s">
        <v>785</v>
      </c>
      <c r="D19" s="194">
        <v>102190804913</v>
      </c>
      <c r="E19" s="17">
        <v>5221964020</v>
      </c>
      <c r="F19" s="56">
        <v>45770</v>
      </c>
      <c r="G19" s="146" t="s">
        <v>777</v>
      </c>
      <c r="H19" s="43" t="s">
        <v>786</v>
      </c>
      <c r="I19" s="43"/>
      <c r="J19" s="38"/>
      <c r="K19" s="38"/>
      <c r="M19" s="43">
        <v>19</v>
      </c>
      <c r="N19" s="38"/>
      <c r="O19" s="43" t="s">
        <v>889</v>
      </c>
      <c r="P19" s="38"/>
      <c r="Q19" s="284">
        <v>5220859153</v>
      </c>
      <c r="R19" s="38"/>
      <c r="S19" s="38"/>
      <c r="T19" s="38"/>
      <c r="U19" s="38"/>
    </row>
    <row r="20" spans="1:21" ht="15.5" x14ac:dyDescent="0.35">
      <c r="A20" s="43" t="e">
        <f>#N/A</f>
        <v>#N/A</v>
      </c>
      <c r="B20" s="196">
        <v>11356</v>
      </c>
      <c r="C20" s="271" t="s">
        <v>788</v>
      </c>
      <c r="D20" s="194">
        <v>102191103036</v>
      </c>
      <c r="E20" s="43"/>
      <c r="F20" s="56">
        <v>45771</v>
      </c>
      <c r="G20" s="146" t="s">
        <v>777</v>
      </c>
      <c r="H20" s="43"/>
      <c r="I20" s="43"/>
      <c r="J20" s="38"/>
      <c r="K20" s="38"/>
      <c r="M20" s="43">
        <v>20</v>
      </c>
      <c r="N20" s="221">
        <v>11414</v>
      </c>
      <c r="O20" s="43" t="s">
        <v>891</v>
      </c>
      <c r="P20" s="195">
        <v>101229024173</v>
      </c>
      <c r="Q20" s="183">
        <v>5222048497</v>
      </c>
      <c r="R20" s="56">
        <v>45769</v>
      </c>
      <c r="S20" s="38" t="s">
        <v>169</v>
      </c>
      <c r="T20" s="146" t="s">
        <v>867</v>
      </c>
      <c r="U20" s="38"/>
    </row>
    <row r="21" spans="1:21" ht="18" x14ac:dyDescent="0.4">
      <c r="A21" s="43" t="e">
        <f>#N/A</f>
        <v>#N/A</v>
      </c>
      <c r="B21" s="196">
        <v>11364</v>
      </c>
      <c r="C21" s="271" t="s">
        <v>799</v>
      </c>
      <c r="D21" s="195">
        <v>100589999083</v>
      </c>
      <c r="E21" s="43" t="s">
        <v>327</v>
      </c>
      <c r="F21" s="56">
        <v>45748</v>
      </c>
      <c r="G21" s="43" t="s">
        <v>777</v>
      </c>
      <c r="H21" s="43" t="s">
        <v>800</v>
      </c>
      <c r="I21" s="38"/>
      <c r="J21" s="38"/>
      <c r="K21" s="38"/>
      <c r="M21" s="43">
        <v>21</v>
      </c>
      <c r="N21" s="203">
        <v>11404</v>
      </c>
      <c r="O21" s="43" t="s">
        <v>892</v>
      </c>
      <c r="P21" s="195">
        <v>102175529496</v>
      </c>
      <c r="Q21" s="134">
        <v>5221670456</v>
      </c>
      <c r="R21" s="38"/>
      <c r="S21" s="38"/>
      <c r="T21" s="38"/>
      <c r="U21" s="38"/>
    </row>
    <row r="22" spans="1:21" ht="15.5" x14ac:dyDescent="0.35">
      <c r="A22" s="43" t="e">
        <f>#N/A</f>
        <v>#N/A</v>
      </c>
      <c r="B22" s="52">
        <v>11365</v>
      </c>
      <c r="C22" s="143" t="s">
        <v>801</v>
      </c>
      <c r="D22" s="195">
        <v>101294830082</v>
      </c>
      <c r="E22" s="43" t="s">
        <v>327</v>
      </c>
      <c r="F22" s="56">
        <v>45748</v>
      </c>
      <c r="G22" s="43" t="s">
        <v>777</v>
      </c>
      <c r="H22" s="43" t="s">
        <v>803</v>
      </c>
      <c r="I22" s="38"/>
      <c r="J22" s="38"/>
      <c r="K22" s="38"/>
      <c r="M22" s="38"/>
      <c r="N22" s="38"/>
      <c r="O22" s="38"/>
      <c r="P22" s="38"/>
      <c r="Q22" s="38"/>
      <c r="R22" s="38"/>
      <c r="S22" s="38"/>
      <c r="T22" s="38"/>
      <c r="U22" s="38"/>
    </row>
    <row r="23" spans="1:21" ht="15.5" x14ac:dyDescent="0.35">
      <c r="A23" s="43" t="e">
        <f>#N/A</f>
        <v>#N/A</v>
      </c>
      <c r="B23" s="196">
        <v>11366</v>
      </c>
      <c r="C23" s="75" t="s">
        <v>802</v>
      </c>
      <c r="D23" s="195">
        <v>101636813753</v>
      </c>
      <c r="E23" s="43" t="s">
        <v>327</v>
      </c>
      <c r="F23" s="56">
        <v>45748</v>
      </c>
      <c r="G23" s="43" t="s">
        <v>777</v>
      </c>
      <c r="H23" s="43" t="s">
        <v>803</v>
      </c>
      <c r="I23" s="38"/>
      <c r="J23" s="38"/>
      <c r="K23" s="38"/>
      <c r="M23" s="38"/>
      <c r="N23" s="38"/>
      <c r="O23" s="38"/>
      <c r="P23" s="38"/>
      <c r="Q23" s="38"/>
      <c r="R23" s="38"/>
      <c r="S23" s="38"/>
      <c r="T23" s="38"/>
      <c r="U23" s="38"/>
    </row>
    <row r="24" spans="1:21" ht="15.5" x14ac:dyDescent="0.35">
      <c r="A24" s="43" t="e">
        <f>#N/A</f>
        <v>#N/A</v>
      </c>
      <c r="B24" s="196">
        <v>11367</v>
      </c>
      <c r="C24" s="143" t="s">
        <v>804</v>
      </c>
      <c r="D24" s="195">
        <v>101069502495</v>
      </c>
      <c r="E24" s="43" t="s">
        <v>327</v>
      </c>
      <c r="F24" s="56">
        <v>45748</v>
      </c>
      <c r="G24" s="43" t="s">
        <v>777</v>
      </c>
      <c r="H24" s="43" t="s">
        <v>803</v>
      </c>
      <c r="I24" s="38"/>
      <c r="J24" s="38"/>
      <c r="K24" s="38"/>
      <c r="M24" s="38"/>
      <c r="N24" s="38"/>
      <c r="O24" s="38"/>
      <c r="P24" s="38"/>
      <c r="Q24" s="38"/>
      <c r="R24" s="38"/>
      <c r="S24" s="38"/>
      <c r="T24" s="38"/>
      <c r="U24" s="38"/>
    </row>
    <row r="25" spans="1:21" ht="15.5" x14ac:dyDescent="0.35">
      <c r="A25" s="43" t="e">
        <f>#N/A</f>
        <v>#N/A</v>
      </c>
      <c r="B25" s="196">
        <v>11368</v>
      </c>
      <c r="C25" s="143" t="s">
        <v>805</v>
      </c>
      <c r="D25" s="195">
        <v>101834555853</v>
      </c>
      <c r="E25" s="180" t="s">
        <v>882</v>
      </c>
      <c r="F25" s="56">
        <v>45748</v>
      </c>
      <c r="G25" s="43" t="s">
        <v>777</v>
      </c>
      <c r="H25" s="43" t="s">
        <v>323</v>
      </c>
      <c r="I25" s="38"/>
      <c r="J25" s="38"/>
      <c r="K25" s="38"/>
      <c r="M25" s="38"/>
      <c r="N25" s="38"/>
      <c r="O25" s="38"/>
      <c r="P25" s="38"/>
      <c r="Q25" s="38"/>
      <c r="R25" s="38"/>
      <c r="S25" s="38"/>
      <c r="T25" s="38"/>
      <c r="U25" s="38"/>
    </row>
    <row r="26" spans="1:21" ht="15.5" x14ac:dyDescent="0.35">
      <c r="A26" s="43" t="e">
        <f>#N/A</f>
        <v>#N/A</v>
      </c>
      <c r="B26" s="196">
        <v>11369</v>
      </c>
      <c r="C26" s="75" t="s">
        <v>806</v>
      </c>
      <c r="D26" s="194">
        <v>102160027945</v>
      </c>
      <c r="E26" s="190">
        <v>5221668787</v>
      </c>
      <c r="F26" s="56">
        <v>45748</v>
      </c>
      <c r="G26" s="43" t="s">
        <v>777</v>
      </c>
      <c r="H26" s="43" t="s">
        <v>323</v>
      </c>
      <c r="I26" s="38"/>
      <c r="J26" s="38"/>
      <c r="K26" s="38"/>
    </row>
    <row r="27" spans="1:21" ht="15.5" x14ac:dyDescent="0.35">
      <c r="A27" s="43" t="e">
        <f>#N/A</f>
        <v>#N/A</v>
      </c>
      <c r="B27" s="196">
        <v>11370</v>
      </c>
      <c r="C27" s="143" t="s">
        <v>807</v>
      </c>
      <c r="D27" s="195">
        <v>100678483239</v>
      </c>
      <c r="E27" s="190" t="s">
        <v>830</v>
      </c>
      <c r="F27" s="56">
        <v>45748</v>
      </c>
      <c r="G27" s="43" t="s">
        <v>777</v>
      </c>
      <c r="H27" s="43" t="s">
        <v>323</v>
      </c>
      <c r="I27" s="38"/>
      <c r="J27" s="38"/>
      <c r="K27" s="38"/>
    </row>
    <row r="28" spans="1:21" ht="15.5" x14ac:dyDescent="0.35">
      <c r="A28" s="43" t="e">
        <f>#N/A</f>
        <v>#N/A</v>
      </c>
      <c r="B28" s="252">
        <v>11371</v>
      </c>
      <c r="C28" s="75" t="s">
        <v>808</v>
      </c>
      <c r="D28" s="194">
        <v>101866887713</v>
      </c>
      <c r="E28" s="190">
        <v>5218905447</v>
      </c>
      <c r="F28" s="56">
        <v>45748</v>
      </c>
      <c r="G28" s="43" t="s">
        <v>777</v>
      </c>
      <c r="H28" s="43" t="s">
        <v>323</v>
      </c>
      <c r="I28" s="38"/>
      <c r="J28" s="38"/>
      <c r="K28" s="38"/>
    </row>
    <row r="29" spans="1:21" ht="18" x14ac:dyDescent="0.4">
      <c r="A29" s="43" t="e">
        <f>#N/A</f>
        <v>#N/A</v>
      </c>
      <c r="B29" s="196">
        <v>11372</v>
      </c>
      <c r="C29" s="75" t="s">
        <v>809</v>
      </c>
      <c r="D29" s="194">
        <v>102040868041</v>
      </c>
      <c r="E29" s="17">
        <v>5221987684</v>
      </c>
      <c r="F29" s="74">
        <v>45748</v>
      </c>
      <c r="G29" s="52" t="s">
        <v>777</v>
      </c>
      <c r="H29" s="52" t="s">
        <v>323</v>
      </c>
      <c r="I29" s="38"/>
      <c r="J29" s="38"/>
      <c r="K29" s="38"/>
    </row>
    <row r="30" spans="1:21" ht="15.5" x14ac:dyDescent="0.35">
      <c r="A30" s="43" t="e">
        <f>#N/A</f>
        <v>#N/A</v>
      </c>
      <c r="B30" s="196">
        <v>11373</v>
      </c>
      <c r="C30" s="75" t="s">
        <v>810</v>
      </c>
      <c r="D30" s="194">
        <v>101439083210</v>
      </c>
      <c r="E30" s="190" t="s">
        <v>831</v>
      </c>
      <c r="F30" s="74">
        <v>45748</v>
      </c>
      <c r="G30" s="52" t="s">
        <v>777</v>
      </c>
      <c r="H30" s="52" t="s">
        <v>323</v>
      </c>
      <c r="I30" s="38"/>
      <c r="J30" s="38"/>
      <c r="K30" s="38"/>
    </row>
    <row r="31" spans="1:21" ht="15.5" x14ac:dyDescent="0.35">
      <c r="A31" s="43" t="e">
        <f>#N/A</f>
        <v>#N/A</v>
      </c>
      <c r="B31" s="196">
        <v>11374</v>
      </c>
      <c r="C31" s="75" t="s">
        <v>811</v>
      </c>
      <c r="D31" s="194">
        <v>101833783524</v>
      </c>
      <c r="E31" s="43" t="s">
        <v>37</v>
      </c>
      <c r="F31" s="74">
        <v>45748</v>
      </c>
      <c r="G31" s="52" t="s">
        <v>777</v>
      </c>
      <c r="H31" s="52" t="s">
        <v>780</v>
      </c>
      <c r="I31" s="38"/>
      <c r="J31" s="38"/>
      <c r="K31" s="38"/>
    </row>
    <row r="32" spans="1:21" ht="15.5" x14ac:dyDescent="0.35">
      <c r="A32" s="43" t="e">
        <f>#N/A</f>
        <v>#N/A</v>
      </c>
      <c r="B32" s="196">
        <v>11375</v>
      </c>
      <c r="C32" s="75" t="s">
        <v>812</v>
      </c>
      <c r="D32" s="194">
        <v>102045678618</v>
      </c>
      <c r="E32" s="190">
        <v>6210149248</v>
      </c>
      <c r="F32" s="74">
        <v>45748</v>
      </c>
      <c r="G32" s="52" t="s">
        <v>777</v>
      </c>
      <c r="H32" s="52" t="s">
        <v>323</v>
      </c>
      <c r="I32" s="38"/>
      <c r="J32" s="38"/>
      <c r="K32" s="38"/>
    </row>
    <row r="33" spans="1:11" ht="15.5" x14ac:dyDescent="0.35">
      <c r="A33" s="43" t="e">
        <f>#N/A</f>
        <v>#N/A</v>
      </c>
      <c r="B33" s="196">
        <v>11376</v>
      </c>
      <c r="C33" s="143" t="s">
        <v>813</v>
      </c>
      <c r="D33" s="195">
        <v>101805102703</v>
      </c>
      <c r="E33" s="43" t="s">
        <v>881</v>
      </c>
      <c r="F33" s="74">
        <v>45748</v>
      </c>
      <c r="G33" s="52" t="s">
        <v>777</v>
      </c>
      <c r="H33" s="52" t="s">
        <v>814</v>
      </c>
      <c r="I33" s="38"/>
      <c r="J33" s="38"/>
      <c r="K33" s="38"/>
    </row>
    <row r="34" spans="1:11" ht="15.5" x14ac:dyDescent="0.35">
      <c r="A34" s="43" t="e">
        <f>#N/A</f>
        <v>#N/A</v>
      </c>
      <c r="B34" s="52">
        <v>11377</v>
      </c>
      <c r="C34" s="274" t="s">
        <v>815</v>
      </c>
      <c r="D34" s="195">
        <v>101471889153</v>
      </c>
      <c r="E34" s="190">
        <v>5218625292</v>
      </c>
      <c r="F34" s="74">
        <v>45748</v>
      </c>
      <c r="G34" s="52" t="s">
        <v>777</v>
      </c>
      <c r="H34" s="52" t="s">
        <v>814</v>
      </c>
      <c r="I34" s="38"/>
      <c r="J34" s="38"/>
      <c r="K34" s="38"/>
    </row>
    <row r="35" spans="1:11" ht="15.5" x14ac:dyDescent="0.35">
      <c r="A35" s="43" t="e">
        <f>#N/A</f>
        <v>#N/A</v>
      </c>
      <c r="B35" s="196">
        <v>11378</v>
      </c>
      <c r="C35" s="143" t="s">
        <v>816</v>
      </c>
      <c r="D35" s="195">
        <v>101919859580</v>
      </c>
      <c r="E35" s="180">
        <v>5219418982</v>
      </c>
      <c r="F35" s="74">
        <v>45748</v>
      </c>
      <c r="G35" s="52" t="s">
        <v>777</v>
      </c>
      <c r="H35" s="52" t="s">
        <v>814</v>
      </c>
      <c r="I35" s="38"/>
      <c r="J35" s="38"/>
      <c r="K35" s="38"/>
    </row>
    <row r="36" spans="1:11" ht="15.5" x14ac:dyDescent="0.35">
      <c r="A36" s="43" t="e">
        <f>#N/A</f>
        <v>#N/A</v>
      </c>
      <c r="B36" s="196">
        <v>11379</v>
      </c>
      <c r="C36" s="75" t="s">
        <v>817</v>
      </c>
      <c r="D36" s="194">
        <v>100916451300</v>
      </c>
      <c r="E36" s="190" t="s">
        <v>834</v>
      </c>
      <c r="F36" s="74">
        <v>45748</v>
      </c>
      <c r="G36" s="52" t="s">
        <v>777</v>
      </c>
      <c r="H36" s="43" t="s">
        <v>786</v>
      </c>
      <c r="I36" s="38"/>
      <c r="J36" s="38"/>
      <c r="K36" s="38"/>
    </row>
    <row r="37" spans="1:11" ht="15.5" x14ac:dyDescent="0.35">
      <c r="A37" s="43" t="e">
        <f>#N/A</f>
        <v>#N/A</v>
      </c>
      <c r="B37" s="196">
        <v>11380</v>
      </c>
      <c r="C37" s="143" t="s">
        <v>818</v>
      </c>
      <c r="D37" s="195">
        <v>102000373913</v>
      </c>
      <c r="E37" s="190" t="s">
        <v>835</v>
      </c>
      <c r="F37" s="74">
        <v>45748</v>
      </c>
      <c r="G37" s="52" t="s">
        <v>777</v>
      </c>
      <c r="H37" s="43" t="s">
        <v>786</v>
      </c>
      <c r="I37" s="38"/>
      <c r="J37" s="38"/>
      <c r="K37" s="38"/>
    </row>
    <row r="38" spans="1:11" ht="15.5" x14ac:dyDescent="0.35">
      <c r="A38" s="43" t="e">
        <f>#N/A</f>
        <v>#N/A</v>
      </c>
      <c r="B38" s="52">
        <v>11381</v>
      </c>
      <c r="C38" s="143" t="s">
        <v>819</v>
      </c>
      <c r="D38" s="195">
        <v>101130600676</v>
      </c>
      <c r="E38" s="190">
        <v>5220711419</v>
      </c>
      <c r="F38" s="74">
        <v>45748</v>
      </c>
      <c r="G38" s="52" t="s">
        <v>777</v>
      </c>
      <c r="H38" s="43" t="s">
        <v>786</v>
      </c>
      <c r="I38" s="38"/>
      <c r="J38" s="38"/>
      <c r="K38" s="38"/>
    </row>
    <row r="39" spans="1:11" ht="15.5" x14ac:dyDescent="0.35">
      <c r="A39" s="43" t="e">
        <f>#N/A</f>
        <v>#N/A</v>
      </c>
      <c r="B39" s="196">
        <v>11382</v>
      </c>
      <c r="C39" s="274" t="s">
        <v>820</v>
      </c>
      <c r="D39" s="195">
        <v>101329361690</v>
      </c>
      <c r="E39" s="190" t="s">
        <v>837</v>
      </c>
      <c r="F39" s="74">
        <v>45748</v>
      </c>
      <c r="G39" s="52" t="s">
        <v>777</v>
      </c>
      <c r="H39" s="43" t="s">
        <v>786</v>
      </c>
      <c r="I39" s="38"/>
      <c r="J39" s="38"/>
      <c r="K39" s="38"/>
    </row>
    <row r="40" spans="1:11" ht="15.5" x14ac:dyDescent="0.35">
      <c r="A40" s="43" t="e">
        <f>#N/A</f>
        <v>#N/A</v>
      </c>
      <c r="B40" s="196">
        <v>11383</v>
      </c>
      <c r="C40" s="143" t="s">
        <v>821</v>
      </c>
      <c r="D40" s="260">
        <v>101933818657</v>
      </c>
      <c r="E40" s="190">
        <v>5219563038</v>
      </c>
      <c r="F40" s="74">
        <v>45748</v>
      </c>
      <c r="G40" s="52" t="s">
        <v>777</v>
      </c>
      <c r="H40" s="43" t="s">
        <v>822</v>
      </c>
      <c r="I40" s="38"/>
      <c r="J40" s="38"/>
      <c r="K40" s="38"/>
    </row>
    <row r="41" spans="1:11" ht="15.5" x14ac:dyDescent="0.35">
      <c r="A41" s="43" t="e">
        <f>#N/A</f>
        <v>#N/A</v>
      </c>
      <c r="B41" s="196">
        <v>11384</v>
      </c>
      <c r="C41" s="75" t="s">
        <v>823</v>
      </c>
      <c r="D41" s="194">
        <v>101962637943</v>
      </c>
      <c r="E41" s="190">
        <v>5219817927</v>
      </c>
      <c r="F41" s="74">
        <v>45748</v>
      </c>
      <c r="G41" s="52" t="s">
        <v>777</v>
      </c>
      <c r="H41" s="43" t="s">
        <v>822</v>
      </c>
      <c r="I41" s="38"/>
      <c r="J41" s="38"/>
      <c r="K41" s="38"/>
    </row>
    <row r="42" spans="1:11" ht="15.5" x14ac:dyDescent="0.35">
      <c r="A42" s="43" t="e">
        <f>#N/A</f>
        <v>#N/A</v>
      </c>
      <c r="B42" s="196">
        <v>11385</v>
      </c>
      <c r="C42" s="143" t="s">
        <v>824</v>
      </c>
      <c r="D42" s="195">
        <v>102155089093</v>
      </c>
      <c r="E42" s="190">
        <v>5221671562</v>
      </c>
      <c r="F42" s="74">
        <v>45748</v>
      </c>
      <c r="G42" s="52" t="s">
        <v>777</v>
      </c>
      <c r="H42" s="43" t="s">
        <v>783</v>
      </c>
      <c r="I42" s="38"/>
      <c r="J42" s="38"/>
      <c r="K42" s="38"/>
    </row>
    <row r="43" spans="1:11" ht="15.5" x14ac:dyDescent="0.35">
      <c r="A43" s="43" t="e">
        <f>#N/A</f>
        <v>#N/A</v>
      </c>
      <c r="B43" s="252">
        <v>11386</v>
      </c>
      <c r="C43" s="275" t="s">
        <v>825</v>
      </c>
      <c r="D43" s="194">
        <v>102051405422</v>
      </c>
      <c r="E43" s="190">
        <v>5220657406</v>
      </c>
      <c r="F43" s="74">
        <v>45748</v>
      </c>
      <c r="G43" s="52" t="s">
        <v>777</v>
      </c>
      <c r="H43" s="43" t="s">
        <v>826</v>
      </c>
      <c r="I43" s="38"/>
      <c r="J43" s="38"/>
      <c r="K43" s="38"/>
    </row>
    <row r="44" spans="1:11" ht="15.5" x14ac:dyDescent="0.35">
      <c r="A44" s="43" t="e">
        <f>#N/A</f>
        <v>#N/A</v>
      </c>
      <c r="B44" s="196">
        <v>11387</v>
      </c>
      <c r="C44" s="75" t="s">
        <v>827</v>
      </c>
      <c r="D44" s="194">
        <v>101901880836</v>
      </c>
      <c r="E44" s="190" t="s">
        <v>850</v>
      </c>
      <c r="F44" s="74">
        <v>45748</v>
      </c>
      <c r="G44" s="52" t="s">
        <v>777</v>
      </c>
      <c r="H44" s="43" t="s">
        <v>211</v>
      </c>
      <c r="I44" s="38"/>
      <c r="J44" s="38"/>
      <c r="K44" s="38"/>
    </row>
    <row r="45" spans="1:11" ht="18" x14ac:dyDescent="0.4">
      <c r="A45" s="43" t="e">
        <f>#N/A</f>
        <v>#N/A</v>
      </c>
      <c r="B45" s="196">
        <v>11064</v>
      </c>
      <c r="C45" s="143" t="s">
        <v>828</v>
      </c>
      <c r="D45" s="195">
        <v>101591489642</v>
      </c>
      <c r="E45" s="17" t="s">
        <v>851</v>
      </c>
      <c r="F45" s="74">
        <v>45748</v>
      </c>
      <c r="G45" s="52" t="s">
        <v>777</v>
      </c>
      <c r="H45" s="43" t="s">
        <v>829</v>
      </c>
      <c r="I45" s="38"/>
      <c r="J45" s="38"/>
      <c r="K45" s="38"/>
    </row>
    <row r="46" spans="1:11" ht="15.5" x14ac:dyDescent="0.35">
      <c r="A46" s="43" t="e">
        <f>#N/A</f>
        <v>#N/A</v>
      </c>
      <c r="B46" s="196">
        <v>11407</v>
      </c>
      <c r="C46" s="132" t="s">
        <v>874</v>
      </c>
      <c r="D46" s="195">
        <v>101560605267</v>
      </c>
      <c r="E46" s="190">
        <v>5221136971</v>
      </c>
      <c r="F46" s="74">
        <v>45748</v>
      </c>
      <c r="G46" s="52" t="s">
        <v>777</v>
      </c>
      <c r="H46" s="43" t="s">
        <v>786</v>
      </c>
      <c r="I46" s="38"/>
      <c r="J46" s="38"/>
      <c r="K46" s="38"/>
    </row>
    <row r="47" spans="1:11" ht="15.5" x14ac:dyDescent="0.35">
      <c r="A47" s="43" t="e">
        <f>#N/A</f>
        <v>#N/A</v>
      </c>
      <c r="B47" s="196">
        <v>11392</v>
      </c>
      <c r="C47" s="132" t="s">
        <v>839</v>
      </c>
      <c r="D47" s="195">
        <v>102118844493</v>
      </c>
      <c r="E47" s="190" t="s">
        <v>838</v>
      </c>
      <c r="F47" s="74">
        <v>45748</v>
      </c>
      <c r="G47" s="52" t="s">
        <v>777</v>
      </c>
      <c r="H47" s="43" t="s">
        <v>786</v>
      </c>
      <c r="I47" s="38"/>
      <c r="J47" s="38"/>
      <c r="K47" s="38"/>
    </row>
    <row r="48" spans="1:11" ht="15.5" x14ac:dyDescent="0.35">
      <c r="A48" s="43" t="e">
        <f>#N/A</f>
        <v>#N/A</v>
      </c>
      <c r="B48" s="196">
        <v>11393</v>
      </c>
      <c r="C48" s="132" t="s">
        <v>840</v>
      </c>
      <c r="D48" s="195">
        <v>102130466567</v>
      </c>
      <c r="E48" s="190">
        <v>5221424326</v>
      </c>
      <c r="F48" s="74">
        <v>45748</v>
      </c>
      <c r="G48" s="52" t="s">
        <v>777</v>
      </c>
      <c r="H48" s="43" t="s">
        <v>786</v>
      </c>
      <c r="I48" s="38"/>
      <c r="J48" s="38"/>
      <c r="K48" s="38"/>
    </row>
    <row r="49" spans="1:11" ht="15.5" x14ac:dyDescent="0.35">
      <c r="A49" s="43" t="e">
        <f>#N/A</f>
        <v>#N/A</v>
      </c>
      <c r="B49" s="196">
        <v>11394</v>
      </c>
      <c r="C49" s="132" t="s">
        <v>842</v>
      </c>
      <c r="D49" s="195">
        <v>101432218759</v>
      </c>
      <c r="E49" s="190" t="s">
        <v>841</v>
      </c>
      <c r="F49" s="74">
        <v>45748</v>
      </c>
      <c r="G49" s="52" t="s">
        <v>777</v>
      </c>
      <c r="H49" s="43" t="s">
        <v>25</v>
      </c>
      <c r="I49" s="38"/>
      <c r="J49" s="38"/>
      <c r="K49" s="38"/>
    </row>
    <row r="50" spans="1:11" ht="15.5" x14ac:dyDescent="0.35">
      <c r="A50" s="43" t="e">
        <f>#N/A</f>
        <v>#N/A</v>
      </c>
      <c r="B50" s="196">
        <v>11395</v>
      </c>
      <c r="C50" s="132" t="s">
        <v>843</v>
      </c>
      <c r="D50" s="195">
        <v>101686377954</v>
      </c>
      <c r="E50" s="190">
        <v>5220410903</v>
      </c>
      <c r="F50" s="74">
        <v>45748</v>
      </c>
      <c r="G50" s="52" t="s">
        <v>777</v>
      </c>
      <c r="H50" s="43" t="s">
        <v>25</v>
      </c>
      <c r="I50" s="38"/>
      <c r="J50" s="38"/>
      <c r="K50" s="38"/>
    </row>
    <row r="51" spans="1:11" ht="15.5" x14ac:dyDescent="0.35">
      <c r="A51" s="43" t="e">
        <f>#N/A</f>
        <v>#N/A</v>
      </c>
      <c r="B51" s="196">
        <v>11396</v>
      </c>
      <c r="C51" s="132" t="s">
        <v>845</v>
      </c>
      <c r="D51" s="195">
        <v>100273326288</v>
      </c>
      <c r="E51" s="190" t="s">
        <v>844</v>
      </c>
      <c r="F51" s="74">
        <v>45748</v>
      </c>
      <c r="G51" s="52" t="s">
        <v>777</v>
      </c>
      <c r="H51" s="43" t="s">
        <v>25</v>
      </c>
      <c r="I51" s="38"/>
      <c r="J51" s="38"/>
      <c r="K51" s="38"/>
    </row>
    <row r="52" spans="1:11" ht="15.5" x14ac:dyDescent="0.35">
      <c r="A52" s="43" t="e">
        <f>#N/A</f>
        <v>#N/A</v>
      </c>
      <c r="B52" s="196">
        <v>11397</v>
      </c>
      <c r="C52" s="132" t="s">
        <v>846</v>
      </c>
      <c r="D52" s="195">
        <v>102005970009</v>
      </c>
      <c r="E52" s="190">
        <v>5221242444</v>
      </c>
      <c r="F52" s="74">
        <v>45748</v>
      </c>
      <c r="G52" s="52" t="s">
        <v>777</v>
      </c>
      <c r="H52" s="43" t="s">
        <v>25</v>
      </c>
      <c r="I52" s="38"/>
      <c r="J52" s="38"/>
      <c r="K52" s="38"/>
    </row>
    <row r="53" spans="1:11" ht="15.5" x14ac:dyDescent="0.35">
      <c r="A53" s="43" t="e">
        <f>#N/A</f>
        <v>#N/A</v>
      </c>
      <c r="B53" s="196">
        <v>11398</v>
      </c>
      <c r="C53" s="132" t="s">
        <v>848</v>
      </c>
      <c r="D53" s="195">
        <v>101254369461</v>
      </c>
      <c r="E53" s="190" t="s">
        <v>847</v>
      </c>
      <c r="F53" s="74">
        <v>45748</v>
      </c>
      <c r="G53" s="52" t="s">
        <v>777</v>
      </c>
      <c r="H53" s="43" t="s">
        <v>25</v>
      </c>
      <c r="I53" s="38"/>
      <c r="J53" s="38"/>
      <c r="K53" s="38"/>
    </row>
    <row r="54" spans="1:11" ht="15.5" x14ac:dyDescent="0.35">
      <c r="A54" s="43" t="e">
        <f>#N/A</f>
        <v>#N/A</v>
      </c>
      <c r="B54" s="196">
        <v>11399</v>
      </c>
      <c r="C54" s="132" t="s">
        <v>849</v>
      </c>
      <c r="D54" s="195">
        <v>101141120382</v>
      </c>
      <c r="E54" s="190">
        <v>5221671562</v>
      </c>
      <c r="F54" s="74">
        <v>45748</v>
      </c>
      <c r="G54" s="52" t="s">
        <v>777</v>
      </c>
      <c r="H54" s="43" t="s">
        <v>25</v>
      </c>
      <c r="I54" s="38"/>
      <c r="J54" s="38"/>
      <c r="K54" s="38"/>
    </row>
    <row r="55" spans="1:11" ht="18" x14ac:dyDescent="0.4">
      <c r="A55" s="43" t="e">
        <f>#N/A</f>
        <v>#N/A</v>
      </c>
      <c r="B55" s="52">
        <v>11389</v>
      </c>
      <c r="C55" s="132" t="s">
        <v>853</v>
      </c>
      <c r="D55" s="194">
        <v>102193316312</v>
      </c>
      <c r="E55" s="17" t="s">
        <v>854</v>
      </c>
      <c r="F55" s="56">
        <v>45769</v>
      </c>
      <c r="G55" s="43" t="s">
        <v>214</v>
      </c>
      <c r="H55" s="43" t="s">
        <v>786</v>
      </c>
      <c r="I55" s="38"/>
      <c r="J55" s="38"/>
      <c r="K55" s="38"/>
    </row>
    <row r="56" spans="1:11" ht="15.5" x14ac:dyDescent="0.35">
      <c r="A56" s="43" t="e">
        <f>#N/A</f>
        <v>#N/A</v>
      </c>
      <c r="B56" s="196">
        <v>11391</v>
      </c>
      <c r="C56" s="143" t="s">
        <v>856</v>
      </c>
      <c r="D56" s="195">
        <v>101114431341</v>
      </c>
      <c r="E56" s="43" t="s">
        <v>327</v>
      </c>
      <c r="F56" s="74">
        <v>45748</v>
      </c>
      <c r="G56" s="52" t="s">
        <v>777</v>
      </c>
      <c r="H56" s="43" t="s">
        <v>784</v>
      </c>
      <c r="I56" s="38"/>
      <c r="J56" s="38"/>
      <c r="K56" s="38"/>
    </row>
    <row r="57" spans="1:11" ht="15.5" x14ac:dyDescent="0.35">
      <c r="A57" s="43" t="e">
        <f>#N/A</f>
        <v>#N/A</v>
      </c>
      <c r="B57" s="196">
        <v>11403</v>
      </c>
      <c r="C57" s="143" t="s">
        <v>869</v>
      </c>
      <c r="D57" s="195">
        <v>102193712275</v>
      </c>
      <c r="E57" s="130"/>
      <c r="F57" s="74">
        <v>45748</v>
      </c>
      <c r="G57" s="52" t="s">
        <v>777</v>
      </c>
      <c r="H57" s="43"/>
      <c r="I57" s="38"/>
      <c r="J57" s="38"/>
      <c r="K57" s="38"/>
    </row>
    <row r="58" spans="1:11" ht="15.5" x14ac:dyDescent="0.35">
      <c r="A58" s="43" t="e">
        <f>#N/A</f>
        <v>#N/A</v>
      </c>
      <c r="B58" s="196">
        <v>11408</v>
      </c>
      <c r="C58" s="143" t="s">
        <v>875</v>
      </c>
      <c r="D58" s="260">
        <v>101271366066</v>
      </c>
      <c r="E58" s="43" t="s">
        <v>327</v>
      </c>
      <c r="F58" s="56">
        <v>45760</v>
      </c>
      <c r="G58" s="43" t="s">
        <v>228</v>
      </c>
      <c r="H58" s="43" t="s">
        <v>784</v>
      </c>
      <c r="I58" s="38"/>
      <c r="J58" s="38"/>
      <c r="K58" s="38"/>
    </row>
    <row r="59" spans="1:11" ht="15.5" x14ac:dyDescent="0.35">
      <c r="A59" s="43" t="e">
        <f>#N/A</f>
        <v>#N/A</v>
      </c>
      <c r="B59" s="225">
        <v>10214</v>
      </c>
      <c r="C59" s="132" t="s">
        <v>878</v>
      </c>
      <c r="D59" s="222">
        <v>100469573552</v>
      </c>
      <c r="E59" s="43">
        <v>5211376945</v>
      </c>
      <c r="F59" s="56">
        <v>45748</v>
      </c>
      <c r="G59" s="43" t="s">
        <v>777</v>
      </c>
      <c r="H59" s="43" t="s">
        <v>780</v>
      </c>
      <c r="I59" s="38"/>
      <c r="J59" s="38"/>
      <c r="K59" s="38"/>
    </row>
    <row r="60" spans="1:11" ht="18" x14ac:dyDescent="0.4">
      <c r="A60" s="43" t="e">
        <f>#N/A</f>
        <v>#N/A</v>
      </c>
      <c r="B60" s="196">
        <v>11410</v>
      </c>
      <c r="C60" s="143" t="s">
        <v>879</v>
      </c>
      <c r="D60" s="195">
        <v>102194829214</v>
      </c>
      <c r="E60" s="134">
        <v>5222001283</v>
      </c>
      <c r="F60" s="56">
        <v>45748</v>
      </c>
      <c r="G60" s="43" t="s">
        <v>777</v>
      </c>
      <c r="H60" s="43" t="s">
        <v>323</v>
      </c>
      <c r="I60" s="38"/>
      <c r="J60" s="38"/>
      <c r="K60" s="38"/>
    </row>
    <row r="61" spans="1:11" ht="15.5" x14ac:dyDescent="0.35">
      <c r="A61" s="43" t="e">
        <f>#N/A</f>
        <v>#N/A</v>
      </c>
      <c r="B61" s="52">
        <v>11411</v>
      </c>
      <c r="C61" s="225" t="s">
        <v>880</v>
      </c>
      <c r="D61" s="195">
        <v>102194848425</v>
      </c>
      <c r="E61" s="337" t="s">
        <v>37</v>
      </c>
      <c r="F61" s="56">
        <v>45748</v>
      </c>
      <c r="G61" s="43" t="s">
        <v>777</v>
      </c>
      <c r="H61" s="43" t="s">
        <v>323</v>
      </c>
      <c r="I61" s="38"/>
      <c r="J61" s="38"/>
      <c r="K61" s="38"/>
    </row>
    <row r="62" spans="1:11" x14ac:dyDescent="0.35">
      <c r="A62" s="43" t="e">
        <f>#N/A</f>
        <v>#N/A</v>
      </c>
      <c r="B62" s="38"/>
      <c r="C62" s="43"/>
      <c r="D62" s="38"/>
      <c r="E62" s="38"/>
      <c r="F62" s="38"/>
      <c r="G62" s="38"/>
      <c r="H62" s="38"/>
      <c r="I62" s="38"/>
      <c r="J62" s="38"/>
      <c r="K62" s="38"/>
    </row>
    <row r="63" spans="1:11" x14ac:dyDescent="0.3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spans="1:11" x14ac:dyDescent="0.3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spans="1:11" x14ac:dyDescent="0.3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</row>
    <row r="66" spans="1:11" x14ac:dyDescent="0.3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spans="1:11" x14ac:dyDescent="0.3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 x14ac:dyDescent="0.3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spans="1:11" x14ac:dyDescent="0.3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1" x14ac:dyDescent="0.3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 x14ac:dyDescent="0.3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1" x14ac:dyDescent="0.3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spans="1:11" x14ac:dyDescent="0.3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1:11" x14ac:dyDescent="0.3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spans="1:11" x14ac:dyDescent="0.3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1:11" x14ac:dyDescent="0.3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</row>
    <row r="77" spans="1:11" x14ac:dyDescent="0.3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1:11" x14ac:dyDescent="0.3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</row>
    <row r="79" spans="1:11" x14ac:dyDescent="0.3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1" x14ac:dyDescent="0.3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</row>
    <row r="81" spans="1:21" s="247" customFormat="1" ht="18" x14ac:dyDescent="0.4">
      <c r="A81" s="254" t="e">
        <f>A10+1</f>
        <v>#N/A</v>
      </c>
      <c r="B81" s="254"/>
      <c r="C81" s="273" t="s">
        <v>764</v>
      </c>
      <c r="D81" s="254" t="s">
        <v>852</v>
      </c>
      <c r="E81" s="254" t="s">
        <v>852</v>
      </c>
      <c r="F81" s="254"/>
      <c r="G81" s="254"/>
      <c r="H81" s="254"/>
      <c r="I81" s="254"/>
      <c r="J81" s="255"/>
      <c r="K81" s="255"/>
      <c r="M81" s="254">
        <v>8</v>
      </c>
      <c r="N81" s="203">
        <v>11400</v>
      </c>
      <c r="O81" s="254" t="s">
        <v>858</v>
      </c>
      <c r="P81" s="195">
        <v>102193519329</v>
      </c>
      <c r="Q81" s="17" t="s">
        <v>857</v>
      </c>
      <c r="R81" s="263">
        <v>45752</v>
      </c>
      <c r="S81" s="254" t="s">
        <v>340</v>
      </c>
      <c r="T81" s="255" t="s">
        <v>546</v>
      </c>
      <c r="U81" s="255"/>
    </row>
    <row r="82" spans="1:21" s="253" customFormat="1" ht="18" x14ac:dyDescent="0.4">
      <c r="A82" s="146" t="e">
        <f>A8+1</f>
        <v>#N/A</v>
      </c>
      <c r="B82" s="146"/>
      <c r="C82" s="272" t="s">
        <v>761</v>
      </c>
      <c r="D82" s="146" t="s">
        <v>852</v>
      </c>
      <c r="E82" s="146" t="s">
        <v>852</v>
      </c>
      <c r="F82" s="146"/>
      <c r="G82" s="146"/>
      <c r="H82" s="146"/>
      <c r="I82" s="146"/>
      <c r="J82" s="244"/>
      <c r="K82" s="244"/>
      <c r="M82" s="199">
        <v>5</v>
      </c>
      <c r="N82" s="256">
        <v>11362</v>
      </c>
      <c r="O82" s="257" t="s">
        <v>796</v>
      </c>
      <c r="P82" s="258">
        <v>102110685631</v>
      </c>
      <c r="Q82" s="17">
        <v>5221989764</v>
      </c>
      <c r="R82" s="147">
        <v>45754</v>
      </c>
      <c r="S82" s="43" t="s">
        <v>706</v>
      </c>
      <c r="T82" s="146" t="s">
        <v>559</v>
      </c>
      <c r="U82" s="259"/>
    </row>
    <row r="83" spans="1:21" s="267" customFormat="1" ht="15.5" x14ac:dyDescent="0.35">
      <c r="A83" s="266" t="e">
        <f>A13+1</f>
        <v>#N/A</v>
      </c>
      <c r="B83" s="266"/>
      <c r="C83" s="272" t="s">
        <v>768</v>
      </c>
      <c r="D83" s="146" t="s">
        <v>852</v>
      </c>
      <c r="E83" s="146" t="s">
        <v>852</v>
      </c>
      <c r="F83" s="266"/>
      <c r="G83" s="266"/>
      <c r="H83" s="266"/>
      <c r="I83" s="266"/>
      <c r="J83" s="268"/>
      <c r="K83" s="268"/>
      <c r="M83" s="146">
        <v>12</v>
      </c>
      <c r="N83" s="269">
        <v>11402</v>
      </c>
      <c r="O83" s="146" t="s">
        <v>868</v>
      </c>
      <c r="P83" s="152">
        <v>102193605125</v>
      </c>
      <c r="Q83" s="132">
        <v>5221989895</v>
      </c>
      <c r="R83" s="147">
        <v>45771</v>
      </c>
      <c r="S83" s="146" t="s">
        <v>120</v>
      </c>
      <c r="T83" s="146" t="s">
        <v>867</v>
      </c>
      <c r="U83" s="268"/>
    </row>
    <row r="84" spans="1:21" s="267" customFormat="1" ht="15.5" x14ac:dyDescent="0.35">
      <c r="A84" s="266" t="e">
        <f>A83+1</f>
        <v>#N/A</v>
      </c>
      <c r="B84" s="266"/>
      <c r="C84" s="272" t="s">
        <v>769</v>
      </c>
      <c r="D84" s="146" t="s">
        <v>852</v>
      </c>
      <c r="E84" s="146" t="s">
        <v>852</v>
      </c>
      <c r="F84" s="266"/>
      <c r="G84" s="266"/>
      <c r="H84" s="266"/>
      <c r="I84" s="266"/>
      <c r="J84" s="268"/>
      <c r="K84" s="268"/>
      <c r="M84" s="146">
        <v>13</v>
      </c>
      <c r="N84" s="269">
        <v>11404</v>
      </c>
      <c r="O84" s="269" t="s">
        <v>870</v>
      </c>
      <c r="P84" s="152">
        <v>102175529496</v>
      </c>
      <c r="Q84" s="146">
        <v>5221670456</v>
      </c>
      <c r="R84" s="147">
        <v>45762</v>
      </c>
      <c r="S84" s="146" t="s">
        <v>272</v>
      </c>
      <c r="T84" s="146" t="s">
        <v>867</v>
      </c>
      <c r="U84" s="268"/>
    </row>
    <row r="85" spans="1:21" ht="15.5" x14ac:dyDescent="0.35">
      <c r="A85" s="43">
        <v>46</v>
      </c>
      <c r="B85" s="52"/>
      <c r="C85" s="132" t="s">
        <v>833</v>
      </c>
      <c r="D85" s="43" t="s">
        <v>852</v>
      </c>
      <c r="E85" s="190" t="s">
        <v>832</v>
      </c>
      <c r="F85" s="74">
        <v>45748</v>
      </c>
      <c r="G85" s="52" t="s">
        <v>777</v>
      </c>
      <c r="H85" s="43" t="s">
        <v>786</v>
      </c>
      <c r="I85" s="38"/>
      <c r="J85" s="38"/>
      <c r="K85" s="38"/>
    </row>
    <row r="86" spans="1:21" x14ac:dyDescent="0.3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</row>
    <row r="87" spans="1:21" x14ac:dyDescent="0.3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</row>
    <row r="88" spans="1:21" x14ac:dyDescent="0.3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</row>
    <row r="89" spans="1:21" x14ac:dyDescent="0.3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</row>
    <row r="90" spans="1:21" x14ac:dyDescent="0.3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</row>
    <row r="91" spans="1:21" x14ac:dyDescent="0.3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</row>
    <row r="92" spans="1:21" x14ac:dyDescent="0.3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</row>
    <row r="93" spans="1:21" x14ac:dyDescent="0.3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</row>
    <row r="94" spans="1:21" x14ac:dyDescent="0.3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</row>
    <row r="95" spans="1:21" x14ac:dyDescent="0.3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</row>
    <row r="96" spans="1:21" x14ac:dyDescent="0.3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</row>
    <row r="97" spans="1:11" x14ac:dyDescent="0.3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</row>
    <row r="98" spans="1:11" x14ac:dyDescent="0.3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</row>
    <row r="99" spans="1:11" x14ac:dyDescent="0.3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</row>
    <row r="100" spans="1:11" x14ac:dyDescent="0.3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</row>
    <row r="101" spans="1:11" x14ac:dyDescent="0.3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</row>
    <row r="102" spans="1:11" x14ac:dyDescent="0.3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</row>
    <row r="103" spans="1:11" x14ac:dyDescent="0.3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</row>
    <row r="104" spans="1:11" x14ac:dyDescent="0.3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</row>
    <row r="105" spans="1:11" x14ac:dyDescent="0.3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</row>
    <row r="106" spans="1:11" x14ac:dyDescent="0.3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CK13"/>
  <sheetViews>
    <sheetView workbookViewId="0">
      <selection activeCell="H17" sqref="H17"/>
    </sheetView>
  </sheetViews>
  <sheetFormatPr defaultRowHeight="14.5" x14ac:dyDescent="0.35"/>
  <cols>
    <col min="3" max="3" width="44.1796875" bestFit="1" customWidth="1"/>
    <col min="4" max="4" width="15.26953125" bestFit="1" customWidth="1"/>
    <col min="7" max="7" width="13" bestFit="1" customWidth="1"/>
    <col min="8" max="8" width="18.81640625" bestFit="1" customWidth="1"/>
  </cols>
  <sheetData>
    <row r="3" spans="1:89" s="267" customFormat="1" ht="15.5" x14ac:dyDescent="0.35">
      <c r="A3" s="146" t="e">
        <f>#N/A</f>
        <v>#N/A</v>
      </c>
      <c r="B3" s="266">
        <v>11154</v>
      </c>
      <c r="C3" s="272" t="s">
        <v>770</v>
      </c>
      <c r="D3" s="281">
        <v>101621637728</v>
      </c>
      <c r="E3" s="146" t="s">
        <v>327</v>
      </c>
      <c r="F3" s="147">
        <v>45770</v>
      </c>
      <c r="G3" s="146" t="s">
        <v>877</v>
      </c>
      <c r="H3" s="266" t="s">
        <v>885</v>
      </c>
      <c r="I3" s="266"/>
      <c r="J3" s="268"/>
      <c r="K3" s="268"/>
      <c r="M3" s="146"/>
      <c r="N3" s="280"/>
      <c r="O3" s="269"/>
      <c r="P3" s="152"/>
      <c r="Q3" s="244"/>
      <c r="R3" s="147"/>
      <c r="S3" s="244"/>
      <c r="T3" s="146"/>
      <c r="U3" s="268"/>
    </row>
    <row r="4" spans="1:89" ht="15.5" x14ac:dyDescent="0.35">
      <c r="A4" s="43" t="e">
        <f>#N/A</f>
        <v>#N/A</v>
      </c>
      <c r="B4" s="196">
        <v>11364</v>
      </c>
      <c r="C4" s="271" t="s">
        <v>799</v>
      </c>
      <c r="D4" s="195">
        <v>100589999083</v>
      </c>
      <c r="E4" s="43" t="s">
        <v>327</v>
      </c>
      <c r="F4" s="56">
        <v>45748</v>
      </c>
      <c r="G4" s="43" t="s">
        <v>777</v>
      </c>
      <c r="H4" s="43" t="s">
        <v>800</v>
      </c>
      <c r="I4" s="38"/>
      <c r="J4" s="38"/>
      <c r="K4" s="38"/>
      <c r="M4" s="38"/>
      <c r="N4" s="38"/>
      <c r="O4" s="38"/>
      <c r="P4" s="38"/>
      <c r="Q4" s="38"/>
      <c r="R4" s="38"/>
      <c r="S4" s="38"/>
      <c r="T4" s="38"/>
      <c r="U4" s="38"/>
    </row>
    <row r="5" spans="1:89" ht="15.5" x14ac:dyDescent="0.35">
      <c r="A5" s="43" t="e">
        <f>#N/A</f>
        <v>#N/A</v>
      </c>
      <c r="B5" s="52">
        <v>11365</v>
      </c>
      <c r="C5" s="143" t="s">
        <v>801</v>
      </c>
      <c r="D5" s="195">
        <v>101294830082</v>
      </c>
      <c r="E5" s="43" t="s">
        <v>327</v>
      </c>
      <c r="F5" s="56">
        <v>45748</v>
      </c>
      <c r="G5" s="43" t="s">
        <v>777</v>
      </c>
      <c r="H5" s="43" t="s">
        <v>803</v>
      </c>
    </row>
    <row r="6" spans="1:89" ht="15.5" x14ac:dyDescent="0.35">
      <c r="A6" s="43" t="e">
        <f>#N/A</f>
        <v>#N/A</v>
      </c>
      <c r="B6" s="196">
        <v>11366</v>
      </c>
      <c r="C6" s="75" t="s">
        <v>802</v>
      </c>
      <c r="D6" s="195">
        <v>101636813753</v>
      </c>
      <c r="E6" s="43" t="s">
        <v>327</v>
      </c>
      <c r="F6" s="56">
        <v>45748</v>
      </c>
      <c r="G6" s="43" t="s">
        <v>777</v>
      </c>
      <c r="H6" s="43" t="s">
        <v>803</v>
      </c>
    </row>
    <row r="7" spans="1:89" ht="15.5" x14ac:dyDescent="0.35">
      <c r="A7" s="43" t="e">
        <f>#N/A</f>
        <v>#N/A</v>
      </c>
      <c r="B7" s="196">
        <v>11367</v>
      </c>
      <c r="C7" s="143" t="s">
        <v>804</v>
      </c>
      <c r="D7" s="195">
        <v>101069502495</v>
      </c>
      <c r="E7" s="43" t="s">
        <v>327</v>
      </c>
      <c r="F7" s="56">
        <v>45748</v>
      </c>
      <c r="G7" s="43" t="s">
        <v>777</v>
      </c>
      <c r="H7" s="43" t="s">
        <v>803</v>
      </c>
    </row>
    <row r="8" spans="1:89" ht="15.5" x14ac:dyDescent="0.35">
      <c r="A8" s="43" t="e">
        <f>#N/A</f>
        <v>#N/A</v>
      </c>
      <c r="B8" s="196">
        <v>11374</v>
      </c>
      <c r="C8" s="75" t="s">
        <v>811</v>
      </c>
      <c r="D8" s="194">
        <v>101833783524</v>
      </c>
      <c r="E8" s="43" t="s">
        <v>37</v>
      </c>
      <c r="F8" s="74">
        <v>45748</v>
      </c>
      <c r="G8" s="52" t="s">
        <v>777</v>
      </c>
      <c r="H8" s="52" t="s">
        <v>780</v>
      </c>
    </row>
    <row r="9" spans="1:89" ht="15.5" x14ac:dyDescent="0.35">
      <c r="A9" s="43" t="e">
        <f>#N/A</f>
        <v>#N/A</v>
      </c>
      <c r="B9" s="196">
        <v>11391</v>
      </c>
      <c r="C9" s="143" t="s">
        <v>856</v>
      </c>
      <c r="D9" s="195">
        <v>101114431341</v>
      </c>
      <c r="E9" s="43" t="s">
        <v>327</v>
      </c>
      <c r="F9" s="74">
        <v>45748</v>
      </c>
      <c r="G9" s="52" t="s">
        <v>777</v>
      </c>
      <c r="H9" s="43" t="s">
        <v>784</v>
      </c>
      <c r="I9" s="38"/>
      <c r="J9" s="38"/>
      <c r="K9" s="38"/>
    </row>
    <row r="10" spans="1:89" ht="15.5" x14ac:dyDescent="0.35">
      <c r="A10" s="43" t="e">
        <f>#N/A</f>
        <v>#N/A</v>
      </c>
      <c r="B10" s="225">
        <v>10214</v>
      </c>
      <c r="C10" s="132" t="s">
        <v>878</v>
      </c>
      <c r="D10" s="222">
        <v>100469573552</v>
      </c>
      <c r="E10" s="43">
        <v>5211376945</v>
      </c>
      <c r="F10" s="56">
        <v>45748</v>
      </c>
      <c r="G10" s="43" t="s">
        <v>777</v>
      </c>
      <c r="H10" s="43" t="s">
        <v>780</v>
      </c>
    </row>
    <row r="11" spans="1:89" ht="15.5" x14ac:dyDescent="0.35">
      <c r="A11" s="43" t="e">
        <f>#N/A</f>
        <v>#N/A</v>
      </c>
      <c r="B11" s="52">
        <v>11411</v>
      </c>
      <c r="C11" s="225" t="s">
        <v>880</v>
      </c>
      <c r="D11" s="195">
        <v>102194848425</v>
      </c>
      <c r="E11" s="38"/>
      <c r="F11" s="56">
        <v>45748</v>
      </c>
      <c r="G11" s="43" t="s">
        <v>777</v>
      </c>
      <c r="H11" s="43" t="s">
        <v>323</v>
      </c>
      <c r="I11" s="38"/>
      <c r="J11" s="38"/>
      <c r="K11" s="38"/>
    </row>
    <row r="12" spans="1:89" ht="18" x14ac:dyDescent="0.4">
      <c r="A12" s="43">
        <v>10</v>
      </c>
      <c r="B12" s="43">
        <v>11337</v>
      </c>
      <c r="C12" s="52" t="s">
        <v>725</v>
      </c>
      <c r="D12" s="195">
        <v>101494571258</v>
      </c>
      <c r="E12" s="146" t="s">
        <v>757</v>
      </c>
      <c r="F12" s="56">
        <v>45736</v>
      </c>
      <c r="G12" s="43"/>
      <c r="H12" s="43" t="s">
        <v>742</v>
      </c>
      <c r="I12" s="43"/>
      <c r="M12" s="43">
        <v>7</v>
      </c>
      <c r="N12" s="221">
        <v>11340</v>
      </c>
      <c r="O12" s="43" t="s">
        <v>756</v>
      </c>
      <c r="P12" s="222">
        <v>101778065299</v>
      </c>
      <c r="Q12" s="17">
        <v>5221865117</v>
      </c>
      <c r="R12" s="56">
        <v>45723</v>
      </c>
      <c r="S12" s="43" t="s">
        <v>120</v>
      </c>
      <c r="T12" s="43" t="s">
        <v>744</v>
      </c>
      <c r="U12" s="38"/>
      <c r="V12" s="182"/>
      <c r="AH12" s="38">
        <v>2</v>
      </c>
      <c r="AI12" s="38" t="s">
        <v>721</v>
      </c>
      <c r="AJ12" s="38" t="s">
        <v>737</v>
      </c>
    </row>
    <row r="13" spans="1:89" x14ac:dyDescent="0.35">
      <c r="A13" s="249">
        <v>11</v>
      </c>
      <c r="B13" s="203">
        <v>11390</v>
      </c>
      <c r="C13" s="203" t="s">
        <v>855</v>
      </c>
      <c r="D13" s="195">
        <v>101425005944</v>
      </c>
      <c r="E13" s="249" t="s">
        <v>37</v>
      </c>
      <c r="F13" s="251">
        <v>45754</v>
      </c>
      <c r="G13" s="249" t="s">
        <v>339</v>
      </c>
      <c r="H13" s="249" t="s">
        <v>803</v>
      </c>
      <c r="I13" s="43"/>
      <c r="J13" s="255"/>
      <c r="K13" s="255"/>
      <c r="L13" s="245"/>
      <c r="M13" s="249">
        <v>7</v>
      </c>
      <c r="N13" s="203">
        <v>11390</v>
      </c>
      <c r="O13" s="203" t="s">
        <v>855</v>
      </c>
      <c r="P13" s="195">
        <v>101425005944</v>
      </c>
      <c r="Q13" s="249" t="s">
        <v>37</v>
      </c>
      <c r="R13" s="251">
        <v>45754</v>
      </c>
      <c r="S13" s="249" t="s">
        <v>339</v>
      </c>
      <c r="T13" s="249" t="s">
        <v>803</v>
      </c>
      <c r="U13" s="246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AI128"/>
  <sheetViews>
    <sheetView topLeftCell="A19" workbookViewId="0">
      <selection activeCell="A20" sqref="A20:XFD20"/>
    </sheetView>
  </sheetViews>
  <sheetFormatPr defaultRowHeight="14.5" x14ac:dyDescent="0.35"/>
  <cols>
    <col min="3" max="3" width="30.36328125" bestFit="1" customWidth="1"/>
    <col min="15" max="15" width="35" bestFit="1" customWidth="1"/>
    <col min="16" max="16" width="15.26953125" bestFit="1" customWidth="1"/>
    <col min="17" max="17" width="10.81640625" bestFit="1" customWidth="1"/>
    <col min="18" max="18" width="14.08984375" bestFit="1" customWidth="1"/>
  </cols>
  <sheetData>
    <row r="3" spans="1:35" x14ac:dyDescent="0.35">
      <c r="A3" s="38"/>
      <c r="B3" s="38"/>
      <c r="C3" s="38"/>
      <c r="D3" s="38"/>
      <c r="E3" s="38"/>
      <c r="F3" s="38"/>
      <c r="G3" s="38"/>
      <c r="H3" s="38"/>
      <c r="I3" s="38"/>
    </row>
    <row r="4" spans="1:35" ht="18.5" x14ac:dyDescent="0.45">
      <c r="A4" s="38"/>
      <c r="B4" s="38"/>
      <c r="C4" s="38"/>
      <c r="D4" s="38"/>
      <c r="E4" s="193" t="s">
        <v>751</v>
      </c>
      <c r="F4" s="38"/>
      <c r="G4" s="38"/>
      <c r="H4" s="38"/>
      <c r="I4" s="38"/>
      <c r="Q4" s="193" t="s">
        <v>728</v>
      </c>
      <c r="R4" s="38"/>
      <c r="S4" s="38"/>
    </row>
    <row r="5" spans="1:35" ht="18.5" x14ac:dyDescent="0.45">
      <c r="A5" s="307" t="s">
        <v>0</v>
      </c>
      <c r="B5" s="307" t="s">
        <v>1</v>
      </c>
      <c r="C5" s="307" t="s">
        <v>2</v>
      </c>
      <c r="D5" s="307" t="s">
        <v>3</v>
      </c>
      <c r="E5" s="307" t="s">
        <v>4</v>
      </c>
      <c r="F5" s="307" t="s">
        <v>5</v>
      </c>
      <c r="G5" s="307" t="s">
        <v>6</v>
      </c>
      <c r="H5" s="307" t="s">
        <v>7</v>
      </c>
      <c r="I5" s="306" t="s">
        <v>661</v>
      </c>
      <c r="M5" s="234" t="s">
        <v>0</v>
      </c>
      <c r="N5" s="234" t="s">
        <v>1</v>
      </c>
      <c r="O5" s="234" t="s">
        <v>2</v>
      </c>
      <c r="P5" s="234" t="s">
        <v>3</v>
      </c>
      <c r="Q5" s="234" t="s">
        <v>4</v>
      </c>
      <c r="R5" s="234" t="s">
        <v>5</v>
      </c>
      <c r="S5" s="234" t="s">
        <v>6</v>
      </c>
      <c r="T5" s="234" t="s">
        <v>7</v>
      </c>
      <c r="U5" s="238" t="s">
        <v>661</v>
      </c>
      <c r="AE5" s="285"/>
    </row>
    <row r="6" spans="1:35" ht="92" x14ac:dyDescent="0.4">
      <c r="A6" s="314">
        <v>1</v>
      </c>
      <c r="B6" s="318">
        <v>11481</v>
      </c>
      <c r="C6" s="314" t="s">
        <v>911</v>
      </c>
      <c r="D6" s="320">
        <v>101746046737</v>
      </c>
      <c r="E6" s="65">
        <v>5222166235</v>
      </c>
      <c r="F6" s="315">
        <v>45786</v>
      </c>
      <c r="G6" s="314" t="s">
        <v>32</v>
      </c>
      <c r="H6" s="314" t="s">
        <v>44</v>
      </c>
      <c r="I6" s="316" t="s">
        <v>912</v>
      </c>
      <c r="M6" s="132"/>
      <c r="N6" s="143"/>
      <c r="O6" s="132"/>
      <c r="P6" s="291"/>
      <c r="Q6" s="132"/>
      <c r="R6" s="292"/>
      <c r="S6" s="132"/>
      <c r="T6" s="293"/>
      <c r="U6" s="38"/>
      <c r="AA6" s="286"/>
      <c r="AB6" s="286"/>
      <c r="AC6" s="286"/>
      <c r="AD6" s="287"/>
      <c r="AE6" s="286"/>
      <c r="AF6" s="286"/>
      <c r="AG6" s="286"/>
      <c r="AH6" s="286"/>
      <c r="AI6" s="288"/>
    </row>
    <row r="7" spans="1:35" ht="104.5" x14ac:dyDescent="0.35">
      <c r="A7" s="314">
        <f>A6+1</f>
        <v>2</v>
      </c>
      <c r="B7" s="54">
        <v>11478</v>
      </c>
      <c r="C7" s="317" t="s">
        <v>913</v>
      </c>
      <c r="D7" s="323">
        <v>102205297154</v>
      </c>
      <c r="E7" s="318">
        <v>5222101844</v>
      </c>
      <c r="F7" s="315">
        <v>45785</v>
      </c>
      <c r="G7" s="314"/>
      <c r="H7" s="314"/>
      <c r="I7" s="316" t="s">
        <v>914</v>
      </c>
      <c r="M7" s="132">
        <v>2</v>
      </c>
      <c r="N7" s="143">
        <v>11419</v>
      </c>
      <c r="O7" s="132" t="s">
        <v>893</v>
      </c>
      <c r="P7" s="291">
        <v>101824235630</v>
      </c>
      <c r="Q7" s="294">
        <v>5218813682</v>
      </c>
      <c r="R7" s="292">
        <v>45782</v>
      </c>
      <c r="S7" s="132" t="s">
        <v>305</v>
      </c>
      <c r="T7" s="293" t="s">
        <v>899</v>
      </c>
      <c r="U7" s="38"/>
    </row>
    <row r="8" spans="1:35" x14ac:dyDescent="0.35">
      <c r="A8" s="314" t="e">
        <f>#N/A</f>
        <v>#N/A</v>
      </c>
      <c r="B8" s="318">
        <v>11477</v>
      </c>
      <c r="C8" s="314" t="s">
        <v>1006</v>
      </c>
      <c r="D8" s="320">
        <v>102205289813</v>
      </c>
      <c r="E8" s="318" t="s">
        <v>1017</v>
      </c>
      <c r="F8" s="315">
        <v>45779</v>
      </c>
      <c r="G8" s="314" t="s">
        <v>935</v>
      </c>
      <c r="H8" s="314"/>
      <c r="I8" s="319" t="s">
        <v>915</v>
      </c>
      <c r="M8" s="132">
        <v>3</v>
      </c>
      <c r="N8" s="143">
        <v>11440</v>
      </c>
      <c r="O8" s="132" t="s">
        <v>894</v>
      </c>
      <c r="P8" s="291">
        <v>102200566524</v>
      </c>
      <c r="Q8" s="143" t="s">
        <v>947</v>
      </c>
      <c r="R8" s="292">
        <v>45767</v>
      </c>
      <c r="S8" s="132" t="s">
        <v>305</v>
      </c>
      <c r="T8" s="293" t="s">
        <v>865</v>
      </c>
      <c r="U8" s="38"/>
    </row>
    <row r="9" spans="1:35" x14ac:dyDescent="0.35">
      <c r="A9" s="314" t="e">
        <f>#N/A</f>
        <v>#N/A</v>
      </c>
      <c r="B9" s="318">
        <v>11476</v>
      </c>
      <c r="C9" s="314" t="s">
        <v>916</v>
      </c>
      <c r="D9" s="320">
        <v>102191204659</v>
      </c>
      <c r="E9" s="318" t="s">
        <v>1020</v>
      </c>
      <c r="F9" s="315">
        <v>45782</v>
      </c>
      <c r="G9" s="314" t="s">
        <v>202</v>
      </c>
      <c r="H9" s="314" t="s">
        <v>786</v>
      </c>
      <c r="I9" s="319" t="s">
        <v>917</v>
      </c>
      <c r="M9" s="132">
        <v>4</v>
      </c>
      <c r="N9" s="143">
        <v>11418</v>
      </c>
      <c r="O9" s="132" t="s">
        <v>895</v>
      </c>
      <c r="P9" s="291">
        <v>102092355892</v>
      </c>
      <c r="Q9" s="143">
        <v>5222047924</v>
      </c>
      <c r="R9" s="292">
        <v>45767</v>
      </c>
      <c r="S9" s="132" t="s">
        <v>305</v>
      </c>
      <c r="T9" s="293" t="s">
        <v>865</v>
      </c>
      <c r="U9" s="38"/>
    </row>
    <row r="10" spans="1:35" ht="104.5" x14ac:dyDescent="0.35">
      <c r="A10" s="314" t="e">
        <f>#N/A</f>
        <v>#N/A</v>
      </c>
      <c r="B10" s="318">
        <v>11485</v>
      </c>
      <c r="C10" s="314" t="s">
        <v>918</v>
      </c>
      <c r="D10" s="323">
        <v>102206702369</v>
      </c>
      <c r="E10" s="318" t="s">
        <v>1027</v>
      </c>
      <c r="F10" s="315">
        <v>45785</v>
      </c>
      <c r="G10" s="314"/>
      <c r="H10" s="314"/>
      <c r="I10" s="316" t="s">
        <v>914</v>
      </c>
      <c r="M10" s="132">
        <v>5</v>
      </c>
      <c r="N10" s="132">
        <v>11441</v>
      </c>
      <c r="O10" s="132" t="s">
        <v>896</v>
      </c>
      <c r="P10" s="291">
        <v>102163476687</v>
      </c>
      <c r="Q10" s="143" t="s">
        <v>948</v>
      </c>
      <c r="R10" s="292">
        <v>45767</v>
      </c>
      <c r="S10" s="132" t="s">
        <v>305</v>
      </c>
      <c r="T10" s="293" t="s">
        <v>865</v>
      </c>
      <c r="U10" s="38"/>
    </row>
    <row r="11" spans="1:35" ht="91.5" x14ac:dyDescent="0.35">
      <c r="A11" s="314" t="e">
        <f>#N/A</f>
        <v>#N/A</v>
      </c>
      <c r="B11" s="54">
        <v>10146</v>
      </c>
      <c r="C11" s="314" t="s">
        <v>919</v>
      </c>
      <c r="D11" s="320">
        <v>101486912528</v>
      </c>
      <c r="E11" s="75">
        <v>5222151780</v>
      </c>
      <c r="F11" s="315">
        <v>45792</v>
      </c>
      <c r="G11" s="314"/>
      <c r="H11" s="314"/>
      <c r="I11" s="321" t="s">
        <v>912</v>
      </c>
      <c r="M11" s="132">
        <v>6</v>
      </c>
      <c r="N11" s="132">
        <v>11416</v>
      </c>
      <c r="O11" s="132" t="s">
        <v>897</v>
      </c>
      <c r="P11" s="291">
        <v>102073765685</v>
      </c>
      <c r="Q11" s="294" t="s">
        <v>900</v>
      </c>
      <c r="R11" s="292">
        <v>45768</v>
      </c>
      <c r="S11" s="132" t="s">
        <v>305</v>
      </c>
      <c r="T11" s="293" t="s">
        <v>865</v>
      </c>
      <c r="U11" s="38"/>
    </row>
    <row r="12" spans="1:35" x14ac:dyDescent="0.35">
      <c r="A12" s="314" t="e">
        <f>#N/A</f>
        <v>#N/A</v>
      </c>
      <c r="B12" s="322">
        <v>11428</v>
      </c>
      <c r="C12" s="314" t="s">
        <v>920</v>
      </c>
      <c r="D12" s="323">
        <v>102062099865</v>
      </c>
      <c r="E12" s="318" t="s">
        <v>1022</v>
      </c>
      <c r="F12" s="314"/>
      <c r="G12" s="314"/>
      <c r="H12" s="314"/>
      <c r="I12" s="314" t="s">
        <v>921</v>
      </c>
      <c r="M12" s="132">
        <v>7</v>
      </c>
      <c r="N12" s="143">
        <v>11415</v>
      </c>
      <c r="O12" s="132" t="s">
        <v>898</v>
      </c>
      <c r="P12" s="291">
        <v>101154191439</v>
      </c>
      <c r="Q12" s="132">
        <v>5218909625</v>
      </c>
      <c r="R12" s="292">
        <v>45768</v>
      </c>
      <c r="S12" s="132" t="s">
        <v>305</v>
      </c>
      <c r="T12" s="293" t="s">
        <v>899</v>
      </c>
      <c r="U12" s="38"/>
    </row>
    <row r="13" spans="1:35" x14ac:dyDescent="0.35">
      <c r="A13" s="314" t="e">
        <f>#N/A</f>
        <v>#N/A</v>
      </c>
      <c r="B13" s="322">
        <v>11427</v>
      </c>
      <c r="C13" s="314" t="s">
        <v>922</v>
      </c>
      <c r="D13" s="324">
        <v>101727786111</v>
      </c>
      <c r="E13" s="318">
        <v>5222100870</v>
      </c>
      <c r="F13" s="314"/>
      <c r="G13" s="314"/>
      <c r="H13" s="314"/>
      <c r="I13" s="314" t="s">
        <v>924</v>
      </c>
      <c r="M13" s="132">
        <v>8</v>
      </c>
      <c r="N13" s="143">
        <v>11420</v>
      </c>
      <c r="O13" s="143" t="s">
        <v>901</v>
      </c>
      <c r="P13" s="291">
        <v>101380348137</v>
      </c>
      <c r="Q13" s="53">
        <v>5222096731</v>
      </c>
      <c r="R13" s="292">
        <v>45779</v>
      </c>
      <c r="S13" s="132" t="s">
        <v>904</v>
      </c>
      <c r="T13" s="293" t="s">
        <v>905</v>
      </c>
      <c r="U13" s="38"/>
    </row>
    <row r="14" spans="1:35" x14ac:dyDescent="0.35">
      <c r="A14" s="314" t="e">
        <f>#N/A</f>
        <v>#N/A</v>
      </c>
      <c r="B14" s="54">
        <v>11429</v>
      </c>
      <c r="C14" s="325" t="s">
        <v>923</v>
      </c>
      <c r="D14" s="323">
        <v>101788690045</v>
      </c>
      <c r="E14" s="328">
        <v>5218427924</v>
      </c>
      <c r="F14" s="315">
        <v>45790</v>
      </c>
      <c r="G14" s="314" t="s">
        <v>925</v>
      </c>
      <c r="H14" s="314" t="s">
        <v>753</v>
      </c>
      <c r="I14" s="314"/>
      <c r="M14" s="295">
        <v>9</v>
      </c>
      <c r="N14" s="291">
        <v>11421</v>
      </c>
      <c r="O14" s="291" t="s">
        <v>902</v>
      </c>
      <c r="P14" s="291">
        <v>101378311930</v>
      </c>
      <c r="Q14" s="143">
        <v>5222089306</v>
      </c>
      <c r="R14" s="292">
        <v>45779</v>
      </c>
      <c r="S14" s="132" t="s">
        <v>904</v>
      </c>
      <c r="T14" s="293" t="s">
        <v>905</v>
      </c>
      <c r="U14" s="38"/>
    </row>
    <row r="15" spans="1:35" x14ac:dyDescent="0.35">
      <c r="A15" s="314" t="e">
        <f>#N/A</f>
        <v>#N/A</v>
      </c>
      <c r="B15" s="318">
        <v>11430</v>
      </c>
      <c r="C15" s="318" t="s">
        <v>1016</v>
      </c>
      <c r="D15" s="320">
        <v>102045570267</v>
      </c>
      <c r="E15" s="326">
        <v>2019303660</v>
      </c>
      <c r="F15" s="315">
        <v>45790</v>
      </c>
      <c r="G15" s="314" t="s">
        <v>925</v>
      </c>
      <c r="H15" s="314" t="s">
        <v>786</v>
      </c>
      <c r="I15" s="314"/>
      <c r="M15" s="132">
        <v>10</v>
      </c>
      <c r="N15" s="143">
        <v>11422</v>
      </c>
      <c r="O15" s="132" t="s">
        <v>903</v>
      </c>
      <c r="P15" s="291">
        <v>101807507623</v>
      </c>
      <c r="Q15" s="296" t="s">
        <v>949</v>
      </c>
      <c r="R15" s="292">
        <v>45779</v>
      </c>
      <c r="S15" s="132" t="s">
        <v>904</v>
      </c>
      <c r="T15" s="293" t="s">
        <v>905</v>
      </c>
      <c r="U15" s="38"/>
    </row>
    <row r="16" spans="1:35" x14ac:dyDescent="0.35">
      <c r="A16" s="314" t="e">
        <f>#N/A</f>
        <v>#N/A</v>
      </c>
      <c r="B16" s="325">
        <v>11431</v>
      </c>
      <c r="C16" s="325" t="s">
        <v>926</v>
      </c>
      <c r="D16" s="323">
        <v>101944436029</v>
      </c>
      <c r="E16" s="318" t="s">
        <v>1015</v>
      </c>
      <c r="F16" s="315">
        <v>45791</v>
      </c>
      <c r="G16" s="314" t="s">
        <v>777</v>
      </c>
      <c r="H16" s="314" t="s">
        <v>786</v>
      </c>
      <c r="I16" s="314" t="s">
        <v>927</v>
      </c>
      <c r="M16" s="132">
        <v>11</v>
      </c>
      <c r="N16" s="143">
        <v>11423</v>
      </c>
      <c r="O16" s="143" t="s">
        <v>906</v>
      </c>
      <c r="P16" s="291">
        <v>101555619705</v>
      </c>
      <c r="Q16" s="294" t="s">
        <v>968</v>
      </c>
      <c r="R16" s="292">
        <v>45779</v>
      </c>
      <c r="S16" s="132" t="s">
        <v>904</v>
      </c>
      <c r="T16" s="297" t="s">
        <v>907</v>
      </c>
      <c r="U16" s="38"/>
    </row>
    <row r="17" spans="1:21" x14ac:dyDescent="0.35">
      <c r="A17" s="314" t="e">
        <f>#N/A</f>
        <v>#N/A</v>
      </c>
      <c r="B17" s="318">
        <v>11432</v>
      </c>
      <c r="C17" s="318" t="s">
        <v>928</v>
      </c>
      <c r="D17" s="320">
        <v>101077554758</v>
      </c>
      <c r="E17" s="314" t="s">
        <v>1029</v>
      </c>
      <c r="F17" s="315">
        <v>45787</v>
      </c>
      <c r="G17" s="314" t="s">
        <v>929</v>
      </c>
      <c r="H17" s="314" t="s">
        <v>197</v>
      </c>
      <c r="I17" s="314"/>
      <c r="M17" s="132">
        <v>12</v>
      </c>
      <c r="N17" s="143">
        <v>11424</v>
      </c>
      <c r="O17" s="143" t="s">
        <v>908</v>
      </c>
      <c r="P17" s="291">
        <v>101475069516</v>
      </c>
      <c r="Q17" s="296">
        <v>5216345406</v>
      </c>
      <c r="R17" s="292">
        <v>45779</v>
      </c>
      <c r="S17" s="132" t="s">
        <v>904</v>
      </c>
      <c r="T17" s="297" t="s">
        <v>905</v>
      </c>
      <c r="U17" s="38"/>
    </row>
    <row r="18" spans="1:21" x14ac:dyDescent="0.35">
      <c r="A18" s="314" t="e">
        <f>#N/A</f>
        <v>#N/A</v>
      </c>
      <c r="B18" s="318">
        <v>11433</v>
      </c>
      <c r="C18" s="318" t="s">
        <v>930</v>
      </c>
      <c r="D18" s="320">
        <v>101725427714</v>
      </c>
      <c r="E18" s="314" t="s">
        <v>327</v>
      </c>
      <c r="F18" s="315">
        <v>45779</v>
      </c>
      <c r="G18" s="314" t="s">
        <v>931</v>
      </c>
      <c r="H18" s="314" t="s">
        <v>41</v>
      </c>
      <c r="I18" s="314"/>
      <c r="M18" s="132">
        <v>13</v>
      </c>
      <c r="N18" s="143">
        <v>11425</v>
      </c>
      <c r="O18" s="143" t="s">
        <v>909</v>
      </c>
      <c r="P18" s="291">
        <v>101934909196</v>
      </c>
      <c r="Q18" s="296">
        <v>5220389532</v>
      </c>
      <c r="R18" s="292">
        <v>45789</v>
      </c>
      <c r="S18" s="132" t="s">
        <v>904</v>
      </c>
      <c r="T18" s="297" t="s">
        <v>905</v>
      </c>
      <c r="U18" s="38"/>
    </row>
    <row r="19" spans="1:21" x14ac:dyDescent="0.35">
      <c r="A19" s="314" t="e">
        <f>#N/A</f>
        <v>#N/A</v>
      </c>
      <c r="B19" s="318">
        <v>11434</v>
      </c>
      <c r="C19" s="318" t="s">
        <v>932</v>
      </c>
      <c r="D19" s="320">
        <v>102200242354</v>
      </c>
      <c r="E19" s="314">
        <v>522094449</v>
      </c>
      <c r="F19" s="315">
        <v>45782</v>
      </c>
      <c r="G19" s="314" t="s">
        <v>775</v>
      </c>
      <c r="H19" s="314" t="s">
        <v>206</v>
      </c>
      <c r="I19" s="314" t="s">
        <v>945</v>
      </c>
      <c r="M19" s="132">
        <v>14</v>
      </c>
      <c r="N19" s="143">
        <v>11426</v>
      </c>
      <c r="O19" s="143" t="s">
        <v>910</v>
      </c>
      <c r="P19" s="291">
        <v>101835974270</v>
      </c>
      <c r="Q19" s="294" t="s">
        <v>970</v>
      </c>
      <c r="R19" s="292">
        <v>45779</v>
      </c>
      <c r="S19" s="132" t="s">
        <v>904</v>
      </c>
      <c r="T19" s="297" t="s">
        <v>907</v>
      </c>
      <c r="U19" s="38"/>
    </row>
    <row r="20" spans="1:21" x14ac:dyDescent="0.35">
      <c r="A20" s="314" t="e">
        <f>#N/A</f>
        <v>#N/A</v>
      </c>
      <c r="B20" s="318">
        <v>11435</v>
      </c>
      <c r="C20" s="318" t="s">
        <v>933</v>
      </c>
      <c r="D20" s="320">
        <v>101907617153</v>
      </c>
      <c r="E20" s="314" t="s">
        <v>327</v>
      </c>
      <c r="F20" s="315">
        <v>45779</v>
      </c>
      <c r="G20" s="314" t="s">
        <v>931</v>
      </c>
      <c r="H20" s="314" t="s">
        <v>41</v>
      </c>
      <c r="I20" s="314"/>
      <c r="M20" s="298">
        <v>15</v>
      </c>
      <c r="N20" s="53">
        <v>11414</v>
      </c>
      <c r="O20" s="132" t="s">
        <v>950</v>
      </c>
      <c r="P20" s="299">
        <v>101229024173</v>
      </c>
      <c r="Q20" s="143">
        <v>5222048497</v>
      </c>
      <c r="R20" s="292">
        <v>45769</v>
      </c>
      <c r="S20" s="132" t="s">
        <v>904</v>
      </c>
      <c r="T20" s="297" t="s">
        <v>907</v>
      </c>
      <c r="U20" s="38"/>
    </row>
    <row r="21" spans="1:21" x14ac:dyDescent="0.35">
      <c r="A21" s="314" t="e">
        <f>#N/A</f>
        <v>#N/A</v>
      </c>
      <c r="B21" s="327">
        <v>10374</v>
      </c>
      <c r="C21" s="327" t="s">
        <v>934</v>
      </c>
      <c r="D21" s="320">
        <v>101848765001</v>
      </c>
      <c r="E21" s="328">
        <v>5218662786</v>
      </c>
      <c r="F21" s="315">
        <v>45776</v>
      </c>
      <c r="G21" s="314" t="s">
        <v>935</v>
      </c>
      <c r="H21" s="314" t="s">
        <v>786</v>
      </c>
      <c r="I21" s="314"/>
      <c r="M21" s="132">
        <v>16</v>
      </c>
      <c r="N21" s="143">
        <v>11442</v>
      </c>
      <c r="O21" s="132" t="s">
        <v>951</v>
      </c>
      <c r="P21" s="300">
        <v>101995999684</v>
      </c>
      <c r="Q21" s="294">
        <v>5220342642</v>
      </c>
      <c r="R21" s="292">
        <v>45779</v>
      </c>
      <c r="S21" s="132" t="s">
        <v>904</v>
      </c>
      <c r="T21" s="297" t="s">
        <v>907</v>
      </c>
      <c r="U21" s="38"/>
    </row>
    <row r="22" spans="1:21" x14ac:dyDescent="0.35">
      <c r="A22" s="314" t="e">
        <f>#N/A</f>
        <v>#N/A</v>
      </c>
      <c r="B22" s="318">
        <v>11436</v>
      </c>
      <c r="C22" s="318" t="s">
        <v>936</v>
      </c>
      <c r="D22" s="320">
        <v>102200400213</v>
      </c>
      <c r="E22" s="329" t="s">
        <v>452</v>
      </c>
      <c r="F22" s="315">
        <v>45798</v>
      </c>
      <c r="G22" s="314" t="s">
        <v>748</v>
      </c>
      <c r="H22" s="314" t="s">
        <v>822</v>
      </c>
      <c r="I22" s="314" t="s">
        <v>937</v>
      </c>
      <c r="M22" s="132">
        <v>17</v>
      </c>
      <c r="N22" s="143">
        <v>11443</v>
      </c>
      <c r="O22" s="132" t="s">
        <v>953</v>
      </c>
      <c r="P22" s="291">
        <v>102034933534</v>
      </c>
      <c r="Q22" s="294" t="s">
        <v>952</v>
      </c>
      <c r="R22" s="292">
        <v>45779</v>
      </c>
      <c r="S22" s="132" t="s">
        <v>904</v>
      </c>
      <c r="T22" s="293" t="s">
        <v>675</v>
      </c>
      <c r="U22" s="38"/>
    </row>
    <row r="23" spans="1:21" x14ac:dyDescent="0.35">
      <c r="A23" s="314" t="e">
        <f>#N/A</f>
        <v>#N/A</v>
      </c>
      <c r="B23" s="318">
        <v>11437</v>
      </c>
      <c r="C23" s="318" t="s">
        <v>938</v>
      </c>
      <c r="D23" s="320">
        <v>102101713711</v>
      </c>
      <c r="E23" s="329" t="s">
        <v>452</v>
      </c>
      <c r="F23" s="315">
        <v>45793</v>
      </c>
      <c r="G23" s="314" t="s">
        <v>280</v>
      </c>
      <c r="H23" s="314" t="s">
        <v>822</v>
      </c>
      <c r="I23" s="314" t="s">
        <v>937</v>
      </c>
      <c r="J23" s="112"/>
      <c r="M23" s="298">
        <v>18</v>
      </c>
      <c r="N23" s="298">
        <v>11444</v>
      </c>
      <c r="O23" s="298" t="s">
        <v>954</v>
      </c>
      <c r="P23" s="291">
        <v>102105485787</v>
      </c>
      <c r="Q23" s="298">
        <v>522118717</v>
      </c>
      <c r="R23" s="301">
        <v>45779</v>
      </c>
      <c r="S23" s="298" t="s">
        <v>904</v>
      </c>
      <c r="T23" s="302" t="s">
        <v>675</v>
      </c>
      <c r="U23" s="111"/>
    </row>
    <row r="24" spans="1:21" s="309" customFormat="1" ht="156.5" x14ac:dyDescent="0.35">
      <c r="A24" s="329" t="e">
        <f>#N/A</f>
        <v>#N/A</v>
      </c>
      <c r="B24" s="329"/>
      <c r="C24" s="329" t="s">
        <v>939</v>
      </c>
      <c r="D24" s="330"/>
      <c r="E24" s="329" t="s">
        <v>452</v>
      </c>
      <c r="F24" s="329"/>
      <c r="G24" s="329"/>
      <c r="H24" s="329"/>
      <c r="I24" s="331" t="s">
        <v>940</v>
      </c>
      <c r="M24" s="132">
        <v>19</v>
      </c>
      <c r="N24" s="132">
        <v>11445</v>
      </c>
      <c r="O24" s="132" t="s">
        <v>955</v>
      </c>
      <c r="P24" s="295">
        <v>102123506591</v>
      </c>
      <c r="Q24" s="310" t="s">
        <v>957</v>
      </c>
      <c r="R24" s="292">
        <v>45789</v>
      </c>
      <c r="S24" s="132" t="s">
        <v>956</v>
      </c>
      <c r="T24" s="308" t="s">
        <v>905</v>
      </c>
      <c r="U24" s="130"/>
    </row>
    <row r="25" spans="1:21" x14ac:dyDescent="0.35">
      <c r="A25" s="314" t="e">
        <f>#N/A</f>
        <v>#N/A</v>
      </c>
      <c r="B25" s="318">
        <v>11438</v>
      </c>
      <c r="C25" s="318" t="s">
        <v>941</v>
      </c>
      <c r="D25" s="320">
        <v>101493681388</v>
      </c>
      <c r="E25" s="54">
        <v>5222104860</v>
      </c>
      <c r="F25" s="315">
        <v>45799</v>
      </c>
      <c r="G25" s="314" t="s">
        <v>280</v>
      </c>
      <c r="H25" s="314"/>
      <c r="I25" s="314" t="s">
        <v>942</v>
      </c>
      <c r="M25" s="132">
        <v>20</v>
      </c>
      <c r="N25" s="143">
        <v>11446</v>
      </c>
      <c r="O25" s="143" t="s">
        <v>958</v>
      </c>
      <c r="P25" s="291">
        <v>100736533102</v>
      </c>
      <c r="Q25" s="294" t="s">
        <v>961</v>
      </c>
      <c r="R25" s="292">
        <v>45796</v>
      </c>
      <c r="S25" s="132" t="s">
        <v>959</v>
      </c>
      <c r="T25" s="132" t="s">
        <v>960</v>
      </c>
      <c r="U25" s="43"/>
    </row>
    <row r="26" spans="1:21" x14ac:dyDescent="0.35">
      <c r="A26" s="314" t="e">
        <f>#N/A</f>
        <v>#N/A</v>
      </c>
      <c r="B26" s="318">
        <v>11439</v>
      </c>
      <c r="C26" s="318" t="s">
        <v>943</v>
      </c>
      <c r="D26" s="320">
        <v>102200504860</v>
      </c>
      <c r="E26" s="318" t="s">
        <v>1021</v>
      </c>
      <c r="F26" s="315">
        <v>45799</v>
      </c>
      <c r="G26" s="314" t="s">
        <v>944</v>
      </c>
      <c r="H26" s="314" t="s">
        <v>822</v>
      </c>
      <c r="I26" s="314"/>
      <c r="M26" s="132">
        <v>21</v>
      </c>
      <c r="N26" s="143">
        <v>11447</v>
      </c>
      <c r="O26" s="143" t="s">
        <v>962</v>
      </c>
      <c r="P26" s="291">
        <v>101467165962</v>
      </c>
      <c r="Q26" s="132">
        <v>5205817917</v>
      </c>
      <c r="R26" s="292">
        <v>45792</v>
      </c>
      <c r="S26" s="132" t="s">
        <v>963</v>
      </c>
      <c r="T26" s="132" t="s">
        <v>960</v>
      </c>
      <c r="U26" s="38"/>
    </row>
    <row r="27" spans="1:21" ht="19" x14ac:dyDescent="0.45">
      <c r="A27" s="314" t="e">
        <f>#N/A</f>
        <v>#N/A</v>
      </c>
      <c r="B27" s="354">
        <v>11546</v>
      </c>
      <c r="C27" s="314" t="s">
        <v>1144</v>
      </c>
      <c r="D27" s="194">
        <v>101121447148</v>
      </c>
      <c r="E27" s="314" t="s">
        <v>327</v>
      </c>
      <c r="F27" s="314"/>
      <c r="G27" s="314"/>
      <c r="H27" s="314"/>
      <c r="I27" s="314" t="s">
        <v>946</v>
      </c>
      <c r="M27" s="132">
        <v>22</v>
      </c>
      <c r="N27" s="299">
        <v>11448</v>
      </c>
      <c r="O27" s="291" t="s">
        <v>964</v>
      </c>
      <c r="P27" s="291">
        <v>102083481027</v>
      </c>
      <c r="Q27" s="294">
        <v>5220956992</v>
      </c>
      <c r="R27" s="292">
        <v>45798</v>
      </c>
      <c r="S27" s="132" t="s">
        <v>570</v>
      </c>
      <c r="T27" s="132" t="s">
        <v>960</v>
      </c>
      <c r="U27" s="183"/>
    </row>
    <row r="28" spans="1:21" x14ac:dyDescent="0.35">
      <c r="A28" s="314" t="e">
        <f>#N/A</f>
        <v>#N/A</v>
      </c>
      <c r="B28" s="323">
        <v>10330</v>
      </c>
      <c r="C28" s="314" t="s">
        <v>1007</v>
      </c>
      <c r="D28" s="323">
        <v>101571256244</v>
      </c>
      <c r="E28" s="328">
        <v>5218599337</v>
      </c>
      <c r="F28" s="315">
        <v>45802</v>
      </c>
      <c r="G28" s="314" t="s">
        <v>944</v>
      </c>
      <c r="H28" s="314" t="s">
        <v>35</v>
      </c>
      <c r="I28" s="314"/>
      <c r="M28" s="132">
        <v>23</v>
      </c>
      <c r="N28" s="195">
        <v>11483</v>
      </c>
      <c r="O28" s="295" t="s">
        <v>966</v>
      </c>
      <c r="P28" s="222">
        <v>101576889127</v>
      </c>
      <c r="Q28" s="294" t="s">
        <v>965</v>
      </c>
      <c r="R28" s="292">
        <v>45779</v>
      </c>
      <c r="S28" s="132" t="s">
        <v>967</v>
      </c>
      <c r="T28" s="132" t="s">
        <v>907</v>
      </c>
    </row>
    <row r="29" spans="1:21" x14ac:dyDescent="0.35">
      <c r="A29" s="314" t="e">
        <f>#N/A</f>
        <v>#N/A</v>
      </c>
      <c r="B29" s="314"/>
      <c r="C29" s="314" t="s">
        <v>1018</v>
      </c>
      <c r="D29" s="332" t="s">
        <v>1019</v>
      </c>
      <c r="E29" s="318">
        <v>5222100830</v>
      </c>
      <c r="F29" s="314"/>
      <c r="G29" s="314"/>
      <c r="H29" s="314"/>
      <c r="I29" s="333"/>
      <c r="M29" s="132">
        <v>24</v>
      </c>
      <c r="N29" s="143">
        <v>11449</v>
      </c>
      <c r="O29" s="143" t="s">
        <v>969</v>
      </c>
      <c r="P29" s="291">
        <v>102140550716</v>
      </c>
      <c r="Q29" s="296">
        <v>5221558697</v>
      </c>
      <c r="R29" s="292">
        <v>45780</v>
      </c>
      <c r="S29" s="132" t="s">
        <v>967</v>
      </c>
      <c r="T29" s="132" t="s">
        <v>960</v>
      </c>
    </row>
    <row r="30" spans="1:21" x14ac:dyDescent="0.35">
      <c r="A30" s="314" t="e">
        <f>#N/A</f>
        <v>#N/A</v>
      </c>
      <c r="B30" s="318">
        <v>11480</v>
      </c>
      <c r="C30" s="318" t="s">
        <v>1011</v>
      </c>
      <c r="D30" s="320">
        <v>101160795229</v>
      </c>
      <c r="E30" s="318">
        <v>5222101380</v>
      </c>
      <c r="F30" s="315">
        <v>45786</v>
      </c>
      <c r="G30" s="314" t="s">
        <v>935</v>
      </c>
      <c r="H30" s="314" t="s">
        <v>44</v>
      </c>
      <c r="I30" s="319"/>
      <c r="M30" s="132">
        <v>25</v>
      </c>
      <c r="N30" s="143">
        <v>11450</v>
      </c>
      <c r="O30" s="143" t="s">
        <v>971</v>
      </c>
      <c r="P30" s="291">
        <v>102105485843</v>
      </c>
      <c r="Q30" s="132" t="s">
        <v>452</v>
      </c>
      <c r="R30" s="292">
        <v>45780</v>
      </c>
      <c r="S30" s="132" t="s">
        <v>967</v>
      </c>
      <c r="T30" s="132" t="s">
        <v>960</v>
      </c>
    </row>
    <row r="31" spans="1:21" ht="15.5" x14ac:dyDescent="0.35">
      <c r="A31" s="314">
        <v>26</v>
      </c>
      <c r="B31" s="225">
        <v>11408</v>
      </c>
      <c r="C31" s="314" t="s">
        <v>1005</v>
      </c>
      <c r="D31" s="214">
        <v>101271366066</v>
      </c>
      <c r="E31" s="314" t="s">
        <v>327</v>
      </c>
      <c r="F31" s="314"/>
      <c r="G31" s="314"/>
      <c r="H31" s="314"/>
      <c r="I31" s="319"/>
      <c r="M31" s="132">
        <v>26</v>
      </c>
      <c r="N31" s="291">
        <v>10657</v>
      </c>
      <c r="O31" s="291" t="s">
        <v>972</v>
      </c>
      <c r="P31" s="291">
        <v>101553882999</v>
      </c>
      <c r="Q31" s="143" t="s">
        <v>985</v>
      </c>
      <c r="R31" s="292">
        <v>45779</v>
      </c>
      <c r="S31" s="132" t="s">
        <v>967</v>
      </c>
      <c r="T31" s="132" t="s">
        <v>960</v>
      </c>
    </row>
    <row r="32" spans="1:21" x14ac:dyDescent="0.35">
      <c r="A32" s="314">
        <v>27</v>
      </c>
      <c r="B32" s="314">
        <v>11353</v>
      </c>
      <c r="C32" s="314" t="s">
        <v>1008</v>
      </c>
      <c r="D32" s="334">
        <v>102119788595</v>
      </c>
      <c r="E32" s="54">
        <v>5222110149</v>
      </c>
      <c r="F32" s="314"/>
      <c r="G32" s="314"/>
      <c r="H32" s="314"/>
      <c r="I32" s="319"/>
      <c r="M32" s="132">
        <v>27</v>
      </c>
      <c r="N32" s="291">
        <v>11451</v>
      </c>
      <c r="O32" s="291" t="s">
        <v>973</v>
      </c>
      <c r="P32" s="291">
        <v>101759716987</v>
      </c>
      <c r="Q32" s="143">
        <v>5222071141</v>
      </c>
      <c r="R32" s="292">
        <v>45779</v>
      </c>
      <c r="S32" s="132" t="s">
        <v>967</v>
      </c>
      <c r="T32" s="132" t="s">
        <v>960</v>
      </c>
    </row>
    <row r="33" spans="1:20" x14ac:dyDescent="0.35">
      <c r="A33" s="314">
        <v>28</v>
      </c>
      <c r="B33" s="318">
        <v>11479</v>
      </c>
      <c r="C33" s="318" t="s">
        <v>1010</v>
      </c>
      <c r="D33" s="320">
        <v>102205385817</v>
      </c>
      <c r="E33" s="318" t="s">
        <v>1023</v>
      </c>
      <c r="F33" s="315">
        <v>45803</v>
      </c>
      <c r="G33" s="314" t="s">
        <v>299</v>
      </c>
      <c r="H33" s="314" t="s">
        <v>323</v>
      </c>
      <c r="I33" s="319"/>
      <c r="M33" s="132">
        <v>28</v>
      </c>
      <c r="N33" s="291">
        <v>11452</v>
      </c>
      <c r="O33" s="291" t="s">
        <v>974</v>
      </c>
      <c r="P33" s="291">
        <v>102140550697</v>
      </c>
      <c r="Q33" s="143">
        <v>5222109873</v>
      </c>
      <c r="R33" s="292">
        <v>45780</v>
      </c>
      <c r="S33" s="132" t="s">
        <v>967</v>
      </c>
      <c r="T33" s="132" t="s">
        <v>907</v>
      </c>
    </row>
    <row r="34" spans="1:20" x14ac:dyDescent="0.35">
      <c r="A34" s="314">
        <v>29</v>
      </c>
      <c r="B34" s="54">
        <v>11484</v>
      </c>
      <c r="C34" s="318" t="s">
        <v>1024</v>
      </c>
      <c r="D34" s="327">
        <v>102206697579</v>
      </c>
      <c r="E34" s="54" t="s">
        <v>1025</v>
      </c>
      <c r="F34" s="315">
        <v>45805</v>
      </c>
      <c r="G34" s="314" t="s">
        <v>1026</v>
      </c>
      <c r="H34" s="314" t="s">
        <v>786</v>
      </c>
      <c r="I34" s="319"/>
      <c r="M34" s="132">
        <v>29</v>
      </c>
      <c r="N34" s="143">
        <v>11453</v>
      </c>
      <c r="O34" s="143" t="s">
        <v>975</v>
      </c>
      <c r="P34" s="291">
        <v>102194408588</v>
      </c>
      <c r="Q34" s="143">
        <v>5222116520</v>
      </c>
      <c r="R34" s="292">
        <v>45781</v>
      </c>
      <c r="S34" s="132" t="s">
        <v>967</v>
      </c>
      <c r="T34" s="132" t="s">
        <v>960</v>
      </c>
    </row>
    <row r="35" spans="1:20" x14ac:dyDescent="0.35">
      <c r="A35" s="314">
        <v>30</v>
      </c>
      <c r="B35" s="318">
        <v>11486</v>
      </c>
      <c r="C35" s="314" t="s">
        <v>1028</v>
      </c>
      <c r="D35" s="327">
        <v>102207167919</v>
      </c>
      <c r="E35" s="54">
        <v>5222103930</v>
      </c>
      <c r="F35" s="315">
        <v>45805</v>
      </c>
      <c r="G35" s="314" t="s">
        <v>748</v>
      </c>
      <c r="H35" s="314" t="s">
        <v>786</v>
      </c>
      <c r="I35" s="319"/>
      <c r="M35" s="132">
        <v>30</v>
      </c>
      <c r="N35" s="143">
        <v>11454</v>
      </c>
      <c r="O35" s="143" t="s">
        <v>976</v>
      </c>
      <c r="P35" s="291">
        <v>102081160848</v>
      </c>
      <c r="Q35" s="143">
        <v>5222088942</v>
      </c>
      <c r="R35" s="292">
        <v>45779</v>
      </c>
      <c r="S35" s="132" t="s">
        <v>967</v>
      </c>
      <c r="T35" s="132" t="s">
        <v>960</v>
      </c>
    </row>
    <row r="36" spans="1:20" x14ac:dyDescent="0.35">
      <c r="A36" s="319"/>
      <c r="B36" s="319"/>
      <c r="C36" s="319"/>
      <c r="D36" s="319"/>
      <c r="E36" s="319"/>
      <c r="F36" s="319"/>
      <c r="G36" s="319"/>
      <c r="H36" s="319"/>
      <c r="I36" s="319"/>
      <c r="M36" s="132">
        <v>31</v>
      </c>
      <c r="N36" s="143">
        <v>11455</v>
      </c>
      <c r="O36" s="143" t="s">
        <v>977</v>
      </c>
      <c r="P36" s="291">
        <v>100066031827</v>
      </c>
      <c r="Q36" s="132">
        <v>5216977663</v>
      </c>
      <c r="R36" s="292">
        <v>45779</v>
      </c>
      <c r="S36" s="132" t="s">
        <v>967</v>
      </c>
      <c r="T36" s="132" t="s">
        <v>907</v>
      </c>
    </row>
    <row r="37" spans="1:20" x14ac:dyDescent="0.35">
      <c r="A37" s="38"/>
      <c r="B37" s="38"/>
      <c r="C37" s="38"/>
      <c r="D37" s="38"/>
      <c r="E37" s="38"/>
      <c r="F37" s="38"/>
      <c r="G37" s="38"/>
      <c r="H37" s="38"/>
      <c r="I37" s="38"/>
      <c r="M37" s="132">
        <v>32</v>
      </c>
      <c r="N37" s="143">
        <v>11456</v>
      </c>
      <c r="O37" s="143" t="s">
        <v>978</v>
      </c>
      <c r="P37" s="303">
        <v>102190795965</v>
      </c>
      <c r="Q37" s="53">
        <v>5222119786</v>
      </c>
      <c r="R37" s="292">
        <v>45779</v>
      </c>
      <c r="S37" s="132" t="s">
        <v>967</v>
      </c>
      <c r="T37" s="132" t="s">
        <v>960</v>
      </c>
    </row>
    <row r="38" spans="1:20" x14ac:dyDescent="0.35">
      <c r="A38" s="38"/>
      <c r="B38" s="38"/>
      <c r="C38" s="38"/>
      <c r="D38" s="38"/>
      <c r="E38" s="38"/>
      <c r="F38" s="38"/>
      <c r="G38" s="38"/>
      <c r="H38" s="38"/>
      <c r="I38" s="38"/>
      <c r="M38" s="298">
        <v>33</v>
      </c>
      <c r="N38" s="304">
        <v>11457</v>
      </c>
      <c r="O38" s="304" t="s">
        <v>979</v>
      </c>
      <c r="P38" s="299">
        <v>102201339457</v>
      </c>
      <c r="Q38" s="143">
        <v>5222087656</v>
      </c>
      <c r="R38" s="292">
        <v>45779</v>
      </c>
      <c r="S38" s="132" t="s">
        <v>967</v>
      </c>
      <c r="T38" s="132" t="s">
        <v>960</v>
      </c>
    </row>
    <row r="39" spans="1:20" x14ac:dyDescent="0.35">
      <c r="A39" s="38"/>
      <c r="B39" s="38"/>
      <c r="C39" s="38"/>
      <c r="D39" s="38"/>
      <c r="E39" s="38"/>
      <c r="F39" s="38"/>
      <c r="G39" s="38"/>
      <c r="H39" s="38"/>
      <c r="I39" s="38"/>
      <c r="M39" s="132">
        <v>34</v>
      </c>
      <c r="N39" s="143">
        <v>11458</v>
      </c>
      <c r="O39" s="143" t="s">
        <v>980</v>
      </c>
      <c r="P39" s="291">
        <v>102201382851</v>
      </c>
      <c r="Q39" s="143" t="s">
        <v>1003</v>
      </c>
      <c r="R39" s="292">
        <v>45779</v>
      </c>
      <c r="S39" s="132" t="s">
        <v>967</v>
      </c>
      <c r="T39" s="132" t="s">
        <v>960</v>
      </c>
    </row>
    <row r="40" spans="1:20" x14ac:dyDescent="0.35">
      <c r="M40" s="132">
        <v>35</v>
      </c>
      <c r="N40" s="298">
        <v>11460</v>
      </c>
      <c r="O40" s="132" t="s">
        <v>981</v>
      </c>
      <c r="P40" s="295">
        <v>101824234219</v>
      </c>
      <c r="Q40" s="143" t="s">
        <v>1002</v>
      </c>
      <c r="R40" s="292">
        <v>45779</v>
      </c>
      <c r="S40" s="132" t="s">
        <v>967</v>
      </c>
      <c r="T40" s="132" t="s">
        <v>960</v>
      </c>
    </row>
    <row r="41" spans="1:20" x14ac:dyDescent="0.35">
      <c r="M41" s="305">
        <v>36</v>
      </c>
      <c r="N41" s="143">
        <v>11459</v>
      </c>
      <c r="O41" s="53" t="s">
        <v>982</v>
      </c>
      <c r="P41" s="291">
        <v>101522061604</v>
      </c>
      <c r="Q41" s="53" t="s">
        <v>1030</v>
      </c>
      <c r="R41" s="292">
        <v>45779</v>
      </c>
      <c r="S41" s="132" t="s">
        <v>967</v>
      </c>
      <c r="T41" s="132" t="s">
        <v>907</v>
      </c>
    </row>
    <row r="42" spans="1:20" ht="15.5" x14ac:dyDescent="0.35">
      <c r="M42" s="132">
        <v>37</v>
      </c>
      <c r="N42" s="53">
        <v>11461</v>
      </c>
      <c r="O42" s="304" t="s">
        <v>983</v>
      </c>
      <c r="P42" s="299">
        <v>102201409431</v>
      </c>
      <c r="Q42" s="75" t="s">
        <v>1009</v>
      </c>
      <c r="R42" s="292">
        <v>45781</v>
      </c>
      <c r="S42" s="132" t="s">
        <v>967</v>
      </c>
      <c r="T42" s="132" t="s">
        <v>960</v>
      </c>
    </row>
    <row r="43" spans="1:20" x14ac:dyDescent="0.35">
      <c r="M43" s="132">
        <v>38</v>
      </c>
      <c r="N43" s="143">
        <v>11462</v>
      </c>
      <c r="O43" s="143" t="s">
        <v>984</v>
      </c>
      <c r="P43" s="291">
        <v>102020602514</v>
      </c>
      <c r="Q43" s="53">
        <v>5222123660</v>
      </c>
      <c r="R43" s="292">
        <v>45797</v>
      </c>
      <c r="S43" s="132" t="s">
        <v>647</v>
      </c>
      <c r="T43" s="132" t="s">
        <v>960</v>
      </c>
    </row>
    <row r="44" spans="1:20" x14ac:dyDescent="0.35">
      <c r="M44" s="132">
        <v>39</v>
      </c>
      <c r="N44" s="143" t="s">
        <v>1012</v>
      </c>
      <c r="O44" s="143" t="s">
        <v>986</v>
      </c>
      <c r="P44" s="291">
        <v>100964757468</v>
      </c>
      <c r="Q44" s="190">
        <v>5212734394</v>
      </c>
      <c r="R44" s="292">
        <v>45779</v>
      </c>
      <c r="S44" s="132" t="s">
        <v>967</v>
      </c>
      <c r="T44" s="132" t="s">
        <v>960</v>
      </c>
    </row>
    <row r="45" spans="1:20" x14ac:dyDescent="0.35">
      <c r="M45" s="132">
        <v>40</v>
      </c>
      <c r="N45" s="143">
        <v>11464</v>
      </c>
      <c r="O45" s="143" t="s">
        <v>987</v>
      </c>
      <c r="P45" s="291">
        <v>101636183818</v>
      </c>
      <c r="Q45" s="53">
        <v>5222116579</v>
      </c>
      <c r="R45" s="56">
        <v>45779</v>
      </c>
      <c r="S45" s="132" t="s">
        <v>967</v>
      </c>
      <c r="T45" s="132" t="s">
        <v>907</v>
      </c>
    </row>
    <row r="46" spans="1:20" ht="15.5" x14ac:dyDescent="0.35">
      <c r="M46" s="132">
        <v>41</v>
      </c>
      <c r="N46" s="143">
        <v>11465</v>
      </c>
      <c r="O46" s="143" t="s">
        <v>988</v>
      </c>
      <c r="P46" s="291">
        <v>102203871147</v>
      </c>
      <c r="Q46" s="53">
        <v>5222090613</v>
      </c>
      <c r="R46" s="74">
        <v>45793</v>
      </c>
      <c r="S46" s="52" t="s">
        <v>647</v>
      </c>
      <c r="T46" s="132" t="s">
        <v>960</v>
      </c>
    </row>
    <row r="47" spans="1:20" x14ac:dyDescent="0.35">
      <c r="M47" s="298">
        <v>42</v>
      </c>
      <c r="N47" s="298">
        <v>11466</v>
      </c>
      <c r="O47" s="298" t="s">
        <v>989</v>
      </c>
      <c r="P47" s="299">
        <v>101995802130</v>
      </c>
      <c r="Q47" s="43" t="s">
        <v>452</v>
      </c>
      <c r="R47" s="187">
        <v>45779</v>
      </c>
      <c r="S47" s="298" t="s">
        <v>967</v>
      </c>
      <c r="T47" s="132" t="s">
        <v>907</v>
      </c>
    </row>
    <row r="48" spans="1:20" x14ac:dyDescent="0.35">
      <c r="M48" s="132">
        <v>43</v>
      </c>
      <c r="N48" s="143">
        <v>11467</v>
      </c>
      <c r="O48" s="143" t="s">
        <v>990</v>
      </c>
      <c r="P48" s="291">
        <v>102178409152</v>
      </c>
      <c r="Q48" s="53">
        <v>5222097227</v>
      </c>
      <c r="R48" s="56">
        <v>45780</v>
      </c>
      <c r="S48" s="132" t="s">
        <v>967</v>
      </c>
      <c r="T48" s="132" t="s">
        <v>907</v>
      </c>
    </row>
    <row r="49" spans="13:20" x14ac:dyDescent="0.35">
      <c r="M49" s="43">
        <v>44</v>
      </c>
      <c r="N49" s="203">
        <v>11468</v>
      </c>
      <c r="O49" s="203" t="s">
        <v>991</v>
      </c>
      <c r="P49" s="195">
        <v>102203923817</v>
      </c>
      <c r="Q49" s="143">
        <v>5222087491</v>
      </c>
      <c r="R49" s="56">
        <v>45781</v>
      </c>
      <c r="S49" s="132" t="s">
        <v>967</v>
      </c>
      <c r="T49" s="132" t="s">
        <v>907</v>
      </c>
    </row>
    <row r="50" spans="13:20" ht="15.5" x14ac:dyDescent="0.35">
      <c r="M50" s="52">
        <v>45</v>
      </c>
      <c r="N50" s="196">
        <v>11146</v>
      </c>
      <c r="O50" s="196" t="s">
        <v>992</v>
      </c>
      <c r="P50" s="194">
        <v>101865597580</v>
      </c>
      <c r="Q50" s="143" t="s">
        <v>993</v>
      </c>
      <c r="R50" s="56">
        <v>45799</v>
      </c>
      <c r="S50" s="52" t="s">
        <v>647</v>
      </c>
      <c r="T50" s="132" t="s">
        <v>907</v>
      </c>
    </row>
    <row r="51" spans="13:20" x14ac:dyDescent="0.35">
      <c r="M51" s="43">
        <v>46</v>
      </c>
      <c r="N51" s="148">
        <v>11469</v>
      </c>
      <c r="O51" s="203" t="s">
        <v>994</v>
      </c>
      <c r="P51" s="195">
        <v>101780857053</v>
      </c>
      <c r="Q51" s="43"/>
      <c r="R51" s="56">
        <v>45806</v>
      </c>
      <c r="S51" s="43" t="s">
        <v>995</v>
      </c>
      <c r="T51" s="132" t="s">
        <v>960</v>
      </c>
    </row>
    <row r="52" spans="13:20" ht="15.5" x14ac:dyDescent="0.35">
      <c r="M52" s="43">
        <v>47</v>
      </c>
      <c r="N52" s="196">
        <v>11413</v>
      </c>
      <c r="O52" s="196" t="s">
        <v>860</v>
      </c>
      <c r="P52" s="194">
        <v>102121475507</v>
      </c>
      <c r="Q52" s="53">
        <v>5222109762</v>
      </c>
      <c r="R52" s="38"/>
      <c r="S52" s="38"/>
      <c r="T52" s="38"/>
    </row>
    <row r="53" spans="13:20" ht="15.5" x14ac:dyDescent="0.35">
      <c r="M53" s="43">
        <v>48</v>
      </c>
      <c r="N53" s="203">
        <v>11470</v>
      </c>
      <c r="O53" s="203" t="s">
        <v>996</v>
      </c>
      <c r="P53" s="194">
        <v>101822126505</v>
      </c>
      <c r="Q53" s="43" t="s">
        <v>452</v>
      </c>
      <c r="R53" s="56">
        <v>45806</v>
      </c>
      <c r="S53" s="43" t="s">
        <v>995</v>
      </c>
      <c r="T53" s="132" t="s">
        <v>907</v>
      </c>
    </row>
    <row r="54" spans="13:20" ht="15.5" x14ac:dyDescent="0.35">
      <c r="M54" s="52">
        <v>49</v>
      </c>
      <c r="N54" s="196">
        <v>11471</v>
      </c>
      <c r="O54" s="196" t="s">
        <v>997</v>
      </c>
      <c r="P54" s="194">
        <v>102204859901</v>
      </c>
      <c r="Q54" s="53">
        <v>5222090953</v>
      </c>
      <c r="R54" s="56">
        <v>45782</v>
      </c>
      <c r="S54" s="132" t="s">
        <v>967</v>
      </c>
      <c r="T54" s="38"/>
    </row>
    <row r="55" spans="13:20" x14ac:dyDescent="0.35">
      <c r="M55" s="43">
        <v>50</v>
      </c>
      <c r="N55" s="203">
        <v>11472</v>
      </c>
      <c r="O55" s="203" t="s">
        <v>998</v>
      </c>
      <c r="P55" s="195">
        <v>101933562969</v>
      </c>
      <c r="Q55" s="43" t="s">
        <v>452</v>
      </c>
      <c r="R55" s="292">
        <v>45779</v>
      </c>
      <c r="S55" s="132" t="s">
        <v>967</v>
      </c>
      <c r="T55" s="38"/>
    </row>
    <row r="56" spans="13:20" x14ac:dyDescent="0.35">
      <c r="M56" s="62">
        <v>51</v>
      </c>
      <c r="N56" s="195">
        <v>11473</v>
      </c>
      <c r="O56" s="260" t="s">
        <v>999</v>
      </c>
      <c r="P56" s="260">
        <v>102166440123</v>
      </c>
      <c r="Q56" s="43" t="s">
        <v>452</v>
      </c>
      <c r="R56" s="292">
        <v>45779</v>
      </c>
      <c r="S56" s="132" t="s">
        <v>967</v>
      </c>
      <c r="T56" s="38"/>
    </row>
    <row r="57" spans="13:20" x14ac:dyDescent="0.35">
      <c r="M57" s="154">
        <v>52</v>
      </c>
      <c r="N57" s="221">
        <v>11474</v>
      </c>
      <c r="O57" s="203" t="s">
        <v>1000</v>
      </c>
      <c r="P57" s="222">
        <v>101374823774</v>
      </c>
      <c r="Q57" s="190" t="s">
        <v>1001</v>
      </c>
      <c r="R57" s="56">
        <v>45797</v>
      </c>
      <c r="S57" s="43" t="s">
        <v>305</v>
      </c>
      <c r="T57" s="43" t="s">
        <v>304</v>
      </c>
    </row>
    <row r="58" spans="13:20" ht="15.5" x14ac:dyDescent="0.35">
      <c r="M58" s="43">
        <v>53</v>
      </c>
      <c r="N58" s="311">
        <v>11475</v>
      </c>
      <c r="O58" s="221" t="s">
        <v>1004</v>
      </c>
      <c r="P58" s="312">
        <v>101109421165</v>
      </c>
      <c r="Q58" s="313">
        <v>5220604138</v>
      </c>
      <c r="R58" s="187">
        <v>45787</v>
      </c>
      <c r="S58" s="123" t="s">
        <v>193</v>
      </c>
      <c r="T58" s="123"/>
    </row>
    <row r="59" spans="13:20" x14ac:dyDescent="0.35">
      <c r="M59" s="43">
        <v>54</v>
      </c>
      <c r="N59" s="203">
        <v>11482</v>
      </c>
      <c r="O59" s="203" t="s">
        <v>1013</v>
      </c>
      <c r="P59" s="195">
        <v>102117125411</v>
      </c>
      <c r="Q59" s="43">
        <v>3417592017</v>
      </c>
      <c r="R59" s="56">
        <v>45786</v>
      </c>
      <c r="S59" s="43" t="s">
        <v>1014</v>
      </c>
      <c r="T59" s="43"/>
    </row>
    <row r="60" spans="13:20" ht="15.5" x14ac:dyDescent="0.35">
      <c r="M60" s="43">
        <v>55</v>
      </c>
      <c r="N60" s="52">
        <v>11487</v>
      </c>
      <c r="O60" s="336" t="s">
        <v>1031</v>
      </c>
      <c r="P60" s="214">
        <v>101211378340</v>
      </c>
      <c r="Q60" s="143" t="s">
        <v>1032</v>
      </c>
      <c r="R60" s="56">
        <v>45789</v>
      </c>
      <c r="S60" s="43" t="s">
        <v>647</v>
      </c>
      <c r="T60" s="43" t="s">
        <v>675</v>
      </c>
    </row>
    <row r="61" spans="13:20" x14ac:dyDescent="0.35">
      <c r="M61" s="38"/>
      <c r="N61" s="38"/>
      <c r="O61" s="38"/>
      <c r="P61" s="38"/>
      <c r="Q61" s="38"/>
      <c r="R61" s="38"/>
      <c r="S61" s="38"/>
      <c r="T61" s="38"/>
    </row>
    <row r="62" spans="13:20" x14ac:dyDescent="0.35">
      <c r="M62" s="38"/>
      <c r="N62" s="38"/>
      <c r="O62" s="38"/>
      <c r="P62" s="38"/>
      <c r="Q62" s="38"/>
      <c r="R62" s="38"/>
      <c r="S62" s="38"/>
      <c r="T62" s="38"/>
    </row>
    <row r="63" spans="13:20" x14ac:dyDescent="0.35">
      <c r="M63" s="38"/>
      <c r="N63" s="38"/>
      <c r="O63" s="38"/>
      <c r="P63" s="38"/>
      <c r="Q63" s="38"/>
      <c r="R63" s="38"/>
      <c r="S63" s="38"/>
      <c r="T63" s="38"/>
    </row>
    <row r="64" spans="13:20" x14ac:dyDescent="0.35">
      <c r="M64" s="38"/>
      <c r="N64" s="38"/>
      <c r="O64" s="38"/>
      <c r="P64" s="38"/>
      <c r="Q64" s="38"/>
      <c r="R64" s="38"/>
      <c r="S64" s="38"/>
      <c r="T64" s="38"/>
    </row>
    <row r="65" spans="13:20" x14ac:dyDescent="0.35">
      <c r="M65" s="38"/>
      <c r="N65" s="38"/>
      <c r="O65" s="38"/>
      <c r="P65" s="38"/>
      <c r="Q65" s="38"/>
      <c r="R65" s="38"/>
      <c r="S65" s="38"/>
      <c r="T65" s="38"/>
    </row>
    <row r="66" spans="13:20" x14ac:dyDescent="0.35">
      <c r="M66" s="38"/>
      <c r="N66" s="38"/>
      <c r="O66" s="38"/>
      <c r="P66" s="38"/>
      <c r="Q66" s="38"/>
      <c r="R66" s="38"/>
      <c r="S66" s="38"/>
      <c r="T66" s="38"/>
    </row>
    <row r="67" spans="13:20" x14ac:dyDescent="0.35">
      <c r="M67" s="38"/>
      <c r="N67" s="38"/>
      <c r="O67" s="38"/>
      <c r="P67" s="38"/>
      <c r="Q67" s="38"/>
      <c r="R67" s="38"/>
      <c r="S67" s="38"/>
      <c r="T67" s="38"/>
    </row>
    <row r="68" spans="13:20" x14ac:dyDescent="0.35">
      <c r="M68" s="38"/>
      <c r="N68" s="38"/>
      <c r="O68" s="38"/>
      <c r="P68" s="38"/>
      <c r="Q68" s="38"/>
      <c r="R68" s="38"/>
      <c r="S68" s="38"/>
      <c r="T68" s="38"/>
    </row>
    <row r="69" spans="13:20" x14ac:dyDescent="0.35">
      <c r="M69" s="38"/>
      <c r="N69" s="38"/>
      <c r="O69" s="38"/>
      <c r="P69" s="38"/>
      <c r="Q69" s="38"/>
      <c r="R69" s="38"/>
      <c r="S69" s="38"/>
      <c r="T69" s="38"/>
    </row>
    <row r="70" spans="13:20" x14ac:dyDescent="0.35">
      <c r="M70" s="38"/>
      <c r="N70" s="38"/>
      <c r="O70" s="38"/>
      <c r="P70" s="38"/>
      <c r="Q70" s="38"/>
      <c r="R70" s="38"/>
      <c r="S70" s="38"/>
      <c r="T70" s="38"/>
    </row>
    <row r="71" spans="13:20" x14ac:dyDescent="0.35">
      <c r="M71" s="38"/>
      <c r="N71" s="38"/>
      <c r="O71" s="38"/>
      <c r="P71" s="38"/>
      <c r="Q71" s="38"/>
      <c r="R71" s="38"/>
      <c r="S71" s="38"/>
      <c r="T71" s="38"/>
    </row>
    <row r="72" spans="13:20" x14ac:dyDescent="0.35">
      <c r="M72" s="38"/>
      <c r="N72" s="38"/>
      <c r="O72" s="38"/>
      <c r="P72" s="38"/>
      <c r="Q72" s="38"/>
      <c r="R72" s="38"/>
      <c r="S72" s="38"/>
      <c r="T72" s="38"/>
    </row>
    <row r="73" spans="13:20" x14ac:dyDescent="0.35">
      <c r="M73" s="38"/>
      <c r="N73" s="38"/>
      <c r="O73" s="38"/>
      <c r="P73" s="38"/>
      <c r="Q73" s="38"/>
      <c r="R73" s="38"/>
      <c r="S73" s="38"/>
      <c r="T73" s="38"/>
    </row>
    <row r="74" spans="13:20" x14ac:dyDescent="0.35">
      <c r="M74" s="38"/>
      <c r="N74" s="38"/>
      <c r="O74" s="38"/>
      <c r="P74" s="38"/>
      <c r="Q74" s="38"/>
      <c r="R74" s="38"/>
      <c r="S74" s="38"/>
      <c r="T74" s="38"/>
    </row>
    <row r="75" spans="13:20" x14ac:dyDescent="0.35">
      <c r="M75" s="38"/>
      <c r="N75" s="38"/>
      <c r="O75" s="38"/>
      <c r="P75" s="38"/>
      <c r="Q75" s="38"/>
      <c r="R75" s="38"/>
      <c r="S75" s="38"/>
      <c r="T75" s="38"/>
    </row>
    <row r="76" spans="13:20" x14ac:dyDescent="0.35">
      <c r="M76" s="38"/>
      <c r="N76" s="38"/>
      <c r="O76" s="38"/>
      <c r="P76" s="38"/>
      <c r="Q76" s="38"/>
      <c r="R76" s="38"/>
      <c r="S76" s="38"/>
      <c r="T76" s="38"/>
    </row>
    <row r="77" spans="13:20" x14ac:dyDescent="0.35">
      <c r="M77" s="38"/>
      <c r="N77" s="38"/>
      <c r="O77" s="38"/>
      <c r="P77" s="38"/>
      <c r="Q77" s="38"/>
      <c r="R77" s="38"/>
      <c r="S77" s="38"/>
      <c r="T77" s="38"/>
    </row>
    <row r="78" spans="13:20" x14ac:dyDescent="0.35">
      <c r="M78" s="38"/>
      <c r="N78" s="38"/>
      <c r="O78" s="38"/>
      <c r="P78" s="38"/>
      <c r="Q78" s="38"/>
      <c r="R78" s="38"/>
      <c r="S78" s="38"/>
      <c r="T78" s="38"/>
    </row>
    <row r="79" spans="13:20" x14ac:dyDescent="0.35">
      <c r="M79" s="38"/>
      <c r="N79" s="38"/>
      <c r="O79" s="38"/>
      <c r="P79" s="38"/>
      <c r="Q79" s="38"/>
      <c r="R79" s="38"/>
      <c r="S79" s="38"/>
      <c r="T79" s="38"/>
    </row>
    <row r="80" spans="13:20" x14ac:dyDescent="0.35">
      <c r="M80" s="38"/>
      <c r="N80" s="38"/>
      <c r="O80" s="38"/>
      <c r="P80" s="38"/>
      <c r="Q80" s="38"/>
      <c r="R80" s="38"/>
      <c r="S80" s="38"/>
      <c r="T80" s="38"/>
    </row>
    <row r="81" spans="13:20" x14ac:dyDescent="0.35">
      <c r="M81" s="38"/>
      <c r="N81" s="38"/>
      <c r="O81" s="38"/>
      <c r="P81" s="38"/>
      <c r="Q81" s="38"/>
      <c r="R81" s="38"/>
      <c r="S81" s="38"/>
      <c r="T81" s="38"/>
    </row>
    <row r="82" spans="13:20" x14ac:dyDescent="0.35">
      <c r="M82" s="38"/>
      <c r="N82" s="38"/>
      <c r="O82" s="38"/>
      <c r="P82" s="38"/>
      <c r="Q82" s="38"/>
      <c r="R82" s="38"/>
      <c r="S82" s="38"/>
      <c r="T82" s="38"/>
    </row>
    <row r="83" spans="13:20" x14ac:dyDescent="0.35">
      <c r="M83" s="38"/>
      <c r="N83" s="38"/>
      <c r="O83" s="38"/>
      <c r="P83" s="38"/>
      <c r="Q83" s="38"/>
      <c r="R83" s="38"/>
      <c r="S83" s="38"/>
      <c r="T83" s="38"/>
    </row>
    <row r="84" spans="13:20" x14ac:dyDescent="0.35">
      <c r="M84" s="38"/>
      <c r="N84" s="38"/>
      <c r="O84" s="38"/>
      <c r="P84" s="38"/>
      <c r="Q84" s="38"/>
      <c r="R84" s="38"/>
      <c r="S84" s="38"/>
      <c r="T84" s="38"/>
    </row>
    <row r="85" spans="13:20" x14ac:dyDescent="0.35">
      <c r="M85" s="38"/>
      <c r="N85" s="38"/>
      <c r="O85" s="38"/>
      <c r="P85" s="38"/>
      <c r="Q85" s="38"/>
      <c r="R85" s="38"/>
      <c r="S85" s="38"/>
      <c r="T85" s="38"/>
    </row>
    <row r="86" spans="13:20" x14ac:dyDescent="0.35">
      <c r="M86" s="38"/>
      <c r="N86" s="38"/>
      <c r="O86" s="38"/>
      <c r="P86" s="38"/>
      <c r="Q86" s="38"/>
      <c r="R86" s="38"/>
      <c r="S86" s="38"/>
      <c r="T86" s="38"/>
    </row>
    <row r="87" spans="13:20" x14ac:dyDescent="0.35">
      <c r="M87" s="38"/>
      <c r="N87" s="38"/>
      <c r="O87" s="38"/>
      <c r="P87" s="38"/>
      <c r="Q87" s="38"/>
      <c r="R87" s="38"/>
      <c r="S87" s="38"/>
      <c r="T87" s="38"/>
    </row>
    <row r="88" spans="13:20" x14ac:dyDescent="0.35">
      <c r="M88" s="38"/>
      <c r="N88" s="38"/>
      <c r="O88" s="38"/>
      <c r="P88" s="38"/>
      <c r="Q88" s="38"/>
      <c r="R88" s="38"/>
      <c r="S88" s="38"/>
      <c r="T88" s="38"/>
    </row>
    <row r="89" spans="13:20" x14ac:dyDescent="0.35">
      <c r="M89" s="38"/>
      <c r="N89" s="38"/>
      <c r="O89" s="38"/>
      <c r="P89" s="38"/>
      <c r="Q89" s="38"/>
      <c r="R89" s="38"/>
      <c r="S89" s="38"/>
      <c r="T89" s="38"/>
    </row>
    <row r="90" spans="13:20" x14ac:dyDescent="0.35">
      <c r="M90" s="38"/>
      <c r="N90" s="38"/>
      <c r="O90" s="38"/>
      <c r="P90" s="38"/>
      <c r="Q90" s="38"/>
      <c r="R90" s="38"/>
      <c r="S90" s="38"/>
      <c r="T90" s="38"/>
    </row>
    <row r="91" spans="13:20" x14ac:dyDescent="0.35">
      <c r="M91" s="38"/>
      <c r="N91" s="38"/>
      <c r="O91" s="38"/>
      <c r="P91" s="38"/>
      <c r="Q91" s="38"/>
      <c r="R91" s="38"/>
      <c r="S91" s="38"/>
      <c r="T91" s="38"/>
    </row>
    <row r="92" spans="13:20" x14ac:dyDescent="0.35">
      <c r="M92" s="38"/>
      <c r="N92" s="38"/>
      <c r="O92" s="38"/>
      <c r="P92" s="38"/>
      <c r="Q92" s="38"/>
      <c r="R92" s="38"/>
      <c r="S92" s="38"/>
    </row>
    <row r="93" spans="13:20" x14ac:dyDescent="0.35">
      <c r="M93" s="38"/>
      <c r="N93" s="38"/>
      <c r="O93" s="38"/>
      <c r="P93" s="38"/>
      <c r="Q93" s="38"/>
      <c r="R93" s="38"/>
      <c r="S93" s="38"/>
    </row>
    <row r="94" spans="13:20" x14ac:dyDescent="0.35">
      <c r="M94" s="38"/>
      <c r="N94" s="38"/>
      <c r="O94" s="38"/>
      <c r="P94" s="38"/>
      <c r="Q94" s="38"/>
      <c r="R94" s="38"/>
      <c r="S94" s="38"/>
    </row>
    <row r="95" spans="13:20" x14ac:dyDescent="0.35">
      <c r="M95" s="38"/>
      <c r="N95" s="38"/>
      <c r="O95" s="38"/>
      <c r="P95" s="38"/>
      <c r="Q95" s="38"/>
      <c r="R95" s="38"/>
      <c r="S95" s="38"/>
    </row>
    <row r="96" spans="13:20" x14ac:dyDescent="0.35">
      <c r="M96" s="38"/>
      <c r="N96" s="38"/>
      <c r="O96" s="38"/>
      <c r="P96" s="38"/>
      <c r="Q96" s="38"/>
      <c r="R96" s="38"/>
      <c r="S96" s="38"/>
    </row>
    <row r="97" spans="13:19" x14ac:dyDescent="0.35">
      <c r="M97" s="38"/>
      <c r="N97" s="38"/>
      <c r="O97" s="38"/>
      <c r="P97" s="38"/>
      <c r="Q97" s="38"/>
      <c r="R97" s="38"/>
      <c r="S97" s="38"/>
    </row>
    <row r="98" spans="13:19" x14ac:dyDescent="0.35">
      <c r="M98" s="38"/>
      <c r="N98" s="38"/>
      <c r="O98" s="38"/>
      <c r="P98" s="38"/>
      <c r="Q98" s="38"/>
      <c r="R98" s="38"/>
      <c r="S98" s="38"/>
    </row>
    <row r="99" spans="13:19" x14ac:dyDescent="0.35">
      <c r="M99" s="38"/>
      <c r="N99" s="38"/>
      <c r="O99" s="38"/>
      <c r="P99" s="38"/>
      <c r="Q99" s="38"/>
      <c r="R99" s="38"/>
      <c r="S99" s="38"/>
    </row>
    <row r="100" spans="13:19" x14ac:dyDescent="0.35">
      <c r="M100" s="38"/>
      <c r="N100" s="38"/>
      <c r="O100" s="38"/>
      <c r="P100" s="38"/>
      <c r="Q100" s="38"/>
      <c r="R100" s="38"/>
      <c r="S100" s="38"/>
    </row>
    <row r="101" spans="13:19" x14ac:dyDescent="0.35">
      <c r="M101" s="38"/>
      <c r="N101" s="38"/>
      <c r="O101" s="38"/>
      <c r="P101" s="38"/>
      <c r="Q101" s="38"/>
      <c r="R101" s="38"/>
      <c r="S101" s="38"/>
    </row>
    <row r="102" spans="13:19" x14ac:dyDescent="0.35">
      <c r="M102" s="38"/>
      <c r="N102" s="38"/>
      <c r="O102" s="38"/>
      <c r="P102" s="38"/>
      <c r="Q102" s="38"/>
      <c r="R102" s="38"/>
      <c r="S102" s="38"/>
    </row>
    <row r="103" spans="13:19" x14ac:dyDescent="0.35">
      <c r="M103" s="38"/>
      <c r="N103" s="38"/>
      <c r="O103" s="38"/>
      <c r="P103" s="38"/>
      <c r="Q103" s="38"/>
      <c r="R103" s="38"/>
      <c r="S103" s="38"/>
    </row>
    <row r="104" spans="13:19" x14ac:dyDescent="0.35">
      <c r="M104" s="38"/>
      <c r="N104" s="38"/>
      <c r="O104" s="38"/>
      <c r="P104" s="38"/>
      <c r="Q104" s="38"/>
      <c r="R104" s="38"/>
      <c r="S104" s="38"/>
    </row>
    <row r="105" spans="13:19" x14ac:dyDescent="0.35">
      <c r="M105" s="38"/>
      <c r="N105" s="38"/>
      <c r="O105" s="38"/>
      <c r="P105" s="38"/>
      <c r="Q105" s="38"/>
      <c r="R105" s="38"/>
      <c r="S105" s="38"/>
    </row>
    <row r="106" spans="13:19" x14ac:dyDescent="0.35">
      <c r="M106" s="38"/>
      <c r="N106" s="38"/>
      <c r="O106" s="38"/>
      <c r="P106" s="38"/>
      <c r="Q106" s="38"/>
      <c r="R106" s="38"/>
      <c r="S106" s="38"/>
    </row>
    <row r="107" spans="13:19" x14ac:dyDescent="0.35">
      <c r="M107" s="38"/>
      <c r="N107" s="38"/>
      <c r="O107" s="38"/>
      <c r="P107" s="38"/>
      <c r="Q107" s="38"/>
      <c r="R107" s="38"/>
      <c r="S107" s="38"/>
    </row>
    <row r="108" spans="13:19" x14ac:dyDescent="0.35">
      <c r="M108" s="38"/>
      <c r="N108" s="38"/>
      <c r="O108" s="38"/>
      <c r="P108" s="38"/>
      <c r="Q108" s="38"/>
      <c r="R108" s="38"/>
      <c r="S108" s="38"/>
    </row>
    <row r="109" spans="13:19" x14ac:dyDescent="0.35">
      <c r="M109" s="38"/>
      <c r="N109" s="38"/>
      <c r="O109" s="38"/>
      <c r="P109" s="38"/>
      <c r="Q109" s="38"/>
      <c r="R109" s="38"/>
      <c r="S109" s="38"/>
    </row>
    <row r="110" spans="13:19" x14ac:dyDescent="0.35">
      <c r="M110" s="38"/>
      <c r="N110" s="38"/>
      <c r="O110" s="38"/>
      <c r="P110" s="38"/>
      <c r="Q110" s="38"/>
      <c r="R110" s="38"/>
      <c r="S110" s="38"/>
    </row>
    <row r="111" spans="13:19" x14ac:dyDescent="0.35">
      <c r="M111" s="38"/>
      <c r="N111" s="38"/>
      <c r="O111" s="38"/>
      <c r="P111" s="38"/>
      <c r="Q111" s="38"/>
      <c r="R111" s="38"/>
      <c r="S111" s="38"/>
    </row>
    <row r="112" spans="13:19" x14ac:dyDescent="0.35">
      <c r="M112" s="38"/>
      <c r="N112" s="38"/>
      <c r="O112" s="38"/>
      <c r="P112" s="38"/>
      <c r="Q112" s="38"/>
      <c r="R112" s="38"/>
      <c r="S112" s="38"/>
    </row>
    <row r="113" spans="13:19" x14ac:dyDescent="0.35">
      <c r="M113" s="38"/>
      <c r="N113" s="38"/>
      <c r="O113" s="38"/>
      <c r="P113" s="38"/>
      <c r="Q113" s="38"/>
      <c r="R113" s="38"/>
      <c r="S113" s="38"/>
    </row>
    <row r="114" spans="13:19" x14ac:dyDescent="0.35">
      <c r="M114" s="38"/>
      <c r="N114" s="38"/>
      <c r="O114" s="38"/>
      <c r="P114" s="38"/>
      <c r="Q114" s="38"/>
      <c r="R114" s="38"/>
      <c r="S114" s="38"/>
    </row>
    <row r="115" spans="13:19" x14ac:dyDescent="0.35">
      <c r="M115" s="38"/>
      <c r="N115" s="38"/>
      <c r="O115" s="38"/>
      <c r="P115" s="38"/>
      <c r="Q115" s="38"/>
      <c r="R115" s="38"/>
      <c r="S115" s="38"/>
    </row>
    <row r="116" spans="13:19" x14ac:dyDescent="0.35">
      <c r="M116" s="38"/>
      <c r="N116" s="38"/>
      <c r="O116" s="38"/>
      <c r="P116" s="38"/>
      <c r="Q116" s="38"/>
      <c r="R116" s="38"/>
      <c r="S116" s="38"/>
    </row>
    <row r="117" spans="13:19" x14ac:dyDescent="0.35">
      <c r="M117" s="38"/>
      <c r="N117" s="38"/>
      <c r="O117" s="38"/>
      <c r="P117" s="38"/>
      <c r="Q117" s="38"/>
      <c r="R117" s="38"/>
      <c r="S117" s="38"/>
    </row>
    <row r="118" spans="13:19" x14ac:dyDescent="0.35">
      <c r="M118" s="38"/>
      <c r="N118" s="38"/>
      <c r="O118" s="38"/>
      <c r="P118" s="38"/>
      <c r="Q118" s="38"/>
      <c r="R118" s="38"/>
      <c r="S118" s="38"/>
    </row>
    <row r="119" spans="13:19" x14ac:dyDescent="0.35">
      <c r="M119" s="38"/>
      <c r="N119" s="38"/>
      <c r="O119" s="38"/>
      <c r="P119" s="38"/>
      <c r="Q119" s="38"/>
      <c r="R119" s="38"/>
      <c r="S119" s="38"/>
    </row>
    <row r="120" spans="13:19" x14ac:dyDescent="0.35">
      <c r="M120" s="38"/>
      <c r="N120" s="38"/>
      <c r="O120" s="38"/>
      <c r="P120" s="38"/>
      <c r="Q120" s="38"/>
      <c r="R120" s="38"/>
      <c r="S120" s="38"/>
    </row>
    <row r="121" spans="13:19" x14ac:dyDescent="0.35">
      <c r="M121" s="38"/>
      <c r="N121" s="38"/>
      <c r="O121" s="38"/>
      <c r="P121" s="38"/>
      <c r="Q121" s="38"/>
      <c r="R121" s="38"/>
      <c r="S121" s="38"/>
    </row>
    <row r="122" spans="13:19" x14ac:dyDescent="0.35">
      <c r="M122" s="38"/>
      <c r="N122" s="38"/>
      <c r="O122" s="38"/>
      <c r="P122" s="38"/>
      <c r="Q122" s="38"/>
      <c r="R122" s="38"/>
      <c r="S122" s="38"/>
    </row>
    <row r="123" spans="13:19" x14ac:dyDescent="0.35">
      <c r="M123" s="38"/>
      <c r="N123" s="38"/>
      <c r="O123" s="38"/>
      <c r="P123" s="38"/>
      <c r="Q123" s="38"/>
      <c r="R123" s="38"/>
      <c r="S123" s="38"/>
    </row>
    <row r="124" spans="13:19" x14ac:dyDescent="0.35">
      <c r="M124" s="38"/>
      <c r="N124" s="38"/>
      <c r="O124" s="38"/>
      <c r="P124" s="38"/>
      <c r="Q124" s="38"/>
      <c r="R124" s="38"/>
      <c r="S124" s="38"/>
    </row>
    <row r="125" spans="13:19" x14ac:dyDescent="0.35">
      <c r="M125" s="38"/>
      <c r="N125" s="38"/>
      <c r="O125" s="38"/>
      <c r="P125" s="38"/>
      <c r="Q125" s="38"/>
      <c r="R125" s="38"/>
      <c r="S125" s="38"/>
    </row>
    <row r="126" spans="13:19" x14ac:dyDescent="0.35">
      <c r="M126" s="38"/>
      <c r="N126" s="38"/>
      <c r="O126" s="38"/>
      <c r="P126" s="38"/>
      <c r="Q126" s="38"/>
      <c r="R126" s="38"/>
      <c r="S126" s="38"/>
    </row>
    <row r="127" spans="13:19" x14ac:dyDescent="0.35">
      <c r="M127" s="38"/>
      <c r="N127" s="38"/>
      <c r="O127" s="38"/>
      <c r="P127" s="38"/>
      <c r="Q127" s="38"/>
      <c r="R127" s="38"/>
      <c r="S127" s="38"/>
    </row>
    <row r="128" spans="13:19" x14ac:dyDescent="0.35">
      <c r="M128" s="38"/>
      <c r="N128" s="38"/>
      <c r="O128" s="38"/>
      <c r="P128" s="38"/>
      <c r="Q128" s="38"/>
      <c r="R128" s="38"/>
      <c r="S128" s="3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U54"/>
  <sheetViews>
    <sheetView topLeftCell="C1" workbookViewId="0">
      <selection activeCell="O5" sqref="O5:O53"/>
    </sheetView>
  </sheetViews>
  <sheetFormatPr defaultRowHeight="14.5" x14ac:dyDescent="0.35"/>
  <cols>
    <col min="4" max="4" width="36" bestFit="1" customWidth="1"/>
    <col min="15" max="15" width="34.1796875" bestFit="1" customWidth="1"/>
  </cols>
  <sheetData>
    <row r="3" spans="2:21" ht="18.5" x14ac:dyDescent="0.45">
      <c r="D3" s="270" t="s">
        <v>751</v>
      </c>
    </row>
    <row r="4" spans="2:21" ht="15.5" x14ac:dyDescent="0.35">
      <c r="B4" s="198" t="s">
        <v>0</v>
      </c>
      <c r="C4" s="198" t="s">
        <v>1</v>
      </c>
      <c r="D4" s="198" t="s">
        <v>2</v>
      </c>
      <c r="E4" s="198" t="s">
        <v>3</v>
      </c>
      <c r="F4" s="198" t="s">
        <v>1035</v>
      </c>
      <c r="G4" s="198" t="s">
        <v>5</v>
      </c>
      <c r="H4" s="198" t="s">
        <v>6</v>
      </c>
      <c r="I4" s="198" t="s">
        <v>7</v>
      </c>
      <c r="J4" s="223" t="s">
        <v>661</v>
      </c>
      <c r="M4" s="198" t="s">
        <v>0</v>
      </c>
      <c r="N4" s="198" t="s">
        <v>1</v>
      </c>
      <c r="O4" s="198" t="s">
        <v>2</v>
      </c>
      <c r="P4" s="198" t="s">
        <v>3</v>
      </c>
      <c r="Q4" s="198" t="s">
        <v>1035</v>
      </c>
      <c r="R4" s="198" t="s">
        <v>5</v>
      </c>
      <c r="S4" s="198" t="s">
        <v>6</v>
      </c>
      <c r="T4" s="198" t="s">
        <v>7</v>
      </c>
      <c r="U4" s="223" t="s">
        <v>661</v>
      </c>
    </row>
    <row r="5" spans="2:21" ht="15.5" x14ac:dyDescent="0.35">
      <c r="B5" s="43">
        <v>1</v>
      </c>
      <c r="C5" s="43">
        <v>11488</v>
      </c>
      <c r="D5" s="52" t="s">
        <v>1033</v>
      </c>
      <c r="E5" s="222">
        <v>100142109405</v>
      </c>
      <c r="F5" s="43" t="s">
        <v>268</v>
      </c>
      <c r="G5" s="56">
        <v>45809</v>
      </c>
      <c r="H5" s="43" t="s">
        <v>1034</v>
      </c>
      <c r="I5" s="43" t="s">
        <v>1036</v>
      </c>
      <c r="J5" s="43"/>
      <c r="M5" s="52">
        <v>1</v>
      </c>
      <c r="N5" s="196">
        <v>11499</v>
      </c>
      <c r="O5" s="196" t="s">
        <v>1067</v>
      </c>
      <c r="P5" s="194">
        <v>101271939205</v>
      </c>
      <c r="Q5" s="43" t="s">
        <v>259</v>
      </c>
      <c r="R5" s="56">
        <v>45809</v>
      </c>
      <c r="S5" s="43" t="s">
        <v>1068</v>
      </c>
      <c r="T5" s="38"/>
      <c r="U5" s="38"/>
    </row>
    <row r="6" spans="2:21" ht="15.5" x14ac:dyDescent="0.35">
      <c r="B6" s="43">
        <v>2</v>
      </c>
      <c r="C6" s="338">
        <v>11489</v>
      </c>
      <c r="D6" s="196" t="s">
        <v>1047</v>
      </c>
      <c r="E6" s="339">
        <v>102096801660</v>
      </c>
      <c r="F6" s="43">
        <v>5221090161</v>
      </c>
      <c r="G6" s="56">
        <v>45811</v>
      </c>
      <c r="H6" s="43" t="s">
        <v>1049</v>
      </c>
      <c r="I6" s="43" t="s">
        <v>1048</v>
      </c>
      <c r="J6" s="289"/>
      <c r="M6" s="52">
        <v>2</v>
      </c>
      <c r="N6" s="196">
        <v>11500</v>
      </c>
      <c r="O6" s="196" t="s">
        <v>1069</v>
      </c>
      <c r="P6" s="194">
        <v>101639449256</v>
      </c>
      <c r="Q6" s="351">
        <v>5220620198</v>
      </c>
      <c r="R6" s="56">
        <v>45809</v>
      </c>
      <c r="S6" s="43" t="s">
        <v>1068</v>
      </c>
      <c r="T6" s="38"/>
      <c r="U6" s="38"/>
    </row>
    <row r="7" spans="2:21" ht="15.5" x14ac:dyDescent="0.35">
      <c r="B7" s="43">
        <v>3</v>
      </c>
      <c r="C7" s="221">
        <v>11490</v>
      </c>
      <c r="D7" s="340" t="s">
        <v>1050</v>
      </c>
      <c r="E7" s="222">
        <v>100780296625</v>
      </c>
      <c r="F7" s="190">
        <v>5220620007</v>
      </c>
      <c r="G7" s="56">
        <v>45819</v>
      </c>
      <c r="H7" s="43" t="s">
        <v>504</v>
      </c>
      <c r="I7" s="43" t="s">
        <v>197</v>
      </c>
      <c r="J7" s="289"/>
      <c r="M7" s="52">
        <v>3</v>
      </c>
      <c r="N7" s="196">
        <v>11501</v>
      </c>
      <c r="O7" s="196" t="s">
        <v>1070</v>
      </c>
      <c r="P7" s="194">
        <v>100024420681</v>
      </c>
      <c r="Q7" s="43" t="s">
        <v>259</v>
      </c>
      <c r="R7" s="56">
        <v>45809</v>
      </c>
      <c r="S7" s="43" t="s">
        <v>1068</v>
      </c>
      <c r="T7" s="38"/>
      <c r="U7" s="38"/>
    </row>
    <row r="8" spans="2:21" ht="15.5" x14ac:dyDescent="0.35">
      <c r="B8" s="43">
        <v>4</v>
      </c>
      <c r="C8" s="203">
        <v>11176</v>
      </c>
      <c r="D8" s="203" t="s">
        <v>1051</v>
      </c>
      <c r="E8" s="195">
        <v>101202926095</v>
      </c>
      <c r="F8" s="190">
        <v>5221432640</v>
      </c>
      <c r="G8" s="56">
        <v>45814</v>
      </c>
      <c r="H8" s="43" t="s">
        <v>504</v>
      </c>
      <c r="I8" s="43" t="s">
        <v>426</v>
      </c>
      <c r="J8" s="38"/>
      <c r="M8" s="52">
        <v>4</v>
      </c>
      <c r="N8" s="196">
        <v>11502</v>
      </c>
      <c r="O8" s="196" t="s">
        <v>1071</v>
      </c>
      <c r="P8" s="194">
        <v>101514160604</v>
      </c>
      <c r="Q8" s="351">
        <v>5219193894</v>
      </c>
      <c r="R8" s="74">
        <v>45817</v>
      </c>
      <c r="S8" s="52" t="s">
        <v>1072</v>
      </c>
      <c r="T8" s="38"/>
      <c r="U8" s="38"/>
    </row>
    <row r="9" spans="2:21" ht="15.5" x14ac:dyDescent="0.35">
      <c r="B9" s="43">
        <v>5</v>
      </c>
      <c r="C9" s="195">
        <v>10221</v>
      </c>
      <c r="D9" s="195" t="s">
        <v>1052</v>
      </c>
      <c r="E9" s="195">
        <v>101727230319</v>
      </c>
      <c r="F9" s="43" t="s">
        <v>327</v>
      </c>
      <c r="G9" s="56">
        <v>45819</v>
      </c>
      <c r="H9" s="43" t="s">
        <v>1034</v>
      </c>
      <c r="I9" s="43" t="s">
        <v>1053</v>
      </c>
      <c r="J9" s="38"/>
      <c r="M9" s="52">
        <v>5</v>
      </c>
      <c r="N9" s="196">
        <v>11503</v>
      </c>
      <c r="O9" s="196" t="s">
        <v>1073</v>
      </c>
      <c r="P9" s="194">
        <v>101485678129</v>
      </c>
      <c r="Q9" s="351">
        <v>5215750529</v>
      </c>
      <c r="R9" s="74">
        <v>45810</v>
      </c>
      <c r="S9" s="52" t="s">
        <v>1077</v>
      </c>
      <c r="T9" s="38"/>
      <c r="U9" s="38"/>
    </row>
    <row r="10" spans="2:21" ht="15.5" x14ac:dyDescent="0.35">
      <c r="B10" s="43">
        <v>6</v>
      </c>
      <c r="C10" s="196">
        <v>10320</v>
      </c>
      <c r="D10" s="196" t="s">
        <v>1054</v>
      </c>
      <c r="E10" s="194">
        <v>101810862627</v>
      </c>
      <c r="F10" s="43" t="s">
        <v>327</v>
      </c>
      <c r="G10" s="74">
        <v>45825</v>
      </c>
      <c r="H10" s="43" t="s">
        <v>516</v>
      </c>
      <c r="I10" s="43" t="s">
        <v>206</v>
      </c>
      <c r="J10" s="289"/>
      <c r="M10" s="43">
        <v>6</v>
      </c>
      <c r="N10" s="196">
        <v>11504</v>
      </c>
      <c r="O10" s="196" t="s">
        <v>1074</v>
      </c>
      <c r="P10" s="194">
        <v>101230858647</v>
      </c>
      <c r="Q10" s="352">
        <v>5220988452</v>
      </c>
      <c r="R10" s="56">
        <v>45818</v>
      </c>
      <c r="S10" s="43" t="s">
        <v>710</v>
      </c>
      <c r="T10" s="38"/>
      <c r="U10" s="38"/>
    </row>
    <row r="11" spans="2:21" ht="18" x14ac:dyDescent="0.4">
      <c r="B11" s="43">
        <v>7</v>
      </c>
      <c r="C11" s="203">
        <v>11491</v>
      </c>
      <c r="D11" s="203" t="s">
        <v>1055</v>
      </c>
      <c r="E11" s="195">
        <v>102211919073</v>
      </c>
      <c r="F11" s="17">
        <v>5222143518</v>
      </c>
      <c r="G11" s="56">
        <v>45810</v>
      </c>
      <c r="H11" s="43" t="s">
        <v>1049</v>
      </c>
      <c r="I11" s="43" t="s">
        <v>1048</v>
      </c>
      <c r="J11" s="43"/>
      <c r="M11" s="43">
        <v>7</v>
      </c>
      <c r="N11" s="196">
        <v>11505</v>
      </c>
      <c r="O11" s="196" t="s">
        <v>1075</v>
      </c>
      <c r="P11" s="194">
        <v>101563088981</v>
      </c>
      <c r="Q11" s="65">
        <v>5222183213</v>
      </c>
      <c r="R11" s="56">
        <v>45818</v>
      </c>
      <c r="S11" s="43" t="s">
        <v>1076</v>
      </c>
      <c r="T11" s="38"/>
      <c r="U11" s="38"/>
    </row>
    <row r="12" spans="2:21" ht="15.5" x14ac:dyDescent="0.35">
      <c r="B12" s="230">
        <v>8</v>
      </c>
      <c r="C12" s="196">
        <v>11492</v>
      </c>
      <c r="D12" s="196" t="s">
        <v>1056</v>
      </c>
      <c r="E12" s="194">
        <v>101509327072</v>
      </c>
      <c r="F12" s="196">
        <v>5222180624</v>
      </c>
      <c r="G12" s="229">
        <v>45815</v>
      </c>
      <c r="H12" s="43" t="s">
        <v>504</v>
      </c>
      <c r="I12" s="43" t="s">
        <v>1057</v>
      </c>
      <c r="J12" s="43"/>
      <c r="M12" s="52">
        <v>4</v>
      </c>
      <c r="N12" s="194">
        <v>11506</v>
      </c>
      <c r="O12" s="194" t="s">
        <v>1078</v>
      </c>
      <c r="P12" s="194">
        <v>101287783769</v>
      </c>
      <c r="Q12" s="352">
        <v>5217311408</v>
      </c>
      <c r="R12" s="56">
        <v>45809</v>
      </c>
      <c r="S12" s="73" t="s">
        <v>1068</v>
      </c>
      <c r="T12" s="38"/>
      <c r="U12" s="38"/>
    </row>
    <row r="13" spans="2:21" ht="15.5" x14ac:dyDescent="0.35">
      <c r="B13" s="43">
        <v>9</v>
      </c>
      <c r="C13" s="196">
        <v>11493</v>
      </c>
      <c r="D13" s="196" t="s">
        <v>1058</v>
      </c>
      <c r="E13" s="194">
        <v>102121152610</v>
      </c>
      <c r="F13" s="190" t="s">
        <v>1060</v>
      </c>
      <c r="G13" s="56">
        <v>45827</v>
      </c>
      <c r="H13" s="43" t="s">
        <v>1059</v>
      </c>
      <c r="I13" s="43" t="s">
        <v>206</v>
      </c>
      <c r="J13" s="43"/>
      <c r="M13" s="52">
        <v>5</v>
      </c>
      <c r="N13" s="203">
        <v>11507</v>
      </c>
      <c r="O13" s="203" t="s">
        <v>1079</v>
      </c>
      <c r="P13" s="260">
        <v>102095407562</v>
      </c>
      <c r="Q13" s="43" t="s">
        <v>366</v>
      </c>
      <c r="R13" s="56">
        <v>45809</v>
      </c>
      <c r="S13" s="73" t="s">
        <v>1068</v>
      </c>
      <c r="T13" s="38"/>
      <c r="U13" s="38"/>
    </row>
    <row r="14" spans="2:21" ht="15.5" x14ac:dyDescent="0.35">
      <c r="B14" s="43">
        <v>10</v>
      </c>
      <c r="C14" s="196">
        <v>11494</v>
      </c>
      <c r="D14" s="196" t="s">
        <v>1061</v>
      </c>
      <c r="E14" s="265">
        <v>101257566767</v>
      </c>
      <c r="F14" s="190">
        <v>5215796643</v>
      </c>
      <c r="G14" s="341">
        <v>45811</v>
      </c>
      <c r="H14" s="43" t="s">
        <v>1049</v>
      </c>
      <c r="I14" s="43" t="s">
        <v>197</v>
      </c>
      <c r="J14" s="43"/>
      <c r="M14" s="52">
        <v>6</v>
      </c>
      <c r="N14" s="196">
        <v>11508</v>
      </c>
      <c r="O14" s="196" t="s">
        <v>1080</v>
      </c>
      <c r="P14" s="194">
        <v>101941862331</v>
      </c>
      <c r="Q14" s="351">
        <v>5219683769</v>
      </c>
      <c r="R14" s="56">
        <v>45818</v>
      </c>
      <c r="S14" s="73" t="s">
        <v>1068</v>
      </c>
      <c r="T14" s="38"/>
      <c r="U14" s="38"/>
    </row>
    <row r="15" spans="2:21" ht="15.5" x14ac:dyDescent="0.35">
      <c r="B15" s="43">
        <v>11</v>
      </c>
      <c r="C15" s="196">
        <v>11495</v>
      </c>
      <c r="D15" s="196" t="s">
        <v>1062</v>
      </c>
      <c r="E15" s="194">
        <v>101421727279</v>
      </c>
      <c r="F15" s="343">
        <v>5607711873</v>
      </c>
      <c r="G15" s="56">
        <v>45813</v>
      </c>
      <c r="H15" s="43" t="s">
        <v>722</v>
      </c>
      <c r="I15" s="43" t="s">
        <v>197</v>
      </c>
      <c r="J15" s="290"/>
      <c r="M15" s="52">
        <v>7</v>
      </c>
      <c r="N15" s="196">
        <v>11509</v>
      </c>
      <c r="O15" s="196" t="s">
        <v>1081</v>
      </c>
      <c r="P15" s="194">
        <v>100026468999</v>
      </c>
      <c r="Q15" s="351" t="s">
        <v>1082</v>
      </c>
      <c r="R15" s="56">
        <v>45809</v>
      </c>
      <c r="S15" s="73" t="s">
        <v>1068</v>
      </c>
      <c r="T15" s="38"/>
      <c r="U15" s="38"/>
    </row>
    <row r="16" spans="2:21" ht="15.5" x14ac:dyDescent="0.35">
      <c r="B16" s="43">
        <v>12</v>
      </c>
      <c r="C16" s="225">
        <v>11496</v>
      </c>
      <c r="D16" s="225" t="s">
        <v>1063</v>
      </c>
      <c r="E16" s="214">
        <v>101942601293</v>
      </c>
      <c r="F16" s="343" t="s">
        <v>1131</v>
      </c>
      <c r="G16" s="56">
        <v>45817</v>
      </c>
      <c r="H16" s="43" t="s">
        <v>1064</v>
      </c>
      <c r="I16" s="43" t="s">
        <v>206</v>
      </c>
      <c r="J16" s="43"/>
      <c r="M16" s="52">
        <v>8</v>
      </c>
      <c r="N16" s="196">
        <v>11510</v>
      </c>
      <c r="O16" s="196" t="s">
        <v>1083</v>
      </c>
      <c r="P16" s="194">
        <v>101690173127</v>
      </c>
      <c r="Q16" s="43" t="s">
        <v>259</v>
      </c>
      <c r="R16" s="56">
        <v>45809</v>
      </c>
      <c r="S16" s="73" t="s">
        <v>1068</v>
      </c>
      <c r="T16" s="38"/>
      <c r="U16" s="38"/>
    </row>
    <row r="17" spans="2:21" ht="18" x14ac:dyDescent="0.4">
      <c r="B17" s="52">
        <v>13</v>
      </c>
      <c r="C17" s="342">
        <v>11497</v>
      </c>
      <c r="D17" s="342" t="s">
        <v>1065</v>
      </c>
      <c r="E17" s="195">
        <v>102118525880</v>
      </c>
      <c r="F17" s="17">
        <v>5222166724</v>
      </c>
      <c r="G17" s="56">
        <v>45832</v>
      </c>
      <c r="H17" s="43" t="s">
        <v>1066</v>
      </c>
      <c r="I17" s="43" t="s">
        <v>206</v>
      </c>
      <c r="J17" s="43"/>
      <c r="M17" s="52">
        <v>9</v>
      </c>
      <c r="N17" s="225">
        <v>11511</v>
      </c>
      <c r="O17" s="340" t="s">
        <v>1084</v>
      </c>
      <c r="P17" s="312">
        <v>100490422402</v>
      </c>
      <c r="Q17" s="353" t="s">
        <v>1085</v>
      </c>
      <c r="R17" s="56">
        <v>45809</v>
      </c>
      <c r="S17" s="73" t="s">
        <v>1068</v>
      </c>
      <c r="T17" s="38"/>
      <c r="U17" s="38"/>
    </row>
    <row r="18" spans="2:21" ht="18" x14ac:dyDescent="0.4">
      <c r="B18" s="52">
        <v>14</v>
      </c>
      <c r="C18" s="196">
        <v>11514</v>
      </c>
      <c r="D18" s="196" t="s">
        <v>1089</v>
      </c>
      <c r="E18" s="194">
        <v>102213244802</v>
      </c>
      <c r="F18" s="17">
        <v>5222180530</v>
      </c>
      <c r="G18" s="56">
        <v>45832</v>
      </c>
      <c r="H18" s="43" t="s">
        <v>1090</v>
      </c>
      <c r="I18" s="43" t="s">
        <v>1048</v>
      </c>
      <c r="J18" s="38"/>
      <c r="M18" s="52">
        <v>10</v>
      </c>
      <c r="N18" s="194">
        <v>11512</v>
      </c>
      <c r="O18" s="194" t="s">
        <v>1086</v>
      </c>
      <c r="P18" s="194">
        <v>100714836484</v>
      </c>
      <c r="Q18" s="351">
        <v>5219648233</v>
      </c>
      <c r="R18" s="56">
        <v>45809</v>
      </c>
      <c r="S18" s="73" t="s">
        <v>1068</v>
      </c>
      <c r="T18" s="38"/>
      <c r="U18" s="38"/>
    </row>
    <row r="19" spans="2:21" ht="15.5" x14ac:dyDescent="0.35">
      <c r="B19" s="43">
        <v>15</v>
      </c>
      <c r="C19" s="194">
        <v>11515</v>
      </c>
      <c r="D19" s="194" t="s">
        <v>1091</v>
      </c>
      <c r="E19" s="194">
        <v>100462810762</v>
      </c>
      <c r="F19" s="343">
        <v>5221825030</v>
      </c>
      <c r="G19" s="56">
        <v>45824</v>
      </c>
      <c r="H19" s="43" t="s">
        <v>1049</v>
      </c>
      <c r="I19" s="43" t="s">
        <v>197</v>
      </c>
      <c r="J19" s="38"/>
      <c r="M19" s="52">
        <v>11</v>
      </c>
      <c r="N19" s="194">
        <v>11513</v>
      </c>
      <c r="O19" s="194" t="s">
        <v>1087</v>
      </c>
      <c r="P19" s="194">
        <v>101779456844</v>
      </c>
      <c r="Q19" s="353" t="s">
        <v>1088</v>
      </c>
      <c r="R19" s="56">
        <v>45809</v>
      </c>
      <c r="S19" s="73" t="s">
        <v>1068</v>
      </c>
      <c r="T19" s="38"/>
      <c r="U19" s="38"/>
    </row>
    <row r="20" spans="2:21" ht="15.5" x14ac:dyDescent="0.35">
      <c r="B20" s="43">
        <v>16</v>
      </c>
      <c r="C20" s="194">
        <v>11516</v>
      </c>
      <c r="D20" s="52" t="s">
        <v>1092</v>
      </c>
      <c r="E20" s="214">
        <v>101127745901</v>
      </c>
      <c r="F20" s="43" t="s">
        <v>327</v>
      </c>
      <c r="G20" s="56">
        <v>45813</v>
      </c>
      <c r="H20" s="43" t="s">
        <v>775</v>
      </c>
      <c r="I20" s="38" t="s">
        <v>1093</v>
      </c>
      <c r="J20" s="38"/>
      <c r="M20" s="197">
        <v>16</v>
      </c>
      <c r="N20" s="194">
        <v>11521</v>
      </c>
      <c r="O20" s="194" t="s">
        <v>1105</v>
      </c>
      <c r="P20" s="194">
        <v>101432012908</v>
      </c>
      <c r="Q20" s="351" t="s">
        <v>1106</v>
      </c>
      <c r="R20" s="56">
        <v>45825</v>
      </c>
      <c r="S20" s="43" t="s">
        <v>305</v>
      </c>
      <c r="T20" s="38"/>
      <c r="U20" s="38"/>
    </row>
    <row r="21" spans="2:21" ht="15.5" x14ac:dyDescent="0.35">
      <c r="B21" s="215">
        <v>17</v>
      </c>
      <c r="C21" s="340">
        <v>11517</v>
      </c>
      <c r="D21" s="225" t="s">
        <v>1094</v>
      </c>
      <c r="E21" s="185">
        <v>101323691679</v>
      </c>
      <c r="F21" s="343" t="s">
        <v>1096</v>
      </c>
      <c r="G21" s="344">
        <v>45831</v>
      </c>
      <c r="H21" s="123" t="s">
        <v>1049</v>
      </c>
      <c r="I21" s="111" t="s">
        <v>1095</v>
      </c>
      <c r="J21" s="38"/>
      <c r="M21" s="52">
        <v>17</v>
      </c>
      <c r="N21" s="196">
        <v>11522</v>
      </c>
      <c r="O21" s="196" t="s">
        <v>1107</v>
      </c>
      <c r="P21" s="194">
        <v>101275175336</v>
      </c>
      <c r="Q21" s="352" t="s">
        <v>1108</v>
      </c>
      <c r="R21" s="74">
        <v>45826</v>
      </c>
      <c r="S21" s="52" t="s">
        <v>305</v>
      </c>
      <c r="T21" s="38"/>
      <c r="U21" s="38"/>
    </row>
    <row r="22" spans="2:21" ht="15.5" x14ac:dyDescent="0.35">
      <c r="B22" s="336">
        <v>18</v>
      </c>
      <c r="C22" s="196">
        <v>11518</v>
      </c>
      <c r="D22" s="196" t="s">
        <v>1097</v>
      </c>
      <c r="E22" s="194">
        <v>102213830631</v>
      </c>
      <c r="F22" s="75">
        <v>5222165134</v>
      </c>
      <c r="G22" s="74">
        <v>45834</v>
      </c>
      <c r="H22" s="52" t="s">
        <v>1098</v>
      </c>
      <c r="I22" s="52" t="s">
        <v>1048</v>
      </c>
      <c r="J22" s="38"/>
      <c r="M22" s="52">
        <v>18</v>
      </c>
      <c r="N22" s="196">
        <v>11325</v>
      </c>
      <c r="O22" s="196" t="s">
        <v>709</v>
      </c>
      <c r="P22" s="194">
        <v>101906837503</v>
      </c>
      <c r="Q22" s="52">
        <v>5219203624</v>
      </c>
      <c r="R22" s="74">
        <v>45809</v>
      </c>
      <c r="S22" s="52" t="s">
        <v>1072</v>
      </c>
      <c r="T22" s="38"/>
      <c r="U22" s="38"/>
    </row>
    <row r="23" spans="2:21" ht="18.5" thickBot="1" x14ac:dyDescent="0.45">
      <c r="B23" s="52">
        <v>19</v>
      </c>
      <c r="C23" s="196">
        <v>11519</v>
      </c>
      <c r="D23" s="345" t="s">
        <v>1099</v>
      </c>
      <c r="E23" s="214">
        <v>102073228879</v>
      </c>
      <c r="F23" s="17">
        <v>5222166051</v>
      </c>
      <c r="G23" s="56">
        <v>45827</v>
      </c>
      <c r="H23" s="43" t="s">
        <v>1100</v>
      </c>
      <c r="I23" s="43" t="s">
        <v>426</v>
      </c>
      <c r="J23" s="38"/>
      <c r="M23" s="52">
        <v>19</v>
      </c>
      <c r="N23" s="196">
        <v>11523</v>
      </c>
      <c r="O23" s="196" t="s">
        <v>1109</v>
      </c>
      <c r="P23" s="194">
        <v>100402604714</v>
      </c>
      <c r="Q23" s="352" t="s">
        <v>1110</v>
      </c>
      <c r="R23" s="56">
        <v>45831</v>
      </c>
      <c r="S23" s="52" t="s">
        <v>1072</v>
      </c>
      <c r="T23" s="38"/>
      <c r="U23" s="38"/>
    </row>
    <row r="24" spans="2:21" ht="18" x14ac:dyDescent="0.4">
      <c r="B24" s="123">
        <v>20</v>
      </c>
      <c r="C24" s="346">
        <v>11498</v>
      </c>
      <c r="D24" s="65" t="s">
        <v>1102</v>
      </c>
      <c r="E24" s="347">
        <v>102212742782</v>
      </c>
      <c r="F24" s="17" t="s">
        <v>1101</v>
      </c>
      <c r="G24" s="56">
        <v>45831</v>
      </c>
      <c r="H24" s="43" t="s">
        <v>1103</v>
      </c>
      <c r="I24" s="43" t="s">
        <v>1057</v>
      </c>
      <c r="J24" s="38"/>
      <c r="M24" s="52">
        <v>20</v>
      </c>
      <c r="N24" s="196">
        <v>11524</v>
      </c>
      <c r="O24" s="196" t="s">
        <v>1111</v>
      </c>
      <c r="P24" s="194">
        <v>101420937985</v>
      </c>
      <c r="Q24" s="351">
        <v>5217974870</v>
      </c>
      <c r="R24" s="56">
        <v>45818</v>
      </c>
      <c r="S24" s="52" t="s">
        <v>1072</v>
      </c>
      <c r="T24" s="38"/>
      <c r="U24" s="38"/>
    </row>
    <row r="25" spans="2:21" ht="18" x14ac:dyDescent="0.4">
      <c r="B25" s="43">
        <v>21</v>
      </c>
      <c r="C25" s="43">
        <v>11520</v>
      </c>
      <c r="D25" s="203" t="s">
        <v>1104</v>
      </c>
      <c r="E25" s="194">
        <v>101332304025</v>
      </c>
      <c r="F25" s="17">
        <v>5222180445</v>
      </c>
      <c r="G25" s="56">
        <v>45833</v>
      </c>
      <c r="H25" s="38" t="s">
        <v>1090</v>
      </c>
      <c r="I25" s="38" t="s">
        <v>197</v>
      </c>
      <c r="J25" s="38"/>
      <c r="M25" s="215">
        <v>21</v>
      </c>
      <c r="N25" s="340">
        <v>11525</v>
      </c>
      <c r="O25" s="340" t="s">
        <v>1112</v>
      </c>
      <c r="P25" s="194">
        <v>101557112388</v>
      </c>
      <c r="Q25" s="352">
        <v>5219541017</v>
      </c>
      <c r="R25" s="344">
        <v>45826</v>
      </c>
      <c r="S25" s="52" t="s">
        <v>1136</v>
      </c>
      <c r="T25" s="38"/>
      <c r="U25" s="38"/>
    </row>
    <row r="26" spans="2:21" ht="15.5" x14ac:dyDescent="0.35">
      <c r="B26" s="38"/>
      <c r="C26" s="38"/>
      <c r="D26" s="38"/>
      <c r="E26" s="38"/>
      <c r="F26" s="38"/>
      <c r="G26" s="38"/>
      <c r="H26" s="38"/>
      <c r="I26" s="38"/>
      <c r="J26" s="38"/>
      <c r="M26" s="52">
        <v>22</v>
      </c>
      <c r="N26" s="196">
        <v>11526</v>
      </c>
      <c r="O26" s="196" t="s">
        <v>1114</v>
      </c>
      <c r="P26" s="194">
        <v>101795530191</v>
      </c>
      <c r="Q26" s="351">
        <v>5210129298</v>
      </c>
      <c r="R26" s="56">
        <v>45818</v>
      </c>
      <c r="S26" s="52" t="s">
        <v>1072</v>
      </c>
      <c r="T26" s="38"/>
      <c r="U26" s="38"/>
    </row>
    <row r="27" spans="2:21" ht="15.5" x14ac:dyDescent="0.35">
      <c r="B27" s="38"/>
      <c r="C27" s="38"/>
      <c r="D27" s="38"/>
      <c r="E27" s="38"/>
      <c r="F27" s="38"/>
      <c r="G27" s="38"/>
      <c r="H27" s="38"/>
      <c r="I27" s="38"/>
      <c r="J27" s="38"/>
      <c r="M27" s="52">
        <v>23</v>
      </c>
      <c r="N27" s="203">
        <v>11527</v>
      </c>
      <c r="O27" s="203" t="s">
        <v>1115</v>
      </c>
      <c r="P27" s="195">
        <v>102111022086</v>
      </c>
      <c r="Q27" s="43" t="s">
        <v>452</v>
      </c>
      <c r="R27" s="56">
        <v>45828</v>
      </c>
      <c r="S27" s="52" t="s">
        <v>1072</v>
      </c>
      <c r="T27" s="38"/>
      <c r="U27" s="38"/>
    </row>
    <row r="28" spans="2:21" ht="18" x14ac:dyDescent="0.4">
      <c r="M28" s="52">
        <v>24</v>
      </c>
      <c r="N28" s="340">
        <v>10805</v>
      </c>
      <c r="O28" s="340" t="s">
        <v>1116</v>
      </c>
      <c r="P28" s="348">
        <v>101450845125</v>
      </c>
      <c r="Q28" s="17">
        <v>5222170883</v>
      </c>
      <c r="R28" s="56">
        <v>45827</v>
      </c>
      <c r="S28" s="52" t="s">
        <v>1113</v>
      </c>
      <c r="T28" s="38"/>
      <c r="U28" s="38"/>
    </row>
    <row r="29" spans="2:21" ht="18" x14ac:dyDescent="0.4">
      <c r="M29" s="52">
        <v>25</v>
      </c>
      <c r="N29" s="196">
        <v>11529</v>
      </c>
      <c r="O29" s="196" t="s">
        <v>1117</v>
      </c>
      <c r="P29" s="349">
        <v>101353149374</v>
      </c>
      <c r="Q29" s="17">
        <v>5222171114</v>
      </c>
      <c r="R29" s="56">
        <v>45811</v>
      </c>
      <c r="S29" s="43" t="s">
        <v>1068</v>
      </c>
      <c r="T29" s="38"/>
      <c r="U29" s="38"/>
    </row>
    <row r="30" spans="2:21" ht="18" x14ac:dyDescent="0.4">
      <c r="M30" s="52">
        <v>26</v>
      </c>
      <c r="N30" s="311">
        <v>11530</v>
      </c>
      <c r="O30" s="311" t="s">
        <v>1118</v>
      </c>
      <c r="P30" s="214">
        <v>102214699396</v>
      </c>
      <c r="Q30" s="17" t="s">
        <v>1119</v>
      </c>
      <c r="R30" s="187">
        <v>45825</v>
      </c>
      <c r="S30" s="123" t="s">
        <v>1068</v>
      </c>
      <c r="T30" s="38"/>
      <c r="U30" s="38"/>
    </row>
    <row r="31" spans="2:21" ht="15.5" x14ac:dyDescent="0.35">
      <c r="M31" s="52">
        <v>27</v>
      </c>
      <c r="N31" s="196">
        <v>11531</v>
      </c>
      <c r="O31" s="196" t="s">
        <v>1120</v>
      </c>
      <c r="P31" s="194">
        <v>101760744671</v>
      </c>
      <c r="Q31" s="352" t="s">
        <v>1121</v>
      </c>
      <c r="R31" s="74">
        <v>45809</v>
      </c>
      <c r="S31" s="52" t="s">
        <v>1068</v>
      </c>
      <c r="T31" s="38"/>
      <c r="U31" s="38"/>
    </row>
    <row r="32" spans="2:21" ht="18" x14ac:dyDescent="0.4">
      <c r="M32" s="52">
        <v>28</v>
      </c>
      <c r="N32" s="340">
        <v>11532</v>
      </c>
      <c r="O32" s="340" t="s">
        <v>1122</v>
      </c>
      <c r="P32" s="214">
        <v>102214919979</v>
      </c>
      <c r="Q32" s="17" t="s">
        <v>1123</v>
      </c>
      <c r="R32" s="74">
        <v>45809</v>
      </c>
      <c r="S32" s="52" t="s">
        <v>1068</v>
      </c>
      <c r="T32" s="38"/>
      <c r="U32" s="38"/>
    </row>
    <row r="33" spans="4:21" ht="18" x14ac:dyDescent="0.4">
      <c r="M33" s="52">
        <v>29</v>
      </c>
      <c r="N33" s="194">
        <v>11533</v>
      </c>
      <c r="O33" s="194" t="s">
        <v>1124</v>
      </c>
      <c r="P33" s="194">
        <v>102215015252</v>
      </c>
      <c r="Q33" s="134">
        <v>5222187344</v>
      </c>
      <c r="R33" s="56">
        <v>45825</v>
      </c>
      <c r="S33" s="52" t="s">
        <v>1068</v>
      </c>
      <c r="T33" s="38"/>
      <c r="U33" s="38"/>
    </row>
    <row r="34" spans="4:21" ht="15.5" x14ac:dyDescent="0.35">
      <c r="M34" s="52">
        <v>30</v>
      </c>
      <c r="N34" s="194">
        <v>11534</v>
      </c>
      <c r="O34" s="194" t="s">
        <v>1125</v>
      </c>
      <c r="P34" s="194">
        <v>101397301419</v>
      </c>
      <c r="Q34" s="43" t="s">
        <v>259</v>
      </c>
      <c r="R34" s="74">
        <v>45809</v>
      </c>
      <c r="S34" s="52" t="s">
        <v>1068</v>
      </c>
      <c r="T34" s="38"/>
      <c r="U34" s="38"/>
    </row>
    <row r="35" spans="4:21" ht="15.5" x14ac:dyDescent="0.35">
      <c r="M35" s="52">
        <v>31</v>
      </c>
      <c r="N35" s="196">
        <v>11536</v>
      </c>
      <c r="O35" s="196" t="s">
        <v>1126</v>
      </c>
      <c r="P35" s="194">
        <v>101305339175</v>
      </c>
      <c r="Q35" s="43" t="s">
        <v>259</v>
      </c>
      <c r="R35" s="74">
        <v>45809</v>
      </c>
      <c r="S35" s="52" t="s">
        <v>1068</v>
      </c>
      <c r="T35" s="38"/>
      <c r="U35" s="38"/>
    </row>
    <row r="36" spans="4:21" ht="15.5" x14ac:dyDescent="0.35">
      <c r="M36" s="52">
        <v>32</v>
      </c>
      <c r="N36" s="196">
        <v>11537</v>
      </c>
      <c r="O36" s="196" t="s">
        <v>1127</v>
      </c>
      <c r="P36" s="194">
        <v>101853065519</v>
      </c>
      <c r="Q36" s="351">
        <v>3203647953</v>
      </c>
      <c r="R36" s="56">
        <v>45825</v>
      </c>
      <c r="S36" s="52" t="s">
        <v>1068</v>
      </c>
      <c r="T36" s="38"/>
      <c r="U36" s="38"/>
    </row>
    <row r="37" spans="4:21" ht="15.5" x14ac:dyDescent="0.35">
      <c r="M37" s="52">
        <v>33</v>
      </c>
      <c r="N37" s="225">
        <v>11538</v>
      </c>
      <c r="O37" s="52" t="s">
        <v>1128</v>
      </c>
      <c r="P37" s="194">
        <v>102127151892</v>
      </c>
      <c r="Q37" s="352" t="s">
        <v>1129</v>
      </c>
      <c r="R37" s="74">
        <v>45809</v>
      </c>
      <c r="S37" s="52" t="s">
        <v>1068</v>
      </c>
      <c r="T37" s="38"/>
      <c r="U37" s="38"/>
    </row>
    <row r="38" spans="4:21" ht="18" x14ac:dyDescent="0.4">
      <c r="D38" s="234" t="s">
        <v>0</v>
      </c>
      <c r="E38" s="234" t="s">
        <v>2</v>
      </c>
      <c r="F38" s="335" t="s">
        <v>661</v>
      </c>
      <c r="M38" s="52">
        <v>34</v>
      </c>
      <c r="N38" s="340">
        <v>11539</v>
      </c>
      <c r="O38" s="340" t="s">
        <v>1130</v>
      </c>
      <c r="P38" s="214">
        <v>102215456032</v>
      </c>
      <c r="Q38" s="350">
        <v>5222179243</v>
      </c>
      <c r="R38" s="56">
        <v>45826</v>
      </c>
      <c r="S38" s="52" t="s">
        <v>1068</v>
      </c>
      <c r="T38" s="38"/>
      <c r="U38" s="38"/>
    </row>
    <row r="39" spans="4:21" ht="16.399999999999999" customHeight="1" x14ac:dyDescent="0.35">
      <c r="D39" s="38">
        <v>1</v>
      </c>
      <c r="E39" s="38" t="s">
        <v>1037</v>
      </c>
      <c r="F39" s="290" t="s">
        <v>1038</v>
      </c>
      <c r="M39" s="52">
        <v>35</v>
      </c>
      <c r="N39" s="196">
        <v>11541</v>
      </c>
      <c r="O39" s="52" t="s">
        <v>1132</v>
      </c>
      <c r="P39" s="194">
        <v>101260364125</v>
      </c>
      <c r="Q39" s="52">
        <v>5608228093</v>
      </c>
      <c r="R39" s="56">
        <v>45836</v>
      </c>
      <c r="S39" s="43" t="s">
        <v>1133</v>
      </c>
      <c r="T39" s="38"/>
      <c r="U39" s="38"/>
    </row>
    <row r="40" spans="4:21" ht="14.65" customHeight="1" x14ac:dyDescent="0.4">
      <c r="D40" s="38">
        <v>2</v>
      </c>
      <c r="E40" s="38" t="s">
        <v>1039</v>
      </c>
      <c r="F40" s="289" t="s">
        <v>1040</v>
      </c>
      <c r="M40" s="43">
        <v>36</v>
      </c>
      <c r="N40" s="196">
        <v>11540</v>
      </c>
      <c r="O40" s="196" t="s">
        <v>1134</v>
      </c>
      <c r="P40" s="194">
        <v>102215691096</v>
      </c>
      <c r="Q40" s="65">
        <v>5222182336</v>
      </c>
      <c r="R40" s="56">
        <v>45804</v>
      </c>
      <c r="S40" s="43" t="s">
        <v>1136</v>
      </c>
      <c r="T40" s="38"/>
      <c r="U40" s="38"/>
    </row>
    <row r="41" spans="4:21" ht="20.399999999999999" customHeight="1" x14ac:dyDescent="0.35">
      <c r="D41" s="38">
        <v>3</v>
      </c>
      <c r="E41" s="38" t="s">
        <v>1041</v>
      </c>
      <c r="F41" s="289" t="s">
        <v>1040</v>
      </c>
      <c r="M41" s="43">
        <v>37</v>
      </c>
      <c r="N41" s="196">
        <v>11445</v>
      </c>
      <c r="O41" s="196" t="s">
        <v>1135</v>
      </c>
      <c r="P41" s="265">
        <v>102123506591</v>
      </c>
      <c r="Q41" s="132" t="s">
        <v>957</v>
      </c>
      <c r="R41" s="56">
        <v>45820</v>
      </c>
      <c r="S41" s="43" t="s">
        <v>340</v>
      </c>
      <c r="T41" s="38"/>
      <c r="U41" s="38"/>
    </row>
    <row r="42" spans="4:21" ht="15.5" x14ac:dyDescent="0.35">
      <c r="D42" s="38">
        <v>4</v>
      </c>
      <c r="E42" s="38" t="s">
        <v>1042</v>
      </c>
      <c r="F42" s="38" t="s">
        <v>1043</v>
      </c>
      <c r="M42" s="52">
        <v>38</v>
      </c>
      <c r="N42" s="196">
        <v>11134</v>
      </c>
      <c r="O42" s="196" t="s">
        <v>338</v>
      </c>
      <c r="P42" s="194">
        <v>101555426291</v>
      </c>
      <c r="Q42" s="351">
        <v>5221465569</v>
      </c>
      <c r="R42" s="56">
        <v>45825</v>
      </c>
      <c r="S42" s="43" t="s">
        <v>1077</v>
      </c>
      <c r="T42" s="38"/>
      <c r="U42" s="38"/>
    </row>
    <row r="43" spans="4:21" ht="18" x14ac:dyDescent="0.4">
      <c r="D43" s="38">
        <v>5</v>
      </c>
      <c r="E43" s="38" t="s">
        <v>1044</v>
      </c>
      <c r="F43" s="38" t="s">
        <v>1045</v>
      </c>
      <c r="M43" s="52">
        <v>39</v>
      </c>
      <c r="N43" s="196">
        <v>11542</v>
      </c>
      <c r="O43" s="196" t="s">
        <v>1137</v>
      </c>
      <c r="P43" s="194">
        <v>102215775490</v>
      </c>
      <c r="Q43" s="17">
        <v>5222182639</v>
      </c>
      <c r="R43" s="56">
        <v>45813</v>
      </c>
      <c r="S43" s="43" t="s">
        <v>1072</v>
      </c>
      <c r="T43" s="38"/>
      <c r="U43" s="38"/>
    </row>
    <row r="44" spans="4:21" ht="18" x14ac:dyDescent="0.4">
      <c r="D44" s="38">
        <v>6</v>
      </c>
      <c r="E44" s="38" t="s">
        <v>1046</v>
      </c>
      <c r="F44" s="38" t="s">
        <v>1045</v>
      </c>
      <c r="M44" s="52">
        <v>40</v>
      </c>
      <c r="N44" s="196">
        <v>11543</v>
      </c>
      <c r="O44" s="196" t="s">
        <v>1138</v>
      </c>
      <c r="P44" s="194">
        <v>102203227517</v>
      </c>
      <c r="Q44" s="17" t="s">
        <v>1139</v>
      </c>
      <c r="R44" s="56">
        <v>45813</v>
      </c>
      <c r="S44" s="43" t="s">
        <v>1072</v>
      </c>
      <c r="T44" s="38"/>
      <c r="U44" s="38"/>
    </row>
    <row r="45" spans="4:21" ht="18" x14ac:dyDescent="0.4">
      <c r="M45" s="73">
        <v>41</v>
      </c>
      <c r="N45" s="194">
        <v>11544</v>
      </c>
      <c r="O45" s="194" t="s">
        <v>1141</v>
      </c>
      <c r="P45" s="194">
        <v>102215807969</v>
      </c>
      <c r="Q45" s="17" t="s">
        <v>1140</v>
      </c>
      <c r="R45" s="56">
        <v>45825</v>
      </c>
      <c r="S45" s="52" t="s">
        <v>1068</v>
      </c>
      <c r="T45" s="38"/>
      <c r="U45" s="38"/>
    </row>
    <row r="46" spans="4:21" ht="15.5" x14ac:dyDescent="0.35">
      <c r="M46" s="43">
        <v>42</v>
      </c>
      <c r="N46" s="196">
        <v>11545</v>
      </c>
      <c r="O46" s="196" t="s">
        <v>1142</v>
      </c>
      <c r="P46" s="194">
        <v>102215825014</v>
      </c>
      <c r="Q46" s="43" t="s">
        <v>37</v>
      </c>
      <c r="R46" s="74">
        <v>45809</v>
      </c>
      <c r="S46" s="52" t="s">
        <v>1068</v>
      </c>
      <c r="T46" s="38"/>
      <c r="U46" s="38"/>
    </row>
    <row r="47" spans="4:21" ht="18" x14ac:dyDescent="0.4">
      <c r="M47" s="215">
        <v>43</v>
      </c>
      <c r="N47" s="225">
        <v>11535</v>
      </c>
      <c r="O47" s="215" t="s">
        <v>1143</v>
      </c>
      <c r="P47" s="194">
        <v>101548958042</v>
      </c>
      <c r="Q47" s="17">
        <v>5222183141</v>
      </c>
      <c r="R47" s="187">
        <v>45819</v>
      </c>
      <c r="S47" s="123" t="s">
        <v>340</v>
      </c>
      <c r="T47" s="38"/>
      <c r="U47" s="38"/>
    </row>
    <row r="48" spans="4:21" ht="18" x14ac:dyDescent="0.4">
      <c r="M48" s="215">
        <v>44</v>
      </c>
      <c r="N48" s="340">
        <v>11547</v>
      </c>
      <c r="O48" s="340" t="s">
        <v>1145</v>
      </c>
      <c r="P48" s="213">
        <v>102217767843</v>
      </c>
      <c r="Q48" s="149">
        <v>5222198973</v>
      </c>
      <c r="R48" s="216">
        <v>45809</v>
      </c>
      <c r="S48" s="215" t="s">
        <v>266</v>
      </c>
      <c r="T48" s="38"/>
      <c r="U48" s="38"/>
    </row>
    <row r="49" spans="13:21" ht="15.5" x14ac:dyDescent="0.35">
      <c r="M49" s="52">
        <v>45</v>
      </c>
      <c r="N49" s="196">
        <v>10577</v>
      </c>
      <c r="O49" s="52" t="s">
        <v>1146</v>
      </c>
      <c r="P49" s="194">
        <v>101538437780</v>
      </c>
      <c r="Q49" s="343" t="s">
        <v>1147</v>
      </c>
      <c r="R49" s="74">
        <v>45809</v>
      </c>
      <c r="S49" s="52" t="s">
        <v>160</v>
      </c>
      <c r="T49" s="38"/>
      <c r="U49" s="38"/>
    </row>
    <row r="50" spans="13:21" ht="18.5" x14ac:dyDescent="0.45">
      <c r="M50" s="43">
        <v>46</v>
      </c>
      <c r="N50" s="38"/>
      <c r="O50" s="66" t="s">
        <v>1148</v>
      </c>
      <c r="P50" s="38"/>
      <c r="Q50" s="17">
        <v>5222200331</v>
      </c>
      <c r="R50" s="74">
        <v>45809</v>
      </c>
      <c r="S50" s="43" t="s">
        <v>706</v>
      </c>
      <c r="T50" s="38"/>
      <c r="U50" s="38"/>
    </row>
    <row r="51" spans="13:21" ht="18.5" x14ac:dyDescent="0.45">
      <c r="M51" s="43">
        <v>47</v>
      </c>
      <c r="N51" s="225">
        <v>11563</v>
      </c>
      <c r="O51" s="66" t="s">
        <v>1149</v>
      </c>
      <c r="P51" s="214">
        <v>102223986048</v>
      </c>
      <c r="Q51" s="17">
        <v>5222200584</v>
      </c>
      <c r="R51" s="37">
        <v>45810</v>
      </c>
      <c r="S51" s="43" t="s">
        <v>706</v>
      </c>
      <c r="T51" s="38"/>
      <c r="U51" s="38"/>
    </row>
    <row r="52" spans="13:21" ht="18" x14ac:dyDescent="0.4">
      <c r="M52" s="52">
        <v>48</v>
      </c>
      <c r="N52" s="196">
        <v>11548</v>
      </c>
      <c r="O52" s="196" t="s">
        <v>1150</v>
      </c>
      <c r="P52" s="194">
        <v>102219127736</v>
      </c>
      <c r="Q52" s="134">
        <v>5222254215</v>
      </c>
      <c r="R52" s="74">
        <v>45805</v>
      </c>
      <c r="S52" s="38" t="s">
        <v>1136</v>
      </c>
      <c r="T52" s="38"/>
      <c r="U52" s="38"/>
    </row>
    <row r="53" spans="13:21" x14ac:dyDescent="0.35">
      <c r="M53" s="38"/>
      <c r="N53" s="38"/>
      <c r="O53" s="38"/>
      <c r="P53" s="38"/>
      <c r="Q53" s="38"/>
      <c r="R53" s="38"/>
      <c r="S53" s="38"/>
      <c r="T53" s="38"/>
      <c r="U53" s="38"/>
    </row>
    <row r="54" spans="13:21" x14ac:dyDescent="0.35">
      <c r="M54" s="38"/>
      <c r="N54" s="38"/>
      <c r="O54" s="38"/>
      <c r="P54" s="38"/>
      <c r="Q54" s="38"/>
      <c r="R54" s="38"/>
      <c r="S54" s="38"/>
      <c r="T54" s="38"/>
      <c r="U54" s="3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V34"/>
  <sheetViews>
    <sheetView topLeftCell="A19" workbookViewId="0">
      <selection activeCell="F13" sqref="F13"/>
    </sheetView>
  </sheetViews>
  <sheetFormatPr defaultRowHeight="14.5" x14ac:dyDescent="0.35"/>
  <cols>
    <col min="4" max="4" width="36.54296875" bestFit="1" customWidth="1"/>
    <col min="6" max="6" width="10.81640625" bestFit="1" customWidth="1"/>
    <col min="7" max="7" width="14.08984375" bestFit="1" customWidth="1"/>
    <col min="16" max="16" width="35.90625" bestFit="1" customWidth="1"/>
  </cols>
  <sheetData>
    <row r="3" spans="2:22" ht="18.5" x14ac:dyDescent="0.45">
      <c r="D3" s="193" t="s">
        <v>1199</v>
      </c>
      <c r="E3" s="38"/>
      <c r="P3" s="144" t="s">
        <v>1200</v>
      </c>
    </row>
    <row r="4" spans="2:22" ht="15.5" x14ac:dyDescent="0.35">
      <c r="B4" s="198" t="s">
        <v>0</v>
      </c>
      <c r="C4" s="198" t="s">
        <v>1</v>
      </c>
      <c r="D4" s="198" t="s">
        <v>2</v>
      </c>
      <c r="E4" s="198" t="s">
        <v>3</v>
      </c>
      <c r="F4" s="198" t="s">
        <v>1035</v>
      </c>
      <c r="G4" s="198" t="s">
        <v>5</v>
      </c>
      <c r="H4" s="198" t="s">
        <v>6</v>
      </c>
      <c r="I4" s="198" t="s">
        <v>7</v>
      </c>
      <c r="J4" s="223" t="s">
        <v>661</v>
      </c>
      <c r="N4" s="198" t="s">
        <v>0</v>
      </c>
      <c r="O4" s="198" t="s">
        <v>1</v>
      </c>
      <c r="P4" s="198" t="s">
        <v>2</v>
      </c>
      <c r="Q4" s="198" t="s">
        <v>3</v>
      </c>
      <c r="R4" s="198" t="s">
        <v>1035</v>
      </c>
      <c r="S4" s="198" t="s">
        <v>5</v>
      </c>
      <c r="T4" s="198" t="s">
        <v>6</v>
      </c>
      <c r="U4" s="198" t="s">
        <v>7</v>
      </c>
      <c r="V4" s="223" t="s">
        <v>661</v>
      </c>
    </row>
    <row r="5" spans="2:22" ht="15.5" x14ac:dyDescent="0.35">
      <c r="B5" s="43">
        <v>1</v>
      </c>
      <c r="C5" s="225">
        <v>11549</v>
      </c>
      <c r="D5" s="52" t="s">
        <v>1151</v>
      </c>
      <c r="E5" s="194">
        <v>101861503829</v>
      </c>
      <c r="F5" s="180">
        <v>5221147098</v>
      </c>
      <c r="G5" s="56">
        <v>45840</v>
      </c>
      <c r="H5" s="43" t="s">
        <v>1160</v>
      </c>
      <c r="I5" s="43" t="s">
        <v>323</v>
      </c>
      <c r="J5" s="38"/>
      <c r="N5" s="43">
        <v>1</v>
      </c>
      <c r="O5" s="196">
        <v>11552</v>
      </c>
      <c r="P5" s="196" t="s">
        <v>1171</v>
      </c>
      <c r="Q5" s="194">
        <v>101770027482</v>
      </c>
      <c r="R5" s="343">
        <v>5218028516</v>
      </c>
      <c r="S5" s="74">
        <v>45853</v>
      </c>
      <c r="T5" s="52" t="s">
        <v>193</v>
      </c>
      <c r="U5" s="52" t="s">
        <v>1172</v>
      </c>
      <c r="V5" s="38"/>
    </row>
    <row r="6" spans="2:22" ht="15.5" x14ac:dyDescent="0.35">
      <c r="B6" s="43">
        <v>2</v>
      </c>
      <c r="C6" s="52">
        <v>11551</v>
      </c>
      <c r="D6" s="52" t="s">
        <v>1152</v>
      </c>
      <c r="E6" s="73">
        <v>101917143472</v>
      </c>
      <c r="F6" s="43">
        <v>5222231868</v>
      </c>
      <c r="G6" s="56">
        <v>45840</v>
      </c>
      <c r="H6" s="43" t="s">
        <v>1187</v>
      </c>
      <c r="I6" s="43" t="s">
        <v>1161</v>
      </c>
      <c r="J6" s="38"/>
      <c r="N6" s="52">
        <v>2</v>
      </c>
      <c r="O6" s="340">
        <v>11553</v>
      </c>
      <c r="P6" s="215" t="s">
        <v>1175</v>
      </c>
      <c r="Q6" s="213">
        <v>101792128156</v>
      </c>
      <c r="R6" s="360" t="s">
        <v>1173</v>
      </c>
      <c r="S6" s="56">
        <v>45843</v>
      </c>
      <c r="T6" s="43" t="s">
        <v>1174</v>
      </c>
      <c r="U6" s="52" t="s">
        <v>1172</v>
      </c>
      <c r="V6" s="38"/>
    </row>
    <row r="7" spans="2:22" ht="15.5" x14ac:dyDescent="0.35">
      <c r="B7" s="43">
        <v>3</v>
      </c>
      <c r="C7" s="52">
        <v>0</v>
      </c>
      <c r="D7" s="356" t="s">
        <v>1153</v>
      </c>
      <c r="E7" s="52" t="s">
        <v>1184</v>
      </c>
      <c r="F7" s="190">
        <v>5211297644</v>
      </c>
      <c r="G7" s="56">
        <v>45842</v>
      </c>
      <c r="H7" s="43" t="s">
        <v>1162</v>
      </c>
      <c r="I7" s="43" t="s">
        <v>783</v>
      </c>
      <c r="J7" s="38"/>
      <c r="N7" s="43">
        <v>3</v>
      </c>
      <c r="O7" s="196">
        <v>11554</v>
      </c>
      <c r="P7" s="196" t="s">
        <v>1176</v>
      </c>
      <c r="Q7" s="194">
        <v>101963695595</v>
      </c>
      <c r="R7" s="343" t="s">
        <v>1177</v>
      </c>
      <c r="S7" s="56">
        <v>45833</v>
      </c>
      <c r="T7" s="43" t="s">
        <v>141</v>
      </c>
      <c r="U7" s="52" t="s">
        <v>1172</v>
      </c>
      <c r="V7" s="38"/>
    </row>
    <row r="8" spans="2:22" ht="15.5" x14ac:dyDescent="0.35">
      <c r="B8" s="43">
        <v>4</v>
      </c>
      <c r="C8" s="225">
        <v>11550</v>
      </c>
      <c r="D8" s="52" t="s">
        <v>1154</v>
      </c>
      <c r="E8" s="194">
        <v>102005130038</v>
      </c>
      <c r="F8" s="355">
        <v>5220694528</v>
      </c>
      <c r="G8" s="56">
        <v>45845</v>
      </c>
      <c r="H8" s="43" t="s">
        <v>299</v>
      </c>
      <c r="I8" s="43" t="s">
        <v>1161</v>
      </c>
      <c r="J8" s="38"/>
      <c r="N8" s="52">
        <v>4</v>
      </c>
      <c r="O8" s="196">
        <v>11555</v>
      </c>
      <c r="P8" s="196" t="s">
        <v>1178</v>
      </c>
      <c r="Q8" s="194">
        <v>100069623192</v>
      </c>
      <c r="R8" s="343">
        <v>5221039792</v>
      </c>
      <c r="S8" s="74">
        <v>45840</v>
      </c>
      <c r="T8" s="52" t="s">
        <v>1179</v>
      </c>
      <c r="U8" s="52" t="s">
        <v>1172</v>
      </c>
      <c r="V8" s="38"/>
    </row>
    <row r="9" spans="2:22" s="309" customFormat="1" ht="18" x14ac:dyDescent="0.4">
      <c r="B9" s="130">
        <v>5</v>
      </c>
      <c r="C9" s="130">
        <v>0</v>
      </c>
      <c r="D9" s="364" t="s">
        <v>1155</v>
      </c>
      <c r="E9" s="130" t="s">
        <v>881</v>
      </c>
      <c r="F9" s="130" t="s">
        <v>881</v>
      </c>
      <c r="G9" s="130"/>
      <c r="H9" s="130"/>
      <c r="I9" s="130"/>
      <c r="J9" s="337"/>
      <c r="N9" s="52">
        <v>5</v>
      </c>
      <c r="O9" s="365">
        <v>11556</v>
      </c>
      <c r="P9" s="365" t="s">
        <v>1180</v>
      </c>
      <c r="Q9" s="366">
        <v>102071137852</v>
      </c>
      <c r="R9" s="367">
        <v>5222233200</v>
      </c>
      <c r="S9" s="56">
        <v>45839</v>
      </c>
      <c r="T9" s="43" t="s">
        <v>141</v>
      </c>
      <c r="U9" s="52" t="s">
        <v>1172</v>
      </c>
      <c r="V9" s="337"/>
    </row>
    <row r="10" spans="2:22" ht="18.5" x14ac:dyDescent="0.45">
      <c r="B10" s="43">
        <v>6</v>
      </c>
      <c r="C10" s="221">
        <v>11559</v>
      </c>
      <c r="D10" s="123" t="s">
        <v>1188</v>
      </c>
      <c r="E10" s="195">
        <v>102175411907</v>
      </c>
      <c r="F10" s="65">
        <v>5222276947</v>
      </c>
      <c r="G10" s="56">
        <v>45845</v>
      </c>
      <c r="H10" s="43" t="s">
        <v>504</v>
      </c>
      <c r="I10" s="43" t="s">
        <v>426</v>
      </c>
      <c r="J10" s="38"/>
      <c r="N10" s="52">
        <v>6</v>
      </c>
      <c r="O10" s="225">
        <v>11447</v>
      </c>
      <c r="P10" s="336" t="s">
        <v>1181</v>
      </c>
      <c r="Q10" s="214">
        <v>101467165962</v>
      </c>
      <c r="R10" s="66">
        <v>5205817917</v>
      </c>
      <c r="S10" s="74">
        <v>45841</v>
      </c>
      <c r="T10" s="52" t="s">
        <v>141</v>
      </c>
      <c r="U10" s="52" t="s">
        <v>1172</v>
      </c>
      <c r="V10" s="38"/>
    </row>
    <row r="11" spans="2:22" ht="18" x14ac:dyDescent="0.4">
      <c r="B11" s="43">
        <v>7</v>
      </c>
      <c r="C11" s="196">
        <v>11572</v>
      </c>
      <c r="D11" s="52" t="s">
        <v>1156</v>
      </c>
      <c r="E11" s="194">
        <v>101898951955</v>
      </c>
      <c r="F11" s="65">
        <v>5222277046</v>
      </c>
      <c r="G11" s="56">
        <v>45838</v>
      </c>
      <c r="H11" s="43" t="s">
        <v>1220</v>
      </c>
      <c r="I11" s="43" t="s">
        <v>783</v>
      </c>
      <c r="J11" s="38"/>
      <c r="N11" s="43">
        <v>7</v>
      </c>
      <c r="O11" s="43"/>
      <c r="P11" s="52" t="s">
        <v>1197</v>
      </c>
      <c r="Q11" s="56"/>
      <c r="R11" s="343" t="s">
        <v>866</v>
      </c>
      <c r="S11" s="56">
        <v>45839</v>
      </c>
      <c r="T11" s="43" t="s">
        <v>1198</v>
      </c>
      <c r="U11" s="43" t="s">
        <v>551</v>
      </c>
      <c r="V11" s="38"/>
    </row>
    <row r="12" spans="2:22" ht="18" x14ac:dyDescent="0.4">
      <c r="B12" s="43">
        <v>8</v>
      </c>
      <c r="C12" s="225">
        <v>11557</v>
      </c>
      <c r="D12" s="363" t="s">
        <v>1157</v>
      </c>
      <c r="E12" s="214">
        <v>102085765197</v>
      </c>
      <c r="F12" s="75" t="s">
        <v>1182</v>
      </c>
      <c r="G12" s="56">
        <v>45846</v>
      </c>
      <c r="H12" s="43"/>
      <c r="I12" s="43" t="s">
        <v>1183</v>
      </c>
      <c r="J12" s="38"/>
      <c r="N12" s="43">
        <v>8</v>
      </c>
      <c r="O12" s="196">
        <v>11564</v>
      </c>
      <c r="P12" s="43" t="s">
        <v>1201</v>
      </c>
      <c r="Q12" s="194">
        <v>102226237201</v>
      </c>
      <c r="R12" s="17">
        <v>5222268960</v>
      </c>
      <c r="S12" s="56">
        <v>45839</v>
      </c>
      <c r="T12" s="43" t="s">
        <v>1179</v>
      </c>
      <c r="U12" s="43" t="s">
        <v>551</v>
      </c>
      <c r="V12" s="38"/>
    </row>
    <row r="13" spans="2:22" ht="18" x14ac:dyDescent="0.4">
      <c r="B13" s="43">
        <v>9</v>
      </c>
      <c r="C13" s="196">
        <v>11571</v>
      </c>
      <c r="D13" s="52" t="s">
        <v>1219</v>
      </c>
      <c r="E13" s="194">
        <v>102226897689</v>
      </c>
      <c r="F13" s="43"/>
      <c r="G13" s="56">
        <v>45847</v>
      </c>
      <c r="H13" s="43" t="s">
        <v>1193</v>
      </c>
      <c r="I13" s="43" t="s">
        <v>822</v>
      </c>
      <c r="J13" s="38"/>
      <c r="N13" s="52">
        <v>9</v>
      </c>
      <c r="O13" s="196">
        <v>11565</v>
      </c>
      <c r="P13" s="196" t="s">
        <v>1202</v>
      </c>
      <c r="Q13" s="194">
        <v>102226253236</v>
      </c>
      <c r="R13" s="17">
        <v>5222269195</v>
      </c>
      <c r="S13" s="74">
        <v>45859</v>
      </c>
      <c r="T13" s="52" t="s">
        <v>959</v>
      </c>
      <c r="U13" s="52" t="s">
        <v>571</v>
      </c>
      <c r="V13" s="38"/>
    </row>
    <row r="14" spans="2:22" s="309" customFormat="1" ht="15.5" x14ac:dyDescent="0.35">
      <c r="B14" s="130">
        <v>10</v>
      </c>
      <c r="C14" s="130">
        <v>0</v>
      </c>
      <c r="D14" s="364" t="s">
        <v>1158</v>
      </c>
      <c r="E14" s="130" t="s">
        <v>881</v>
      </c>
      <c r="F14" s="130" t="s">
        <v>881</v>
      </c>
      <c r="G14" s="130"/>
      <c r="H14" s="130"/>
      <c r="I14" s="130"/>
      <c r="J14" s="337"/>
      <c r="N14" s="52">
        <v>10</v>
      </c>
      <c r="O14" s="365">
        <v>11566</v>
      </c>
      <c r="P14" s="365" t="s">
        <v>1203</v>
      </c>
      <c r="Q14" s="366">
        <v>102226281028</v>
      </c>
      <c r="R14" s="271">
        <v>5222269385</v>
      </c>
      <c r="S14" s="74">
        <v>45843</v>
      </c>
      <c r="T14" s="52" t="s">
        <v>706</v>
      </c>
      <c r="U14" s="52" t="s">
        <v>571</v>
      </c>
      <c r="V14" s="337"/>
    </row>
    <row r="15" spans="2:22" ht="15.5" x14ac:dyDescent="0.35">
      <c r="B15" s="43">
        <v>11</v>
      </c>
      <c r="C15" s="196">
        <v>11560</v>
      </c>
      <c r="D15" s="52" t="s">
        <v>1159</v>
      </c>
      <c r="E15" s="194">
        <v>102138202565</v>
      </c>
      <c r="F15" s="190">
        <v>5221397090</v>
      </c>
      <c r="G15" s="74">
        <v>45850</v>
      </c>
      <c r="H15" s="52" t="s">
        <v>299</v>
      </c>
      <c r="I15" s="52" t="s">
        <v>1183</v>
      </c>
      <c r="J15" s="38"/>
      <c r="N15" s="52">
        <v>11</v>
      </c>
      <c r="O15" s="196">
        <v>10632</v>
      </c>
      <c r="P15" s="196" t="s">
        <v>1204</v>
      </c>
      <c r="Q15" s="194">
        <v>100999139860</v>
      </c>
      <c r="R15" s="343">
        <v>5212966157</v>
      </c>
      <c r="S15" s="56">
        <v>45847</v>
      </c>
      <c r="T15" s="43" t="s">
        <v>1205</v>
      </c>
      <c r="U15" s="43" t="s">
        <v>551</v>
      </c>
      <c r="V15" s="38"/>
    </row>
    <row r="16" spans="2:22" ht="15.5" x14ac:dyDescent="0.35">
      <c r="B16" s="123">
        <v>12</v>
      </c>
      <c r="C16" s="225">
        <v>11558</v>
      </c>
      <c r="D16" s="361" t="s">
        <v>1185</v>
      </c>
      <c r="E16" s="222">
        <v>101738087426</v>
      </c>
      <c r="F16" s="190" t="s">
        <v>1186</v>
      </c>
      <c r="G16" s="229">
        <v>45852</v>
      </c>
      <c r="H16" s="154" t="s">
        <v>1187</v>
      </c>
      <c r="I16" s="154" t="s">
        <v>1183</v>
      </c>
      <c r="J16" s="38"/>
      <c r="N16" s="52">
        <v>12</v>
      </c>
      <c r="O16" s="196">
        <v>11568</v>
      </c>
      <c r="P16" s="196" t="s">
        <v>1215</v>
      </c>
      <c r="Q16" s="194">
        <v>102226751066</v>
      </c>
      <c r="R16" s="75" t="s">
        <v>1216</v>
      </c>
      <c r="S16" s="74">
        <v>45859</v>
      </c>
      <c r="T16" s="52" t="s">
        <v>959</v>
      </c>
      <c r="U16" s="43" t="s">
        <v>551</v>
      </c>
      <c r="V16" s="38"/>
    </row>
    <row r="17" spans="2:22" ht="18" x14ac:dyDescent="0.4">
      <c r="B17" s="52">
        <v>13</v>
      </c>
      <c r="C17" s="196">
        <v>10658</v>
      </c>
      <c r="D17" s="52" t="s">
        <v>1189</v>
      </c>
      <c r="E17" s="194">
        <v>101169817246</v>
      </c>
      <c r="F17" s="343" t="s">
        <v>1191</v>
      </c>
      <c r="G17" s="56">
        <v>45852</v>
      </c>
      <c r="H17" s="43" t="s">
        <v>1090</v>
      </c>
      <c r="I17" s="43" t="s">
        <v>1190</v>
      </c>
      <c r="J17" s="38"/>
      <c r="N17" s="52">
        <v>13</v>
      </c>
      <c r="O17" s="196">
        <v>11569</v>
      </c>
      <c r="P17" s="196" t="s">
        <v>1217</v>
      </c>
      <c r="Q17" s="194">
        <v>101737228868</v>
      </c>
      <c r="R17" s="65">
        <v>5222274024</v>
      </c>
      <c r="S17" s="56">
        <v>45857</v>
      </c>
      <c r="T17" s="43" t="s">
        <v>633</v>
      </c>
      <c r="U17" s="43" t="s">
        <v>551</v>
      </c>
      <c r="V17" s="38"/>
    </row>
    <row r="18" spans="2:22" ht="18" x14ac:dyDescent="0.4">
      <c r="B18" s="73">
        <v>14</v>
      </c>
      <c r="C18" s="194">
        <v>11561</v>
      </c>
      <c r="D18" s="194" t="s">
        <v>1192</v>
      </c>
      <c r="E18" s="194">
        <v>102223470178</v>
      </c>
      <c r="F18" s="17">
        <v>5222238403</v>
      </c>
      <c r="G18" s="56">
        <v>45853</v>
      </c>
      <c r="H18" s="43" t="s">
        <v>1193</v>
      </c>
      <c r="I18" s="43" t="s">
        <v>197</v>
      </c>
      <c r="J18" s="38"/>
      <c r="N18" s="52">
        <v>14</v>
      </c>
      <c r="O18" s="196">
        <v>11570</v>
      </c>
      <c r="P18" s="52" t="s">
        <v>1218</v>
      </c>
      <c r="Q18" s="194">
        <v>102184831098</v>
      </c>
      <c r="R18" s="17">
        <v>5222274306</v>
      </c>
      <c r="S18" s="56">
        <v>45858</v>
      </c>
      <c r="T18" s="43" t="s">
        <v>633</v>
      </c>
      <c r="U18" s="43" t="s">
        <v>551</v>
      </c>
      <c r="V18" s="38"/>
    </row>
    <row r="19" spans="2:22" ht="15.5" x14ac:dyDescent="0.35">
      <c r="B19" s="52">
        <v>15</v>
      </c>
      <c r="C19" s="52"/>
      <c r="D19" s="52" t="s">
        <v>1194</v>
      </c>
      <c r="E19" s="52"/>
      <c r="F19" s="52"/>
      <c r="G19" s="52"/>
      <c r="H19" s="52"/>
      <c r="I19" s="52"/>
      <c r="J19" s="38"/>
      <c r="N19" s="185">
        <v>15</v>
      </c>
      <c r="O19" s="213">
        <v>11576</v>
      </c>
      <c r="P19" s="213" t="s">
        <v>1226</v>
      </c>
      <c r="Q19" s="213">
        <v>101493894511</v>
      </c>
      <c r="R19" s="111"/>
      <c r="S19" s="187">
        <v>45868</v>
      </c>
      <c r="T19" s="123" t="s">
        <v>488</v>
      </c>
      <c r="U19" s="43" t="s">
        <v>551</v>
      </c>
      <c r="V19" s="111"/>
    </row>
    <row r="20" spans="2:22" ht="18" x14ac:dyDescent="0.4">
      <c r="B20" s="52">
        <v>16</v>
      </c>
      <c r="C20" s="196">
        <v>11562</v>
      </c>
      <c r="D20" s="196" t="s">
        <v>1195</v>
      </c>
      <c r="E20" s="194">
        <v>102223905304</v>
      </c>
      <c r="F20" s="65">
        <v>5221922693</v>
      </c>
      <c r="G20" s="74">
        <v>45839</v>
      </c>
      <c r="H20" s="52" t="s">
        <v>1090</v>
      </c>
      <c r="I20" s="52" t="s">
        <v>1196</v>
      </c>
      <c r="N20" s="43">
        <v>16</v>
      </c>
      <c r="O20" s="43">
        <v>11578</v>
      </c>
      <c r="P20" s="43" t="s">
        <v>1227</v>
      </c>
      <c r="Q20" s="62">
        <v>102122770269</v>
      </c>
      <c r="R20" s="43">
        <v>5222321067</v>
      </c>
      <c r="S20" s="56">
        <v>45865</v>
      </c>
      <c r="T20" s="43" t="s">
        <v>141</v>
      </c>
      <c r="U20" s="43" t="s">
        <v>551</v>
      </c>
      <c r="V20" s="38"/>
    </row>
    <row r="21" spans="2:22" ht="18" x14ac:dyDescent="0.4">
      <c r="B21" s="52">
        <v>17</v>
      </c>
      <c r="C21" s="196">
        <v>11567</v>
      </c>
      <c r="D21" s="196" t="s">
        <v>1206</v>
      </c>
      <c r="E21" s="194">
        <v>101975985629</v>
      </c>
      <c r="F21" s="65">
        <v>5222277494</v>
      </c>
      <c r="G21" s="362">
        <v>45857</v>
      </c>
      <c r="H21" s="52" t="s">
        <v>1207</v>
      </c>
      <c r="I21" s="52" t="s">
        <v>822</v>
      </c>
      <c r="N21" s="73">
        <v>17</v>
      </c>
      <c r="O21" s="43">
        <v>11577</v>
      </c>
      <c r="P21" s="43" t="s">
        <v>1228</v>
      </c>
      <c r="Q21" s="62">
        <v>102027512335</v>
      </c>
      <c r="R21" s="43">
        <v>5222320788</v>
      </c>
      <c r="S21" s="56">
        <v>45840</v>
      </c>
      <c r="T21" s="52" t="s">
        <v>706</v>
      </c>
      <c r="U21" s="43" t="s">
        <v>551</v>
      </c>
      <c r="V21" s="38"/>
    </row>
    <row r="22" spans="2:22" ht="18" x14ac:dyDescent="0.4">
      <c r="B22" s="123">
        <v>18</v>
      </c>
      <c r="C22" s="123"/>
      <c r="D22" s="65" t="s">
        <v>1208</v>
      </c>
      <c r="E22" s="123" t="s">
        <v>1184</v>
      </c>
      <c r="F22" s="65">
        <v>5222270327</v>
      </c>
      <c r="G22" s="56">
        <v>45861</v>
      </c>
      <c r="H22" s="43" t="s">
        <v>1090</v>
      </c>
      <c r="I22" s="43" t="s">
        <v>1183</v>
      </c>
      <c r="N22" s="43">
        <v>18</v>
      </c>
      <c r="O22" s="43">
        <v>11579</v>
      </c>
      <c r="P22" s="43" t="s">
        <v>1229</v>
      </c>
      <c r="Q22" s="62">
        <v>101991051464</v>
      </c>
      <c r="R22" s="43">
        <v>5221242639</v>
      </c>
      <c r="S22" s="56">
        <v>45869</v>
      </c>
      <c r="T22" s="52" t="s">
        <v>706</v>
      </c>
      <c r="U22" s="43" t="s">
        <v>551</v>
      </c>
      <c r="V22" s="38"/>
    </row>
    <row r="23" spans="2:22" ht="18" x14ac:dyDescent="0.4">
      <c r="B23" s="73">
        <v>19</v>
      </c>
      <c r="C23" s="194">
        <v>11573</v>
      </c>
      <c r="D23" s="194" t="s">
        <v>1221</v>
      </c>
      <c r="E23" s="194">
        <v>102086307355</v>
      </c>
      <c r="F23" s="17"/>
      <c r="G23" s="56">
        <v>45861</v>
      </c>
      <c r="H23" s="43" t="s">
        <v>1090</v>
      </c>
      <c r="I23" s="43" t="s">
        <v>1183</v>
      </c>
      <c r="N23" s="73">
        <v>19</v>
      </c>
      <c r="O23" s="43">
        <v>11580</v>
      </c>
      <c r="P23" s="43" t="s">
        <v>1230</v>
      </c>
      <c r="Q23" s="62">
        <v>101990955220</v>
      </c>
      <c r="R23" s="43">
        <v>5221341062</v>
      </c>
      <c r="S23" s="56">
        <v>45869</v>
      </c>
      <c r="T23" s="52" t="s">
        <v>706</v>
      </c>
      <c r="U23" s="43" t="s">
        <v>551</v>
      </c>
      <c r="V23" s="38"/>
    </row>
    <row r="24" spans="2:22" ht="15.5" x14ac:dyDescent="0.35">
      <c r="B24" s="43">
        <v>20</v>
      </c>
      <c r="C24" s="196">
        <v>11097</v>
      </c>
      <c r="D24" s="196" t="s">
        <v>251</v>
      </c>
      <c r="E24" s="194">
        <v>102031497967</v>
      </c>
      <c r="F24" s="52">
        <v>4406638103</v>
      </c>
      <c r="G24" s="74">
        <v>45866</v>
      </c>
      <c r="H24" s="52" t="s">
        <v>935</v>
      </c>
      <c r="I24" s="52" t="s">
        <v>822</v>
      </c>
      <c r="N24" s="155"/>
      <c r="O24" s="154">
        <v>11601</v>
      </c>
      <c r="P24" s="154" t="s">
        <v>1237</v>
      </c>
      <c r="Q24" s="62">
        <v>102239753998</v>
      </c>
      <c r="R24" s="154">
        <v>5222338877</v>
      </c>
      <c r="S24" s="229">
        <v>45864</v>
      </c>
      <c r="T24" s="43" t="s">
        <v>141</v>
      </c>
      <c r="U24" s="43" t="s">
        <v>551</v>
      </c>
      <c r="V24" s="155"/>
    </row>
    <row r="25" spans="2:22" ht="15.5" x14ac:dyDescent="0.35">
      <c r="B25" s="43">
        <v>21</v>
      </c>
      <c r="C25" s="203">
        <v>11574</v>
      </c>
      <c r="D25" s="203" t="s">
        <v>1222</v>
      </c>
      <c r="E25" s="195">
        <v>101482114278</v>
      </c>
      <c r="F25" s="360">
        <v>5220962075</v>
      </c>
      <c r="G25" s="74">
        <v>45866</v>
      </c>
      <c r="H25" s="52" t="s">
        <v>935</v>
      </c>
      <c r="I25" s="52" t="s">
        <v>822</v>
      </c>
      <c r="N25" s="38"/>
      <c r="O25" s="43">
        <v>11582</v>
      </c>
      <c r="P25" s="43" t="s">
        <v>1247</v>
      </c>
      <c r="Q25" s="62">
        <v>100903702855</v>
      </c>
      <c r="R25" s="43" t="s">
        <v>233</v>
      </c>
      <c r="S25" s="56">
        <v>45868</v>
      </c>
      <c r="T25" s="43" t="s">
        <v>1248</v>
      </c>
      <c r="U25" s="43" t="s">
        <v>551</v>
      </c>
      <c r="V25" s="38"/>
    </row>
    <row r="26" spans="2:22" ht="15.5" x14ac:dyDescent="0.35">
      <c r="B26" s="73">
        <v>22</v>
      </c>
      <c r="C26" s="194">
        <v>11575</v>
      </c>
      <c r="D26" s="194" t="s">
        <v>1223</v>
      </c>
      <c r="E26" s="194">
        <v>102214253513</v>
      </c>
      <c r="F26" s="43" t="s">
        <v>1224</v>
      </c>
      <c r="G26" s="56">
        <v>45862</v>
      </c>
      <c r="H26" s="43"/>
      <c r="I26" s="43" t="s">
        <v>1183</v>
      </c>
      <c r="N26" s="38"/>
      <c r="O26" s="43">
        <v>11587</v>
      </c>
      <c r="P26" s="43" t="s">
        <v>1252</v>
      </c>
      <c r="Q26" s="62">
        <v>102017009491</v>
      </c>
      <c r="R26" s="43">
        <v>5220334566</v>
      </c>
      <c r="S26" s="56">
        <v>45860</v>
      </c>
      <c r="T26" s="43" t="s">
        <v>141</v>
      </c>
      <c r="U26" s="43" t="s">
        <v>551</v>
      </c>
      <c r="V26" s="38"/>
    </row>
    <row r="27" spans="2:22" x14ac:dyDescent="0.35">
      <c r="B27" s="38"/>
      <c r="C27" s="38"/>
      <c r="D27" s="38"/>
      <c r="E27" s="38"/>
      <c r="F27" s="38"/>
      <c r="G27" s="38"/>
      <c r="H27" s="38"/>
      <c r="I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2:22" x14ac:dyDescent="0.35">
      <c r="B28" s="38"/>
      <c r="C28" s="38"/>
      <c r="D28" s="38"/>
      <c r="E28" s="38"/>
      <c r="F28" s="38"/>
      <c r="G28" s="38"/>
      <c r="H28" s="38"/>
      <c r="I28" s="38"/>
      <c r="N28" s="38"/>
      <c r="O28" s="38"/>
      <c r="P28" s="38"/>
      <c r="Q28" s="38"/>
      <c r="R28" s="38"/>
      <c r="S28" s="38"/>
      <c r="T28" s="38"/>
      <c r="U28" s="38"/>
      <c r="V28" s="38"/>
    </row>
    <row r="29" spans="2:22" x14ac:dyDescent="0.35">
      <c r="B29" s="38"/>
      <c r="C29" s="38"/>
      <c r="D29" s="38"/>
      <c r="E29" s="38"/>
      <c r="F29" s="38"/>
      <c r="G29" s="38"/>
      <c r="H29" s="38"/>
      <c r="I29" s="38"/>
      <c r="N29" s="38"/>
      <c r="O29" s="38"/>
      <c r="P29" s="38"/>
      <c r="Q29" s="38"/>
      <c r="R29" s="38"/>
      <c r="S29" s="38"/>
      <c r="T29" s="38"/>
      <c r="U29" s="38"/>
      <c r="V29" s="38"/>
    </row>
    <row r="30" spans="2:22" x14ac:dyDescent="0.35">
      <c r="B30" s="38"/>
      <c r="C30" s="38"/>
      <c r="D30" s="38"/>
      <c r="E30" s="38"/>
      <c r="F30" s="38"/>
      <c r="G30" s="38"/>
      <c r="H30" s="38"/>
      <c r="I30" s="38"/>
    </row>
    <row r="31" spans="2:22" x14ac:dyDescent="0.35">
      <c r="B31" s="38"/>
      <c r="C31" s="38"/>
      <c r="D31" s="38"/>
      <c r="E31" s="38"/>
      <c r="F31" s="38"/>
      <c r="G31" s="38"/>
      <c r="H31" s="38"/>
      <c r="I31" s="38"/>
    </row>
    <row r="32" spans="2:22" x14ac:dyDescent="0.35">
      <c r="B32" s="38"/>
      <c r="C32" s="38"/>
      <c r="D32" s="38"/>
      <c r="E32" s="38"/>
      <c r="F32" s="38" t="s">
        <v>1225</v>
      </c>
      <c r="G32" s="38"/>
      <c r="H32" s="38"/>
      <c r="I32" s="38"/>
    </row>
    <row r="33" spans="2:9" x14ac:dyDescent="0.35">
      <c r="B33" s="38"/>
      <c r="C33" s="38"/>
      <c r="D33" s="38"/>
      <c r="E33" s="38"/>
      <c r="F33" s="38"/>
      <c r="G33" s="38"/>
      <c r="H33" s="38"/>
      <c r="I33" s="38"/>
    </row>
    <row r="34" spans="2:9" x14ac:dyDescent="0.35">
      <c r="B34" s="38"/>
      <c r="C34" s="38"/>
      <c r="D34" s="38"/>
      <c r="E34" s="38"/>
      <c r="F34" s="38"/>
      <c r="G34" s="38"/>
      <c r="H34" s="38"/>
      <c r="I34" s="3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U10"/>
  <sheetViews>
    <sheetView workbookViewId="0"/>
  </sheetViews>
  <sheetFormatPr defaultRowHeight="14.5" x14ac:dyDescent="0.35"/>
  <sheetData>
    <row r="3" spans="1:21" ht="15.5" x14ac:dyDescent="0.35">
      <c r="B3" s="43"/>
      <c r="C3" s="43"/>
      <c r="D3" s="52"/>
      <c r="E3" s="222"/>
      <c r="F3" s="43"/>
      <c r="G3" s="56"/>
      <c r="H3" s="43"/>
      <c r="I3" s="43"/>
      <c r="J3" s="43"/>
      <c r="M3" s="52"/>
      <c r="N3" s="196"/>
      <c r="O3" s="196"/>
      <c r="P3" s="194"/>
      <c r="Q3" s="43"/>
      <c r="R3" s="56"/>
      <c r="S3" s="43"/>
      <c r="T3" s="38"/>
      <c r="U3" s="38"/>
    </row>
    <row r="4" spans="1:21" ht="15.5" x14ac:dyDescent="0.35">
      <c r="A4" s="198" t="s">
        <v>0</v>
      </c>
      <c r="B4" s="198" t="s">
        <v>1</v>
      </c>
      <c r="C4" s="198" t="s">
        <v>2</v>
      </c>
      <c r="D4" s="198" t="s">
        <v>3</v>
      </c>
      <c r="E4" s="198" t="s">
        <v>1035</v>
      </c>
      <c r="F4" s="198" t="s">
        <v>5</v>
      </c>
      <c r="G4" s="198" t="s">
        <v>6</v>
      </c>
    </row>
    <row r="5" spans="1:21" ht="15.5" x14ac:dyDescent="0.35">
      <c r="A5" s="52">
        <v>1</v>
      </c>
      <c r="B5" s="196">
        <v>11499</v>
      </c>
      <c r="C5" s="196" t="s">
        <v>1067</v>
      </c>
      <c r="D5" s="194">
        <v>101271939205</v>
      </c>
      <c r="E5" s="43" t="s">
        <v>259</v>
      </c>
      <c r="F5" s="56">
        <v>45809</v>
      </c>
      <c r="G5" s="43" t="s">
        <v>1068</v>
      </c>
    </row>
    <row r="6" spans="1:21" ht="15.5" x14ac:dyDescent="0.35">
      <c r="A6" s="52">
        <v>2</v>
      </c>
      <c r="B6" s="196">
        <v>11501</v>
      </c>
      <c r="C6" s="196" t="s">
        <v>1070</v>
      </c>
      <c r="D6" s="194">
        <v>100024420681</v>
      </c>
      <c r="E6" s="43" t="s">
        <v>259</v>
      </c>
      <c r="F6" s="56">
        <v>45809</v>
      </c>
      <c r="G6" s="43" t="s">
        <v>1068</v>
      </c>
    </row>
    <row r="7" spans="1:21" ht="15.5" x14ac:dyDescent="0.35">
      <c r="A7" s="52">
        <v>3</v>
      </c>
      <c r="B7" s="196">
        <v>11510</v>
      </c>
      <c r="C7" s="196" t="s">
        <v>1083</v>
      </c>
      <c r="D7" s="194">
        <v>101690173127</v>
      </c>
      <c r="E7" s="43" t="s">
        <v>259</v>
      </c>
      <c r="F7" s="56">
        <v>45809</v>
      </c>
      <c r="G7" s="73" t="s">
        <v>1068</v>
      </c>
    </row>
    <row r="8" spans="1:21" ht="15.5" x14ac:dyDescent="0.35">
      <c r="A8" s="52">
        <v>4</v>
      </c>
      <c r="B8" s="194">
        <v>11534</v>
      </c>
      <c r="C8" s="194" t="s">
        <v>1125</v>
      </c>
      <c r="D8" s="194">
        <v>101397301419</v>
      </c>
      <c r="E8" s="43" t="s">
        <v>259</v>
      </c>
      <c r="F8" s="74">
        <v>45809</v>
      </c>
      <c r="G8" s="52" t="s">
        <v>1068</v>
      </c>
    </row>
    <row r="9" spans="1:21" ht="15.5" x14ac:dyDescent="0.35">
      <c r="A9" s="52">
        <v>5</v>
      </c>
      <c r="B9" s="196">
        <v>11536</v>
      </c>
      <c r="C9" s="196" t="s">
        <v>1126</v>
      </c>
      <c r="D9" s="194">
        <v>101305339175</v>
      </c>
      <c r="E9" s="43" t="s">
        <v>259</v>
      </c>
      <c r="F9" s="74">
        <v>45809</v>
      </c>
      <c r="G9" s="52" t="s">
        <v>1068</v>
      </c>
    </row>
    <row r="10" spans="1:21" ht="15.5" x14ac:dyDescent="0.35">
      <c r="A10" s="43">
        <v>6</v>
      </c>
      <c r="B10" s="196">
        <v>11545</v>
      </c>
      <c r="C10" s="196" t="s">
        <v>1142</v>
      </c>
      <c r="D10" s="194">
        <v>102215825014</v>
      </c>
      <c r="E10" s="43" t="s">
        <v>37</v>
      </c>
      <c r="F10" s="74">
        <v>45809</v>
      </c>
      <c r="G10" s="52" t="s">
        <v>1068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6:E21"/>
  <sheetViews>
    <sheetView workbookViewId="0"/>
  </sheetViews>
  <sheetFormatPr defaultRowHeight="14.5" x14ac:dyDescent="0.35"/>
  <sheetData>
    <row r="6" spans="3:5" x14ac:dyDescent="0.35">
      <c r="E6" s="38" t="s">
        <v>1163</v>
      </c>
    </row>
    <row r="7" spans="3:5" x14ac:dyDescent="0.35">
      <c r="E7" s="38" t="s">
        <v>1164</v>
      </c>
    </row>
    <row r="8" spans="3:5" x14ac:dyDescent="0.35">
      <c r="E8" s="357" t="s">
        <v>1166</v>
      </c>
    </row>
    <row r="9" spans="3:5" ht="348" x14ac:dyDescent="0.35">
      <c r="E9" s="289" t="s">
        <v>1167</v>
      </c>
    </row>
    <row r="10" spans="3:5" ht="333.5" x14ac:dyDescent="0.35">
      <c r="E10" s="289" t="s">
        <v>1168</v>
      </c>
    </row>
    <row r="11" spans="3:5" x14ac:dyDescent="0.35">
      <c r="E11" s="358" t="s">
        <v>1165</v>
      </c>
    </row>
    <row r="12" spans="3:5" x14ac:dyDescent="0.35">
      <c r="C12" s="359"/>
      <c r="E12" s="357" t="s">
        <v>1169</v>
      </c>
    </row>
    <row r="13" spans="3:5" x14ac:dyDescent="0.35">
      <c r="E13" s="357" t="s">
        <v>1170</v>
      </c>
    </row>
    <row r="16" spans="3:5" x14ac:dyDescent="0.35">
      <c r="E16" t="s">
        <v>1209</v>
      </c>
    </row>
    <row r="17" spans="5:5" x14ac:dyDescent="0.35">
      <c r="E17" t="s">
        <v>1210</v>
      </c>
    </row>
    <row r="18" spans="5:5" x14ac:dyDescent="0.35">
      <c r="E18" t="s">
        <v>1211</v>
      </c>
    </row>
    <row r="19" spans="5:5" x14ac:dyDescent="0.35">
      <c r="E19" t="s">
        <v>1212</v>
      </c>
    </row>
    <row r="20" spans="5:5" x14ac:dyDescent="0.35">
      <c r="E20" t="s">
        <v>1213</v>
      </c>
    </row>
    <row r="21" spans="5:5" x14ac:dyDescent="0.35">
      <c r="E21" t="s">
        <v>1214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35"/>
  <sheetViews>
    <sheetView workbookViewId="0">
      <selection activeCell="E38" sqref="E38"/>
    </sheetView>
  </sheetViews>
  <sheetFormatPr defaultRowHeight="14.5" x14ac:dyDescent="0.35"/>
  <cols>
    <col min="1" max="1" width="7.1796875" customWidth="1"/>
    <col min="2" max="2" width="14.6328125" bestFit="1" customWidth="1"/>
    <col min="3" max="3" width="37.7265625" customWidth="1"/>
    <col min="4" max="4" width="25" customWidth="1"/>
    <col min="5" max="5" width="16.81640625" customWidth="1"/>
    <col min="6" max="6" width="18.6328125" customWidth="1"/>
    <col min="7" max="7" width="13.81640625" bestFit="1" customWidth="1"/>
    <col min="8" max="8" width="19.6328125" customWidth="1"/>
  </cols>
  <sheetData>
    <row r="2" spans="1:9" x14ac:dyDescent="0.35">
      <c r="C2" s="144" t="s">
        <v>1281</v>
      </c>
    </row>
    <row r="3" spans="1:9" ht="15.5" x14ac:dyDescent="0.35">
      <c r="A3" s="198" t="s">
        <v>0</v>
      </c>
      <c r="B3" s="198" t="s">
        <v>1</v>
      </c>
      <c r="C3" s="198" t="s">
        <v>2</v>
      </c>
      <c r="D3" s="369" t="s">
        <v>3</v>
      </c>
      <c r="E3" s="198" t="s">
        <v>1035</v>
      </c>
      <c r="F3" s="198" t="s">
        <v>5</v>
      </c>
      <c r="G3" s="198" t="s">
        <v>6</v>
      </c>
      <c r="H3" s="198" t="s">
        <v>7</v>
      </c>
      <c r="I3" s="223" t="s">
        <v>661</v>
      </c>
    </row>
    <row r="4" spans="1:9" ht="15.5" x14ac:dyDescent="0.35">
      <c r="A4" s="43">
        <v>1</v>
      </c>
      <c r="B4" s="43">
        <v>11581</v>
      </c>
      <c r="C4" s="38" t="s">
        <v>1231</v>
      </c>
      <c r="D4" s="62">
        <v>101894035340</v>
      </c>
      <c r="E4" s="43">
        <v>5219074432</v>
      </c>
      <c r="F4" s="56">
        <v>45881</v>
      </c>
      <c r="G4" s="43" t="s">
        <v>339</v>
      </c>
      <c r="H4" s="52" t="s">
        <v>1172</v>
      </c>
      <c r="I4" s="38"/>
    </row>
    <row r="5" spans="1:9" x14ac:dyDescent="0.35">
      <c r="A5" s="43">
        <v>2</v>
      </c>
      <c r="B5" s="43">
        <v>11594</v>
      </c>
      <c r="C5" s="38" t="s">
        <v>1232</v>
      </c>
      <c r="D5" s="62">
        <v>101264724034</v>
      </c>
      <c r="E5" s="43">
        <v>5222324571</v>
      </c>
      <c r="F5" s="56">
        <v>45870</v>
      </c>
      <c r="G5" s="43" t="s">
        <v>1179</v>
      </c>
      <c r="H5" s="43" t="s">
        <v>551</v>
      </c>
      <c r="I5" s="38"/>
    </row>
    <row r="6" spans="1:9" x14ac:dyDescent="0.35">
      <c r="A6" s="43">
        <v>3</v>
      </c>
      <c r="B6" s="43">
        <v>11584</v>
      </c>
      <c r="C6" s="38" t="s">
        <v>1233</v>
      </c>
      <c r="D6" s="62">
        <v>102157378593</v>
      </c>
      <c r="E6" s="43">
        <v>5221592981</v>
      </c>
      <c r="F6" s="56">
        <v>45878</v>
      </c>
      <c r="G6" s="43" t="s">
        <v>1179</v>
      </c>
      <c r="H6" s="43" t="s">
        <v>551</v>
      </c>
      <c r="I6" s="38"/>
    </row>
    <row r="7" spans="1:9" ht="15.5" x14ac:dyDescent="0.35">
      <c r="A7" s="43">
        <v>4</v>
      </c>
      <c r="B7" s="43">
        <v>11593</v>
      </c>
      <c r="C7" s="38" t="s">
        <v>1234</v>
      </c>
      <c r="D7" s="62">
        <v>102058344855</v>
      </c>
      <c r="E7" s="43">
        <v>5222324912</v>
      </c>
      <c r="F7" s="56">
        <v>45881</v>
      </c>
      <c r="G7" s="43" t="s">
        <v>1205</v>
      </c>
      <c r="H7" s="52" t="s">
        <v>1172</v>
      </c>
      <c r="I7" s="38"/>
    </row>
    <row r="8" spans="1:9" x14ac:dyDescent="0.35">
      <c r="A8" s="43">
        <v>5</v>
      </c>
      <c r="B8" s="43">
        <v>11313</v>
      </c>
      <c r="C8" s="38" t="s">
        <v>1236</v>
      </c>
      <c r="D8" s="62">
        <v>101945909041</v>
      </c>
      <c r="E8" s="43">
        <v>5222338802</v>
      </c>
      <c r="F8" s="56">
        <v>45888</v>
      </c>
      <c r="G8" s="43" t="s">
        <v>1235</v>
      </c>
      <c r="H8" s="43" t="s">
        <v>323</v>
      </c>
      <c r="I8" s="38"/>
    </row>
    <row r="9" spans="1:9" x14ac:dyDescent="0.35">
      <c r="A9" s="43">
        <v>6</v>
      </c>
      <c r="B9" s="43">
        <v>11600</v>
      </c>
      <c r="C9" s="38" t="s">
        <v>1238</v>
      </c>
      <c r="D9" s="368">
        <v>102239573771</v>
      </c>
      <c r="E9" s="43">
        <v>5222339340</v>
      </c>
      <c r="F9" s="56">
        <v>45876</v>
      </c>
      <c r="G9" s="43" t="s">
        <v>1239</v>
      </c>
      <c r="H9" s="43" t="s">
        <v>1240</v>
      </c>
      <c r="I9" s="38"/>
    </row>
    <row r="10" spans="1:9" x14ac:dyDescent="0.35">
      <c r="A10" s="43">
        <v>7</v>
      </c>
      <c r="B10" s="43">
        <v>11586</v>
      </c>
      <c r="C10" s="38" t="s">
        <v>1241</v>
      </c>
      <c r="D10" s="62">
        <v>102100552245</v>
      </c>
      <c r="E10" s="43">
        <v>5222341402</v>
      </c>
      <c r="F10" s="56">
        <v>45883</v>
      </c>
      <c r="G10" s="43" t="s">
        <v>1242</v>
      </c>
      <c r="H10" s="43" t="s">
        <v>25</v>
      </c>
      <c r="I10" s="38"/>
    </row>
    <row r="11" spans="1:9" ht="15.5" x14ac:dyDescent="0.35">
      <c r="A11" s="43">
        <v>8</v>
      </c>
      <c r="B11" s="43">
        <v>11595</v>
      </c>
      <c r="C11" s="38" t="s">
        <v>1243</v>
      </c>
      <c r="D11" s="62">
        <v>101851918527</v>
      </c>
      <c r="E11" s="43">
        <v>5222327466</v>
      </c>
      <c r="F11" s="56">
        <v>45883</v>
      </c>
      <c r="G11" s="43" t="s">
        <v>199</v>
      </c>
      <c r="H11" s="52" t="s">
        <v>1172</v>
      </c>
      <c r="I11" s="38"/>
    </row>
    <row r="12" spans="1:9" x14ac:dyDescent="0.35">
      <c r="A12" s="43">
        <v>9</v>
      </c>
      <c r="B12" s="43">
        <v>11603</v>
      </c>
      <c r="C12" s="38" t="s">
        <v>1244</v>
      </c>
      <c r="D12" s="368">
        <v>102239796047</v>
      </c>
      <c r="E12" s="43">
        <v>5222348123</v>
      </c>
      <c r="F12" s="56">
        <v>45888</v>
      </c>
      <c r="G12" s="43" t="s">
        <v>1245</v>
      </c>
      <c r="H12" s="43" t="s">
        <v>25</v>
      </c>
      <c r="I12" s="38"/>
    </row>
    <row r="13" spans="1:9" ht="15.5" x14ac:dyDescent="0.35">
      <c r="A13" s="43">
        <v>10</v>
      </c>
      <c r="B13" s="43">
        <v>11583</v>
      </c>
      <c r="C13" s="38" t="s">
        <v>1246</v>
      </c>
      <c r="D13" s="62">
        <v>100677041497</v>
      </c>
      <c r="E13" s="43">
        <v>5214005421</v>
      </c>
      <c r="F13" s="56">
        <v>45880</v>
      </c>
      <c r="G13" s="43" t="s">
        <v>959</v>
      </c>
      <c r="H13" s="52" t="s">
        <v>1172</v>
      </c>
      <c r="I13" s="38"/>
    </row>
    <row r="14" spans="1:9" x14ac:dyDescent="0.35">
      <c r="A14" s="43">
        <v>11</v>
      </c>
      <c r="B14" s="43">
        <v>11585</v>
      </c>
      <c r="C14" s="38" t="s">
        <v>1249</v>
      </c>
      <c r="D14" s="62">
        <v>101781835452</v>
      </c>
      <c r="E14" s="43" t="s">
        <v>233</v>
      </c>
      <c r="F14" s="56">
        <v>45870</v>
      </c>
      <c r="G14" s="43" t="s">
        <v>1248</v>
      </c>
      <c r="H14" s="43" t="s">
        <v>41</v>
      </c>
      <c r="I14" s="38"/>
    </row>
    <row r="15" spans="1:9" x14ac:dyDescent="0.35">
      <c r="A15" s="43">
        <v>12</v>
      </c>
      <c r="B15" s="43">
        <v>11590</v>
      </c>
      <c r="C15" s="38" t="s">
        <v>1250</v>
      </c>
      <c r="D15" s="62">
        <v>101541761561</v>
      </c>
      <c r="E15" s="43" t="s">
        <v>233</v>
      </c>
      <c r="F15" s="56">
        <v>45870</v>
      </c>
      <c r="G15" s="43" t="s">
        <v>1248</v>
      </c>
      <c r="H15" s="43" t="s">
        <v>41</v>
      </c>
      <c r="I15" s="38"/>
    </row>
    <row r="16" spans="1:9" x14ac:dyDescent="0.35">
      <c r="A16" s="43">
        <v>13</v>
      </c>
      <c r="B16" s="62">
        <v>11589</v>
      </c>
      <c r="C16" s="38" t="s">
        <v>1251</v>
      </c>
      <c r="D16" s="62">
        <v>101781835447</v>
      </c>
      <c r="E16" s="43" t="s">
        <v>233</v>
      </c>
      <c r="F16" s="56">
        <v>45871</v>
      </c>
      <c r="G16" s="43" t="s">
        <v>1248</v>
      </c>
      <c r="H16" s="43" t="s">
        <v>25</v>
      </c>
      <c r="I16" s="38"/>
    </row>
    <row r="17" spans="1:9" ht="15.5" x14ac:dyDescent="0.35">
      <c r="A17" s="43">
        <v>14</v>
      </c>
      <c r="B17" s="43">
        <v>11591</v>
      </c>
      <c r="C17" s="38" t="s">
        <v>1253</v>
      </c>
      <c r="D17" s="62">
        <v>101942817346</v>
      </c>
      <c r="E17" s="43">
        <v>5221292542</v>
      </c>
      <c r="F17" s="56">
        <v>45875</v>
      </c>
      <c r="G17" s="43" t="s">
        <v>141</v>
      </c>
      <c r="H17" s="52" t="s">
        <v>1172</v>
      </c>
      <c r="I17" s="38"/>
    </row>
    <row r="18" spans="1:9" x14ac:dyDescent="0.35">
      <c r="A18" s="43">
        <v>15</v>
      </c>
      <c r="B18" s="43">
        <v>11588</v>
      </c>
      <c r="C18" s="38" t="s">
        <v>1254</v>
      </c>
      <c r="D18" s="62">
        <v>101800942640</v>
      </c>
      <c r="E18" s="43">
        <v>5222348576</v>
      </c>
      <c r="F18" s="56">
        <v>45892</v>
      </c>
      <c r="G18" s="43" t="s">
        <v>1235</v>
      </c>
      <c r="H18" s="43" t="s">
        <v>25</v>
      </c>
      <c r="I18" s="38"/>
    </row>
    <row r="19" spans="1:9" x14ac:dyDescent="0.35">
      <c r="A19" s="43">
        <v>16</v>
      </c>
      <c r="B19" s="43">
        <v>10234</v>
      </c>
      <c r="C19" s="38" t="s">
        <v>1255</v>
      </c>
      <c r="D19" s="62">
        <v>101643660004</v>
      </c>
      <c r="E19" s="43" t="s">
        <v>233</v>
      </c>
      <c r="F19" s="56">
        <v>45888</v>
      </c>
      <c r="G19" s="43" t="s">
        <v>1245</v>
      </c>
      <c r="H19" s="43" t="s">
        <v>323</v>
      </c>
      <c r="I19" s="38"/>
    </row>
    <row r="20" spans="1:9" ht="15.5" x14ac:dyDescent="0.35">
      <c r="A20" s="43">
        <v>17</v>
      </c>
      <c r="B20" s="43">
        <v>11326</v>
      </c>
      <c r="C20" s="38" t="s">
        <v>1256</v>
      </c>
      <c r="D20" s="62">
        <v>101391926917</v>
      </c>
      <c r="E20" s="43">
        <v>5221409978</v>
      </c>
      <c r="F20" s="56">
        <v>45876</v>
      </c>
      <c r="G20" s="43" t="s">
        <v>141</v>
      </c>
      <c r="H20" s="52" t="s">
        <v>1172</v>
      </c>
      <c r="I20" s="38"/>
    </row>
    <row r="21" spans="1:9" ht="15.5" x14ac:dyDescent="0.35">
      <c r="A21" s="43">
        <v>18</v>
      </c>
      <c r="B21" s="43">
        <v>11102</v>
      </c>
      <c r="C21" s="38" t="s">
        <v>255</v>
      </c>
      <c r="D21" s="62">
        <v>101373347674</v>
      </c>
      <c r="E21" s="43">
        <v>5218855102</v>
      </c>
      <c r="F21" s="56">
        <v>45887</v>
      </c>
      <c r="G21" s="43" t="s">
        <v>633</v>
      </c>
      <c r="H21" s="52" t="s">
        <v>1172</v>
      </c>
      <c r="I21" s="38"/>
    </row>
    <row r="22" spans="1:9" ht="15.5" x14ac:dyDescent="0.35">
      <c r="A22" s="43">
        <v>19</v>
      </c>
      <c r="B22" s="43">
        <v>11599</v>
      </c>
      <c r="C22" s="38" t="s">
        <v>1257</v>
      </c>
      <c r="D22" s="62">
        <v>101724105788</v>
      </c>
      <c r="E22" s="43">
        <v>5217698947</v>
      </c>
      <c r="F22" s="56">
        <v>45887</v>
      </c>
      <c r="G22" s="43" t="s">
        <v>633</v>
      </c>
      <c r="H22" s="52" t="s">
        <v>1172</v>
      </c>
      <c r="I22" s="38"/>
    </row>
    <row r="23" spans="1:9" x14ac:dyDescent="0.35">
      <c r="A23" s="43">
        <v>20</v>
      </c>
      <c r="B23" s="43">
        <v>11598</v>
      </c>
      <c r="C23" s="38" t="s">
        <v>1258</v>
      </c>
      <c r="D23" s="62">
        <v>101442535196</v>
      </c>
      <c r="E23" s="43">
        <v>5217608980</v>
      </c>
      <c r="F23" s="56">
        <v>45889</v>
      </c>
      <c r="G23" s="43" t="s">
        <v>339</v>
      </c>
      <c r="H23" s="43" t="s">
        <v>551</v>
      </c>
      <c r="I23" s="38"/>
    </row>
    <row r="24" spans="1:9" ht="15.5" x14ac:dyDescent="0.35">
      <c r="A24" s="43">
        <v>21</v>
      </c>
      <c r="B24" s="43">
        <v>11596</v>
      </c>
      <c r="C24" s="38" t="s">
        <v>1259</v>
      </c>
      <c r="D24" s="62">
        <v>101279282045</v>
      </c>
      <c r="E24" s="43">
        <v>5347112547</v>
      </c>
      <c r="F24" s="56">
        <v>45888</v>
      </c>
      <c r="G24" s="43" t="s">
        <v>1260</v>
      </c>
      <c r="H24" s="52" t="s">
        <v>1172</v>
      </c>
      <c r="I24" s="38"/>
    </row>
    <row r="25" spans="1:9" ht="15.5" x14ac:dyDescent="0.35">
      <c r="A25" s="43">
        <v>22</v>
      </c>
      <c r="B25" s="43">
        <v>11597</v>
      </c>
      <c r="C25" s="38" t="s">
        <v>1261</v>
      </c>
      <c r="D25" s="62">
        <v>100013602265</v>
      </c>
      <c r="E25" s="43">
        <v>5213542277</v>
      </c>
      <c r="F25" s="56">
        <v>45873</v>
      </c>
      <c r="G25" s="43" t="s">
        <v>1263</v>
      </c>
      <c r="H25" s="52" t="s">
        <v>1262</v>
      </c>
      <c r="I25" s="38"/>
    </row>
    <row r="26" spans="1:9" ht="15.5" x14ac:dyDescent="0.35">
      <c r="A26" s="43">
        <v>23</v>
      </c>
      <c r="B26" s="43">
        <v>11604</v>
      </c>
      <c r="C26" s="38" t="s">
        <v>1264</v>
      </c>
      <c r="D26" s="62">
        <v>101980113467</v>
      </c>
      <c r="E26" s="43">
        <v>5220355309</v>
      </c>
      <c r="F26" s="56">
        <v>45887</v>
      </c>
      <c r="G26" s="52" t="s">
        <v>706</v>
      </c>
      <c r="H26" s="43" t="s">
        <v>551</v>
      </c>
      <c r="I26" s="38"/>
    </row>
    <row r="27" spans="1:9" ht="15.5" x14ac:dyDescent="0.35">
      <c r="A27" s="43">
        <v>24</v>
      </c>
      <c r="B27" s="43">
        <v>10936</v>
      </c>
      <c r="C27" s="38" t="s">
        <v>1265</v>
      </c>
      <c r="D27" s="62">
        <v>101970363135</v>
      </c>
      <c r="E27" s="43" t="s">
        <v>233</v>
      </c>
      <c r="F27" s="56">
        <v>45897</v>
      </c>
      <c r="G27" s="43" t="s">
        <v>1242</v>
      </c>
      <c r="H27" s="52" t="s">
        <v>1266</v>
      </c>
      <c r="I27" s="38"/>
    </row>
    <row r="28" spans="1:9" ht="15.5" x14ac:dyDescent="0.35">
      <c r="A28" s="43">
        <v>25</v>
      </c>
      <c r="B28" s="43">
        <v>11602</v>
      </c>
      <c r="C28" s="357" t="s">
        <v>1267</v>
      </c>
      <c r="D28" s="62">
        <v>100636621662</v>
      </c>
      <c r="E28" s="43" t="s">
        <v>233</v>
      </c>
      <c r="F28" s="56">
        <v>45897</v>
      </c>
      <c r="G28" s="43" t="s">
        <v>1268</v>
      </c>
      <c r="H28" s="52" t="s">
        <v>1269</v>
      </c>
      <c r="I28" s="38"/>
    </row>
    <row r="29" spans="1:9" ht="15.5" x14ac:dyDescent="0.35">
      <c r="A29" s="43">
        <v>26</v>
      </c>
      <c r="B29" s="43">
        <v>11605</v>
      </c>
      <c r="C29" s="357" t="s">
        <v>1270</v>
      </c>
      <c r="D29" s="62">
        <v>102003544911</v>
      </c>
      <c r="E29" s="43">
        <v>5222366466</v>
      </c>
      <c r="F29" s="56">
        <v>45886</v>
      </c>
      <c r="G29" s="43" t="s">
        <v>199</v>
      </c>
      <c r="H29" s="52" t="s">
        <v>310</v>
      </c>
      <c r="I29" s="38"/>
    </row>
    <row r="30" spans="1:9" ht="15.5" x14ac:dyDescent="0.35">
      <c r="A30" s="43">
        <v>27</v>
      </c>
      <c r="B30" s="43">
        <v>11606</v>
      </c>
      <c r="C30" s="357" t="s">
        <v>1271</v>
      </c>
      <c r="D30" s="62">
        <v>102240607021</v>
      </c>
      <c r="E30" s="43">
        <v>5222366948</v>
      </c>
      <c r="F30" s="56">
        <v>45888</v>
      </c>
      <c r="G30" s="43" t="s">
        <v>141</v>
      </c>
      <c r="H30" s="52" t="s">
        <v>310</v>
      </c>
      <c r="I30" s="43"/>
    </row>
    <row r="31" spans="1:9" ht="15.5" x14ac:dyDescent="0.35">
      <c r="A31" s="43">
        <v>28</v>
      </c>
      <c r="B31" s="43">
        <v>11607</v>
      </c>
      <c r="C31" s="357" t="s">
        <v>1274</v>
      </c>
      <c r="D31" s="62">
        <v>101997290220</v>
      </c>
      <c r="E31" s="43">
        <v>5220297094</v>
      </c>
      <c r="F31" s="56">
        <v>45896</v>
      </c>
      <c r="G31" s="43" t="s">
        <v>141</v>
      </c>
      <c r="H31" s="52" t="s">
        <v>310</v>
      </c>
      <c r="I31" s="43"/>
    </row>
    <row r="32" spans="1:9" x14ac:dyDescent="0.35">
      <c r="A32" s="43">
        <v>29</v>
      </c>
      <c r="B32" s="43">
        <v>11608</v>
      </c>
      <c r="C32" s="357" t="s">
        <v>1275</v>
      </c>
      <c r="D32" s="62">
        <v>101728722579</v>
      </c>
      <c r="E32" s="43">
        <v>5219519228</v>
      </c>
      <c r="F32" s="56">
        <v>45897</v>
      </c>
      <c r="G32" s="43" t="s">
        <v>339</v>
      </c>
      <c r="H32" s="43" t="s">
        <v>551</v>
      </c>
      <c r="I32" s="43"/>
    </row>
    <row r="33" spans="1:9" ht="15.5" x14ac:dyDescent="0.35">
      <c r="A33" s="43">
        <v>30</v>
      </c>
      <c r="B33" s="43">
        <v>11619</v>
      </c>
      <c r="C33" s="38" t="s">
        <v>1277</v>
      </c>
      <c r="D33" s="62">
        <v>102231098036</v>
      </c>
      <c r="E33" s="58">
        <v>5222378214</v>
      </c>
      <c r="F33" s="56">
        <v>45888</v>
      </c>
      <c r="G33" s="52" t="s">
        <v>706</v>
      </c>
      <c r="H33" s="43" t="s">
        <v>551</v>
      </c>
      <c r="I33" s="38"/>
    </row>
    <row r="34" spans="1:9" ht="15.5" x14ac:dyDescent="0.35">
      <c r="A34" s="43">
        <v>31</v>
      </c>
      <c r="B34" s="43">
        <v>11618</v>
      </c>
      <c r="C34" s="38" t="s">
        <v>1278</v>
      </c>
      <c r="D34" s="62">
        <v>101861011112</v>
      </c>
      <c r="E34" s="370">
        <v>5221223134</v>
      </c>
      <c r="F34" s="56">
        <v>45888</v>
      </c>
      <c r="G34" s="43" t="s">
        <v>199</v>
      </c>
      <c r="H34" s="52" t="s">
        <v>1172</v>
      </c>
      <c r="I34" s="38"/>
    </row>
    <row r="35" spans="1:9" ht="15.5" x14ac:dyDescent="0.35">
      <c r="A35" s="43">
        <v>32</v>
      </c>
      <c r="B35" s="43">
        <v>11592</v>
      </c>
      <c r="C35" s="357" t="s">
        <v>1282</v>
      </c>
      <c r="D35" s="62">
        <v>101873915123</v>
      </c>
      <c r="E35" s="43" t="s">
        <v>233</v>
      </c>
      <c r="F35" s="56">
        <v>45516</v>
      </c>
      <c r="G35" s="43" t="s">
        <v>1268</v>
      </c>
      <c r="H35" s="52" t="s">
        <v>1283</v>
      </c>
      <c r="I35" s="3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0"/>
  <sheetViews>
    <sheetView workbookViewId="0">
      <selection activeCell="C43" sqref="C43"/>
    </sheetView>
  </sheetViews>
  <sheetFormatPr defaultRowHeight="14.5" x14ac:dyDescent="0.35"/>
  <cols>
    <col min="2" max="2" width="14.6328125" bestFit="1" customWidth="1"/>
    <col min="3" max="3" width="33.54296875" customWidth="1"/>
    <col min="4" max="4" width="25.54296875" customWidth="1"/>
    <col min="5" max="5" width="19.26953125" customWidth="1"/>
    <col min="6" max="6" width="20.90625" customWidth="1"/>
    <col min="7" max="7" width="19.26953125" customWidth="1"/>
    <col min="8" max="8" width="26.26953125" customWidth="1"/>
    <col min="9" max="9" width="18.7265625" customWidth="1"/>
    <col min="10" max="10" width="30" customWidth="1"/>
  </cols>
  <sheetData>
    <row r="1" spans="1:10" s="253" customFormat="1" x14ac:dyDescent="0.35">
      <c r="A1" s="244"/>
      <c r="B1" s="244"/>
      <c r="C1" s="371" t="s">
        <v>1280</v>
      </c>
      <c r="D1" s="281"/>
      <c r="E1" s="244"/>
      <c r="F1" s="244"/>
      <c r="G1" s="244"/>
      <c r="H1" s="244"/>
      <c r="I1" s="244"/>
      <c r="J1" s="244"/>
    </row>
    <row r="2" spans="1:10" s="253" customFormat="1" ht="15.5" x14ac:dyDescent="0.35">
      <c r="A2" s="198" t="s">
        <v>0</v>
      </c>
      <c r="B2" s="198" t="s">
        <v>1</v>
      </c>
      <c r="C2" s="198" t="s">
        <v>2</v>
      </c>
      <c r="D2" s="369" t="s">
        <v>3</v>
      </c>
      <c r="E2" s="198" t="s">
        <v>1035</v>
      </c>
      <c r="F2" s="198" t="s">
        <v>5</v>
      </c>
      <c r="G2" s="198" t="s">
        <v>6</v>
      </c>
      <c r="H2" s="198" t="s">
        <v>7</v>
      </c>
      <c r="I2" s="248" t="s">
        <v>661</v>
      </c>
      <c r="J2" s="248" t="s">
        <v>1290</v>
      </c>
    </row>
    <row r="3" spans="1:10" s="253" customFormat="1" x14ac:dyDescent="0.35">
      <c r="A3" s="146">
        <v>1</v>
      </c>
      <c r="B3" s="146">
        <v>11615</v>
      </c>
      <c r="C3" s="146" t="s">
        <v>1272</v>
      </c>
      <c r="D3" s="281">
        <v>101750439653</v>
      </c>
      <c r="E3" s="146">
        <v>5218282866</v>
      </c>
      <c r="F3" s="147">
        <v>45901</v>
      </c>
      <c r="G3" s="146" t="s">
        <v>633</v>
      </c>
      <c r="H3" s="146" t="s">
        <v>551</v>
      </c>
      <c r="I3" s="146"/>
      <c r="J3" s="146" t="s">
        <v>1291</v>
      </c>
    </row>
    <row r="4" spans="1:10" s="253" customFormat="1" ht="15.5" x14ac:dyDescent="0.35">
      <c r="A4" s="146">
        <v>2</v>
      </c>
      <c r="B4" s="146">
        <v>11614</v>
      </c>
      <c r="C4" s="146" t="s">
        <v>1273</v>
      </c>
      <c r="D4" s="281">
        <v>102136080249</v>
      </c>
      <c r="E4" s="146">
        <v>5221593311</v>
      </c>
      <c r="F4" s="147">
        <v>45901</v>
      </c>
      <c r="G4" s="199" t="s">
        <v>706</v>
      </c>
      <c r="H4" s="199" t="s">
        <v>571</v>
      </c>
      <c r="I4" s="146"/>
      <c r="J4" s="146" t="s">
        <v>1291</v>
      </c>
    </row>
    <row r="5" spans="1:10" s="253" customFormat="1" ht="15.5" x14ac:dyDescent="0.35">
      <c r="A5" s="146">
        <v>3</v>
      </c>
      <c r="B5" s="146">
        <v>11616</v>
      </c>
      <c r="C5" s="146" t="s">
        <v>1276</v>
      </c>
      <c r="D5" s="281">
        <v>102241342327</v>
      </c>
      <c r="E5" s="146">
        <v>5222379255</v>
      </c>
      <c r="F5" s="147">
        <v>45902</v>
      </c>
      <c r="G5" s="146" t="s">
        <v>199</v>
      </c>
      <c r="H5" s="199" t="s">
        <v>310</v>
      </c>
      <c r="I5" s="146"/>
      <c r="J5" s="146" t="s">
        <v>1291</v>
      </c>
    </row>
    <row r="6" spans="1:10" s="253" customFormat="1" ht="15.5" x14ac:dyDescent="0.35">
      <c r="A6" s="146">
        <v>4</v>
      </c>
      <c r="B6" s="146">
        <v>11620</v>
      </c>
      <c r="C6" s="146" t="s">
        <v>1279</v>
      </c>
      <c r="D6" s="281">
        <v>101437889304</v>
      </c>
      <c r="E6" s="146">
        <v>5217553035</v>
      </c>
      <c r="F6" s="147">
        <v>45905</v>
      </c>
      <c r="G6" s="146" t="s">
        <v>141</v>
      </c>
      <c r="H6" s="199" t="s">
        <v>571</v>
      </c>
      <c r="I6" s="146"/>
      <c r="J6" s="146" t="s">
        <v>1291</v>
      </c>
    </row>
    <row r="7" spans="1:10" ht="15.5" x14ac:dyDescent="0.35">
      <c r="A7" s="146">
        <v>5</v>
      </c>
      <c r="B7" s="43">
        <v>11624</v>
      </c>
      <c r="C7" s="43" t="s">
        <v>1286</v>
      </c>
      <c r="D7" s="62">
        <v>101376611155</v>
      </c>
      <c r="E7" s="43">
        <v>5222387974</v>
      </c>
      <c r="F7" s="147">
        <v>45902</v>
      </c>
      <c r="G7" s="43" t="s">
        <v>1179</v>
      </c>
      <c r="H7" s="199" t="s">
        <v>571</v>
      </c>
      <c r="I7" s="43"/>
      <c r="J7" s="146" t="s">
        <v>1291</v>
      </c>
    </row>
    <row r="8" spans="1:10" x14ac:dyDescent="0.35">
      <c r="A8" s="146">
        <v>6</v>
      </c>
      <c r="B8" s="43">
        <v>11628</v>
      </c>
      <c r="C8" s="43" t="s">
        <v>1284</v>
      </c>
      <c r="D8" s="62">
        <v>102241610757</v>
      </c>
      <c r="E8" s="58">
        <v>5222395691</v>
      </c>
      <c r="F8" s="56">
        <v>45901</v>
      </c>
      <c r="G8" s="43" t="s">
        <v>1288</v>
      </c>
      <c r="H8" s="43" t="s">
        <v>1292</v>
      </c>
      <c r="I8" s="43"/>
      <c r="J8" s="43" t="s">
        <v>1287</v>
      </c>
    </row>
    <row r="9" spans="1:10" ht="15.5" x14ac:dyDescent="0.35">
      <c r="A9" s="146">
        <v>7</v>
      </c>
      <c r="B9" s="43">
        <v>11630</v>
      </c>
      <c r="C9" s="43" t="s">
        <v>1285</v>
      </c>
      <c r="D9" s="62">
        <v>101737236985</v>
      </c>
      <c r="E9" s="43">
        <v>5217739691</v>
      </c>
      <c r="F9" s="56">
        <v>45901</v>
      </c>
      <c r="G9" s="43" t="s">
        <v>1205</v>
      </c>
      <c r="H9" s="199" t="s">
        <v>571</v>
      </c>
      <c r="I9" s="43"/>
      <c r="J9" s="146" t="s">
        <v>1291</v>
      </c>
    </row>
    <row r="10" spans="1:10" ht="15.5" x14ac:dyDescent="0.35">
      <c r="A10" s="146">
        <v>8</v>
      </c>
      <c r="B10" s="43">
        <v>11629</v>
      </c>
      <c r="C10" s="43" t="s">
        <v>1289</v>
      </c>
      <c r="D10" s="62">
        <v>101737235480</v>
      </c>
      <c r="E10" s="43">
        <v>5217730986</v>
      </c>
      <c r="F10" s="56">
        <v>45901</v>
      </c>
      <c r="G10" s="43" t="s">
        <v>1205</v>
      </c>
      <c r="H10" s="199" t="s">
        <v>571</v>
      </c>
      <c r="I10" s="43"/>
      <c r="J10" s="146" t="s">
        <v>1291</v>
      </c>
    </row>
    <row r="11" spans="1:10" x14ac:dyDescent="0.35">
      <c r="A11" s="146">
        <v>9</v>
      </c>
      <c r="B11" s="43">
        <v>11632</v>
      </c>
      <c r="C11" s="43" t="s">
        <v>1293</v>
      </c>
      <c r="D11" s="62">
        <v>102242563082</v>
      </c>
      <c r="E11" s="43">
        <v>5222392448</v>
      </c>
      <c r="F11" s="56">
        <v>45909</v>
      </c>
      <c r="G11" s="43" t="s">
        <v>1179</v>
      </c>
      <c r="H11" s="146" t="s">
        <v>551</v>
      </c>
      <c r="I11" s="43"/>
      <c r="J11" s="146" t="s">
        <v>1291</v>
      </c>
    </row>
    <row r="12" spans="1:10" ht="15.5" x14ac:dyDescent="0.35">
      <c r="A12" s="146">
        <v>10</v>
      </c>
      <c r="B12" s="43">
        <v>11635</v>
      </c>
      <c r="C12" s="43" t="s">
        <v>1294</v>
      </c>
      <c r="D12" s="62">
        <v>101918800630</v>
      </c>
      <c r="E12" s="43" t="s">
        <v>1295</v>
      </c>
      <c r="F12" s="56">
        <v>45913</v>
      </c>
      <c r="G12" s="43" t="s">
        <v>1288</v>
      </c>
      <c r="H12" s="199" t="s">
        <v>1296</v>
      </c>
      <c r="I12" s="43"/>
      <c r="J12" s="43" t="s">
        <v>1287</v>
      </c>
    </row>
    <row r="13" spans="1:10" ht="15.5" x14ac:dyDescent="0.35">
      <c r="A13" s="146">
        <v>11</v>
      </c>
      <c r="B13" s="43">
        <v>11636</v>
      </c>
      <c r="C13" s="43" t="s">
        <v>1297</v>
      </c>
      <c r="D13" s="62">
        <v>102245473685</v>
      </c>
      <c r="E13" s="43" t="s">
        <v>1295</v>
      </c>
      <c r="F13" s="56">
        <v>45912</v>
      </c>
      <c r="G13" s="43" t="s">
        <v>1298</v>
      </c>
      <c r="H13" s="199" t="s">
        <v>1299</v>
      </c>
      <c r="I13" s="43"/>
      <c r="J13" s="146" t="s">
        <v>1300</v>
      </c>
    </row>
    <row r="14" spans="1:10" ht="15.5" x14ac:dyDescent="0.35">
      <c r="A14" s="146">
        <v>12</v>
      </c>
      <c r="B14" s="43">
        <v>11643</v>
      </c>
      <c r="C14" s="43" t="s">
        <v>1301</v>
      </c>
      <c r="D14" s="62">
        <v>100582020003</v>
      </c>
      <c r="E14" s="43" t="s">
        <v>425</v>
      </c>
      <c r="F14" s="56">
        <v>45905</v>
      </c>
      <c r="G14" s="146" t="s">
        <v>141</v>
      </c>
      <c r="H14" s="199" t="s">
        <v>571</v>
      </c>
      <c r="I14" s="38"/>
      <c r="J14" s="146" t="s">
        <v>1291</v>
      </c>
    </row>
    <row r="15" spans="1:10" x14ac:dyDescent="0.35">
      <c r="A15" s="146">
        <v>13</v>
      </c>
      <c r="B15" s="43">
        <v>11035</v>
      </c>
      <c r="C15" s="43" t="s">
        <v>1302</v>
      </c>
      <c r="D15" s="62">
        <v>102089434481</v>
      </c>
      <c r="E15" s="43">
        <v>5222411997</v>
      </c>
      <c r="F15" s="56">
        <v>45455</v>
      </c>
      <c r="G15" s="146" t="s">
        <v>141</v>
      </c>
      <c r="H15" s="146" t="s">
        <v>551</v>
      </c>
      <c r="I15" s="38"/>
      <c r="J15" s="146" t="s">
        <v>1291</v>
      </c>
    </row>
    <row r="16" spans="1:10" ht="15.5" x14ac:dyDescent="0.35">
      <c r="A16" s="146">
        <v>14</v>
      </c>
      <c r="B16" s="43">
        <v>11644</v>
      </c>
      <c r="C16" s="43" t="s">
        <v>1303</v>
      </c>
      <c r="D16" s="62">
        <v>101943474281</v>
      </c>
      <c r="E16" s="43">
        <v>5222412223</v>
      </c>
      <c r="F16" s="56">
        <v>45910</v>
      </c>
      <c r="G16" s="146" t="s">
        <v>633</v>
      </c>
      <c r="H16" s="199" t="s">
        <v>571</v>
      </c>
      <c r="I16" s="38"/>
      <c r="J16" s="146" t="s">
        <v>1291</v>
      </c>
    </row>
    <row r="17" spans="1:10" ht="15.5" x14ac:dyDescent="0.35">
      <c r="A17" s="146">
        <v>15</v>
      </c>
      <c r="B17" s="43">
        <v>11641</v>
      </c>
      <c r="C17" s="43" t="s">
        <v>1304</v>
      </c>
      <c r="D17" s="62">
        <v>100971961389</v>
      </c>
      <c r="E17" s="58">
        <v>5214741478</v>
      </c>
      <c r="F17" s="56">
        <v>45912</v>
      </c>
      <c r="G17" s="43" t="s">
        <v>1307</v>
      </c>
      <c r="H17" s="199" t="s">
        <v>571</v>
      </c>
      <c r="I17" s="38"/>
      <c r="J17" s="146" t="s">
        <v>1291</v>
      </c>
    </row>
    <row r="18" spans="1:10" x14ac:dyDescent="0.35">
      <c r="A18" s="146">
        <v>16</v>
      </c>
      <c r="B18" s="43">
        <v>11642</v>
      </c>
      <c r="C18" s="43" t="s">
        <v>1305</v>
      </c>
      <c r="D18" s="62">
        <v>101788241865</v>
      </c>
      <c r="E18" s="43">
        <v>5222412406</v>
      </c>
      <c r="F18" s="56">
        <v>45906</v>
      </c>
      <c r="G18" s="43" t="s">
        <v>1306</v>
      </c>
      <c r="H18" s="146" t="s">
        <v>551</v>
      </c>
      <c r="I18" s="38"/>
      <c r="J18" s="146" t="s">
        <v>1291</v>
      </c>
    </row>
    <row r="19" spans="1:10" x14ac:dyDescent="0.35">
      <c r="A19" s="146">
        <v>17</v>
      </c>
      <c r="B19" s="43">
        <v>11646</v>
      </c>
      <c r="C19" s="43" t="s">
        <v>1308</v>
      </c>
      <c r="D19" s="62">
        <v>100878914897</v>
      </c>
      <c r="E19" s="58">
        <v>5220871564</v>
      </c>
      <c r="F19" s="56">
        <v>45911</v>
      </c>
      <c r="G19" s="43" t="s">
        <v>1179</v>
      </c>
      <c r="H19" s="146" t="s">
        <v>551</v>
      </c>
      <c r="I19" s="38"/>
      <c r="J19" s="146" t="s">
        <v>1291</v>
      </c>
    </row>
    <row r="20" spans="1:10" x14ac:dyDescent="0.35">
      <c r="A20" s="146">
        <v>18</v>
      </c>
      <c r="B20" s="43">
        <v>11647</v>
      </c>
      <c r="C20" s="43" t="s">
        <v>1309</v>
      </c>
      <c r="D20" s="62">
        <v>101962567669</v>
      </c>
      <c r="E20" s="43">
        <v>5220976331</v>
      </c>
      <c r="F20" s="56">
        <v>45911</v>
      </c>
      <c r="G20" s="43" t="s">
        <v>1179</v>
      </c>
      <c r="H20" s="146" t="s">
        <v>551</v>
      </c>
      <c r="I20" s="38"/>
      <c r="J20" s="146" t="s">
        <v>1291</v>
      </c>
    </row>
    <row r="21" spans="1:10" x14ac:dyDescent="0.35">
      <c r="A21" s="146">
        <v>19</v>
      </c>
      <c r="B21" s="43">
        <v>11689</v>
      </c>
      <c r="C21" s="43" t="s">
        <v>1310</v>
      </c>
      <c r="D21" s="368">
        <v>101989303324</v>
      </c>
      <c r="E21" s="43" t="s">
        <v>1311</v>
      </c>
      <c r="F21" s="56">
        <v>45910</v>
      </c>
      <c r="G21" s="43" t="s">
        <v>1179</v>
      </c>
      <c r="H21" s="146" t="s">
        <v>551</v>
      </c>
      <c r="I21" s="38"/>
      <c r="J21" s="146" t="s">
        <v>1291</v>
      </c>
    </row>
    <row r="22" spans="1:10" x14ac:dyDescent="0.35">
      <c r="A22" s="146">
        <v>20</v>
      </c>
      <c r="B22" s="43">
        <v>11649</v>
      </c>
      <c r="C22" s="43" t="s">
        <v>1312</v>
      </c>
      <c r="D22" s="62">
        <v>101544471398</v>
      </c>
      <c r="E22" s="43">
        <v>5221054492</v>
      </c>
      <c r="F22" s="56">
        <v>45918</v>
      </c>
      <c r="G22" s="146" t="s">
        <v>141</v>
      </c>
      <c r="H22" s="43" t="s">
        <v>1313</v>
      </c>
      <c r="I22" s="38"/>
      <c r="J22" s="146" t="s">
        <v>1291</v>
      </c>
    </row>
    <row r="23" spans="1:10" x14ac:dyDescent="0.35">
      <c r="A23" s="146">
        <v>21</v>
      </c>
      <c r="B23" s="43">
        <v>11655</v>
      </c>
      <c r="C23" s="43" t="s">
        <v>1314</v>
      </c>
      <c r="D23" s="62">
        <v>101726605652</v>
      </c>
      <c r="E23" s="58" t="s">
        <v>1320</v>
      </c>
      <c r="F23" s="56">
        <v>45903</v>
      </c>
      <c r="G23" s="43" t="s">
        <v>1315</v>
      </c>
      <c r="H23" s="146" t="s">
        <v>546</v>
      </c>
      <c r="I23" s="38"/>
      <c r="J23" s="146" t="s">
        <v>1291</v>
      </c>
    </row>
    <row r="24" spans="1:10" ht="15.5" x14ac:dyDescent="0.35">
      <c r="A24" s="146">
        <v>22</v>
      </c>
      <c r="B24" s="123">
        <v>11174</v>
      </c>
      <c r="C24" s="123" t="s">
        <v>1316</v>
      </c>
      <c r="D24" s="237">
        <v>101260343456</v>
      </c>
      <c r="E24" s="58">
        <v>5218993180</v>
      </c>
      <c r="F24" s="187">
        <v>45569</v>
      </c>
      <c r="G24" s="372" t="s">
        <v>141</v>
      </c>
      <c r="H24" s="373" t="s">
        <v>571</v>
      </c>
      <c r="I24" s="123"/>
      <c r="J24" s="372" t="s">
        <v>1291</v>
      </c>
    </row>
    <row r="25" spans="1:10" ht="15.5" x14ac:dyDescent="0.35">
      <c r="A25" s="146">
        <v>23</v>
      </c>
      <c r="B25" s="43">
        <v>11657</v>
      </c>
      <c r="C25" s="43" t="s">
        <v>1317</v>
      </c>
      <c r="D25" s="62">
        <v>100950956037</v>
      </c>
      <c r="E25" s="43">
        <v>5211371548</v>
      </c>
      <c r="F25" s="56">
        <v>45909</v>
      </c>
      <c r="G25" s="199" t="s">
        <v>706</v>
      </c>
      <c r="H25" s="199" t="s">
        <v>571</v>
      </c>
      <c r="I25" s="43"/>
      <c r="J25" s="146" t="s">
        <v>1291</v>
      </c>
    </row>
    <row r="26" spans="1:10" ht="15.5" x14ac:dyDescent="0.35">
      <c r="A26" s="146">
        <v>24</v>
      </c>
      <c r="B26" s="43">
        <v>11652</v>
      </c>
      <c r="C26" s="43" t="s">
        <v>1318</v>
      </c>
      <c r="D26" s="62">
        <v>100967613551</v>
      </c>
      <c r="E26" s="43">
        <v>5212114034</v>
      </c>
      <c r="F26" s="56">
        <v>45915</v>
      </c>
      <c r="G26" s="199" t="s">
        <v>706</v>
      </c>
      <c r="H26" s="199" t="s">
        <v>571</v>
      </c>
      <c r="I26" s="43"/>
      <c r="J26" s="146" t="s">
        <v>1291</v>
      </c>
    </row>
    <row r="27" spans="1:10" x14ac:dyDescent="0.35">
      <c r="A27" s="146">
        <v>25</v>
      </c>
      <c r="B27" s="43">
        <v>11653</v>
      </c>
      <c r="C27" s="43" t="s">
        <v>1319</v>
      </c>
      <c r="D27" s="62">
        <v>102103203399</v>
      </c>
      <c r="E27" s="43">
        <v>5221129232</v>
      </c>
      <c r="F27" s="56">
        <v>45915</v>
      </c>
      <c r="G27" s="43" t="s">
        <v>1260</v>
      </c>
      <c r="H27" s="146" t="s">
        <v>551</v>
      </c>
      <c r="I27" s="43"/>
      <c r="J27" s="146" t="s">
        <v>1291</v>
      </c>
    </row>
    <row r="28" spans="1:10" ht="15.5" x14ac:dyDescent="0.35">
      <c r="A28" s="146">
        <v>26</v>
      </c>
      <c r="B28" s="43">
        <v>11659</v>
      </c>
      <c r="C28" s="43" t="s">
        <v>1321</v>
      </c>
      <c r="D28" s="62">
        <v>102249755112</v>
      </c>
      <c r="E28" s="43">
        <v>5222432204</v>
      </c>
      <c r="F28" s="56">
        <v>45908</v>
      </c>
      <c r="G28" s="146" t="s">
        <v>141</v>
      </c>
      <c r="H28" s="199" t="s">
        <v>571</v>
      </c>
      <c r="I28" s="43"/>
      <c r="J28" s="146" t="s">
        <v>1291</v>
      </c>
    </row>
    <row r="29" spans="1:10" ht="15.5" x14ac:dyDescent="0.35">
      <c r="A29" s="146">
        <v>27</v>
      </c>
      <c r="B29" s="43">
        <v>11660</v>
      </c>
      <c r="C29" s="43" t="s">
        <v>1322</v>
      </c>
      <c r="D29" s="62">
        <v>102249752841</v>
      </c>
      <c r="E29" s="43">
        <v>5222432178</v>
      </c>
      <c r="F29" s="56">
        <v>45908</v>
      </c>
      <c r="G29" s="146" t="s">
        <v>141</v>
      </c>
      <c r="H29" s="199" t="s">
        <v>571</v>
      </c>
      <c r="I29" s="43"/>
      <c r="J29" s="146" t="s">
        <v>1291</v>
      </c>
    </row>
    <row r="30" spans="1:10" ht="15.5" x14ac:dyDescent="0.35">
      <c r="A30" s="146">
        <v>28</v>
      </c>
      <c r="B30" s="43">
        <v>11669</v>
      </c>
      <c r="C30" s="43" t="s">
        <v>1324</v>
      </c>
      <c r="D30" s="62">
        <v>101965074658</v>
      </c>
      <c r="E30" s="43" t="s">
        <v>425</v>
      </c>
      <c r="F30" s="56">
        <v>45924</v>
      </c>
      <c r="G30" s="43" t="s">
        <v>1325</v>
      </c>
      <c r="H30" s="199" t="s">
        <v>1326</v>
      </c>
      <c r="I30" s="38"/>
      <c r="J30" s="146" t="s">
        <v>1291</v>
      </c>
    </row>
    <row r="31" spans="1:10" ht="15.5" x14ac:dyDescent="0.35">
      <c r="A31" s="146">
        <v>29</v>
      </c>
      <c r="B31" s="43">
        <v>11670</v>
      </c>
      <c r="C31" s="43" t="s">
        <v>1327</v>
      </c>
      <c r="D31" s="62">
        <v>102175312327</v>
      </c>
      <c r="E31" s="43">
        <v>5222444116</v>
      </c>
      <c r="F31" s="56">
        <v>45918</v>
      </c>
      <c r="G31" s="43" t="s">
        <v>1068</v>
      </c>
      <c r="H31" s="199" t="s">
        <v>1328</v>
      </c>
      <c r="I31" s="38"/>
      <c r="J31" s="146" t="s">
        <v>1291</v>
      </c>
    </row>
    <row r="32" spans="1:10" ht="15.5" x14ac:dyDescent="0.35">
      <c r="A32" s="146">
        <v>30</v>
      </c>
      <c r="B32" s="43">
        <v>11672</v>
      </c>
      <c r="C32" s="43" t="s">
        <v>1329</v>
      </c>
      <c r="D32" s="62">
        <v>102256486772</v>
      </c>
      <c r="E32" s="43">
        <v>5222444055</v>
      </c>
      <c r="F32" s="56">
        <v>45901</v>
      </c>
      <c r="G32" s="43" t="s">
        <v>1068</v>
      </c>
      <c r="H32" s="199" t="s">
        <v>571</v>
      </c>
      <c r="I32" s="38"/>
      <c r="J32" s="146" t="s">
        <v>1291</v>
      </c>
    </row>
    <row r="33" spans="1:10" ht="15.5" x14ac:dyDescent="0.35">
      <c r="A33" s="146">
        <v>31</v>
      </c>
      <c r="B33" s="43">
        <v>11671</v>
      </c>
      <c r="C33" s="43" t="s">
        <v>1330</v>
      </c>
      <c r="D33" s="62">
        <v>102204467918</v>
      </c>
      <c r="E33" s="43">
        <v>5222443973</v>
      </c>
      <c r="F33" s="56">
        <v>45901</v>
      </c>
      <c r="G33" s="43" t="s">
        <v>1068</v>
      </c>
      <c r="H33" s="199" t="s">
        <v>1328</v>
      </c>
      <c r="I33" s="38"/>
      <c r="J33" s="146" t="s">
        <v>1291</v>
      </c>
    </row>
    <row r="34" spans="1:10" ht="15.5" x14ac:dyDescent="0.35">
      <c r="A34" s="146">
        <v>32</v>
      </c>
      <c r="B34" s="43">
        <v>11673</v>
      </c>
      <c r="C34" s="43" t="s">
        <v>1338</v>
      </c>
      <c r="D34" s="62">
        <v>101165716802</v>
      </c>
      <c r="E34" s="43">
        <v>5221395070</v>
      </c>
      <c r="F34" s="56">
        <v>45901</v>
      </c>
      <c r="G34" s="43" t="s">
        <v>339</v>
      </c>
      <c r="H34" s="199" t="s">
        <v>571</v>
      </c>
      <c r="I34" s="38"/>
      <c r="J34" s="146" t="s">
        <v>1291</v>
      </c>
    </row>
    <row r="35" spans="1:10" ht="15.5" x14ac:dyDescent="0.35">
      <c r="A35" s="146">
        <v>33</v>
      </c>
      <c r="B35" s="43">
        <v>11698</v>
      </c>
      <c r="C35" s="146" t="s">
        <v>1346</v>
      </c>
      <c r="D35" s="62">
        <v>102249104962</v>
      </c>
      <c r="E35" s="43">
        <v>5222534617</v>
      </c>
      <c r="F35" s="56">
        <v>45922</v>
      </c>
      <c r="G35" s="146" t="s">
        <v>633</v>
      </c>
      <c r="H35" s="199" t="s">
        <v>1347</v>
      </c>
      <c r="I35" s="38"/>
      <c r="J35" s="146" t="s">
        <v>1291</v>
      </c>
    </row>
    <row r="36" spans="1:10" ht="15.5" x14ac:dyDescent="0.35">
      <c r="A36" s="146">
        <v>34</v>
      </c>
      <c r="B36" s="43">
        <v>11697</v>
      </c>
      <c r="C36" s="43" t="s">
        <v>1348</v>
      </c>
      <c r="D36" s="62">
        <v>101123172340</v>
      </c>
      <c r="E36" s="43">
        <v>5219467091</v>
      </c>
      <c r="F36" s="56">
        <v>45923</v>
      </c>
      <c r="G36" s="146" t="s">
        <v>633</v>
      </c>
      <c r="H36" s="199" t="s">
        <v>1347</v>
      </c>
      <c r="I36" s="38"/>
      <c r="J36" s="146" t="s">
        <v>1291</v>
      </c>
    </row>
    <row r="37" spans="1:10" ht="15.5" x14ac:dyDescent="0.35">
      <c r="A37" s="146">
        <v>35</v>
      </c>
      <c r="B37" s="43">
        <v>11692</v>
      </c>
      <c r="C37" s="43" t="s">
        <v>1349</v>
      </c>
      <c r="D37" s="62">
        <v>100943401441</v>
      </c>
      <c r="E37" s="43">
        <v>5218479632</v>
      </c>
      <c r="F37" s="56">
        <v>45922</v>
      </c>
      <c r="G37" s="146" t="s">
        <v>633</v>
      </c>
      <c r="H37" s="199" t="s">
        <v>1347</v>
      </c>
      <c r="I37" s="38"/>
      <c r="J37" s="146" t="s">
        <v>1291</v>
      </c>
    </row>
    <row r="38" spans="1:10" ht="15.5" x14ac:dyDescent="0.35">
      <c r="A38" s="146">
        <v>36</v>
      </c>
      <c r="B38" s="43">
        <v>11717</v>
      </c>
      <c r="C38" s="43" t="s">
        <v>1361</v>
      </c>
      <c r="D38" s="62">
        <v>101405283693</v>
      </c>
      <c r="E38" s="43">
        <v>5217156240</v>
      </c>
      <c r="F38" s="56">
        <v>45918</v>
      </c>
      <c r="G38" s="146" t="s">
        <v>633</v>
      </c>
      <c r="H38" s="199" t="s">
        <v>571</v>
      </c>
      <c r="I38" s="38"/>
      <c r="J38" s="146" t="s">
        <v>1291</v>
      </c>
    </row>
    <row r="39" spans="1:10" ht="15.5" x14ac:dyDescent="0.35">
      <c r="A39" s="146">
        <v>37</v>
      </c>
      <c r="B39" s="43">
        <v>11718</v>
      </c>
      <c r="C39" s="43" t="s">
        <v>1363</v>
      </c>
      <c r="D39" s="62">
        <v>102264906832</v>
      </c>
      <c r="E39" s="43">
        <v>5222566152</v>
      </c>
      <c r="F39" s="56">
        <v>45921</v>
      </c>
      <c r="G39" s="146" t="s">
        <v>633</v>
      </c>
      <c r="H39" s="199" t="s">
        <v>571</v>
      </c>
      <c r="I39" s="38"/>
      <c r="J39" s="146" t="s">
        <v>1291</v>
      </c>
    </row>
    <row r="40" spans="1:10" ht="15.5" x14ac:dyDescent="0.35">
      <c r="A40" s="146">
        <v>38</v>
      </c>
      <c r="B40" s="43">
        <v>11747</v>
      </c>
      <c r="C40" s="43" t="s">
        <v>1374</v>
      </c>
      <c r="D40" s="62">
        <v>101454160123</v>
      </c>
      <c r="E40" s="43">
        <v>5212785749</v>
      </c>
      <c r="F40" s="56">
        <v>45929</v>
      </c>
      <c r="G40" s="146" t="s">
        <v>633</v>
      </c>
      <c r="H40" s="199" t="s">
        <v>571</v>
      </c>
      <c r="I40" s="38"/>
      <c r="J40" s="146" t="s">
        <v>1291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"/>
  <sheetViews>
    <sheetView workbookViewId="0">
      <selection activeCell="C16" sqref="C16"/>
    </sheetView>
  </sheetViews>
  <sheetFormatPr defaultRowHeight="14.5" x14ac:dyDescent="0.35"/>
  <cols>
    <col min="2" max="2" width="14.6328125" bestFit="1" customWidth="1"/>
    <col min="3" max="3" width="40.26953125" bestFit="1" customWidth="1"/>
    <col min="4" max="4" width="15.453125" style="58" bestFit="1" customWidth="1"/>
    <col min="5" max="5" width="16.81640625" bestFit="1" customWidth="1"/>
    <col min="6" max="6" width="17.1796875" customWidth="1"/>
    <col min="7" max="7" width="13.08984375" bestFit="1" customWidth="1"/>
    <col min="8" max="8" width="24.453125" bestFit="1" customWidth="1"/>
    <col min="9" max="9" width="7.7265625" bestFit="1" customWidth="1"/>
    <col min="10" max="10" width="10.90625" bestFit="1" customWidth="1"/>
  </cols>
  <sheetData>
    <row r="1" spans="1:10" x14ac:dyDescent="0.35">
      <c r="A1" s="244"/>
      <c r="B1" s="244"/>
      <c r="C1" s="371" t="s">
        <v>1323</v>
      </c>
      <c r="D1" s="281"/>
      <c r="E1" s="244"/>
      <c r="F1" s="244"/>
      <c r="G1" s="244"/>
      <c r="H1" s="244"/>
      <c r="I1" s="244"/>
      <c r="J1" s="244"/>
    </row>
    <row r="2" spans="1:10" ht="15.5" x14ac:dyDescent="0.35">
      <c r="A2" s="198" t="s">
        <v>0</v>
      </c>
      <c r="B2" s="198" t="s">
        <v>1</v>
      </c>
      <c r="C2" s="198" t="s">
        <v>2</v>
      </c>
      <c r="D2" s="369" t="s">
        <v>3</v>
      </c>
      <c r="E2" s="198" t="s">
        <v>1035</v>
      </c>
      <c r="F2" s="198" t="s">
        <v>5</v>
      </c>
      <c r="G2" s="198" t="s">
        <v>6</v>
      </c>
      <c r="H2" s="198" t="s">
        <v>7</v>
      </c>
      <c r="I2" s="248" t="s">
        <v>661</v>
      </c>
      <c r="J2" s="248" t="s">
        <v>1290</v>
      </c>
    </row>
    <row r="3" spans="1:10" x14ac:dyDescent="0.35">
      <c r="A3" s="43">
        <v>1</v>
      </c>
      <c r="B3" s="43">
        <v>11677</v>
      </c>
      <c r="C3" s="43" t="s">
        <v>975</v>
      </c>
      <c r="D3" s="62">
        <v>101506115598</v>
      </c>
      <c r="E3" s="43">
        <v>5222525423</v>
      </c>
      <c r="F3" s="56">
        <v>45948</v>
      </c>
      <c r="G3" s="43" t="s">
        <v>1072</v>
      </c>
      <c r="H3" s="43" t="s">
        <v>543</v>
      </c>
      <c r="I3" s="43"/>
      <c r="J3" s="146" t="s">
        <v>1291</v>
      </c>
    </row>
    <row r="4" spans="1:10" x14ac:dyDescent="0.35">
      <c r="A4" s="43">
        <v>2</v>
      </c>
      <c r="B4" s="43">
        <v>11679</v>
      </c>
      <c r="C4" s="43" t="s">
        <v>1331</v>
      </c>
      <c r="D4" s="62">
        <v>101476637751</v>
      </c>
      <c r="E4" s="43">
        <v>6382236064</v>
      </c>
      <c r="F4" s="56">
        <v>45947</v>
      </c>
      <c r="G4" s="43" t="s">
        <v>1072</v>
      </c>
      <c r="H4" s="43" t="s">
        <v>543</v>
      </c>
      <c r="I4" s="43"/>
      <c r="J4" s="146" t="s">
        <v>1291</v>
      </c>
    </row>
    <row r="5" spans="1:10" x14ac:dyDescent="0.35">
      <c r="A5" s="43">
        <v>3</v>
      </c>
      <c r="B5" s="43">
        <v>11686</v>
      </c>
      <c r="C5" s="43" t="s">
        <v>1332</v>
      </c>
      <c r="D5" s="62">
        <v>101913154481</v>
      </c>
      <c r="E5" s="43" t="s">
        <v>1335</v>
      </c>
      <c r="F5" s="56">
        <v>45931</v>
      </c>
      <c r="G5" s="43" t="s">
        <v>1333</v>
      </c>
      <c r="H5" s="43" t="s">
        <v>1334</v>
      </c>
      <c r="I5" s="43"/>
      <c r="J5" s="43" t="s">
        <v>1333</v>
      </c>
    </row>
    <row r="6" spans="1:10" x14ac:dyDescent="0.35">
      <c r="A6" s="43">
        <v>4</v>
      </c>
      <c r="B6" s="43">
        <v>11675</v>
      </c>
      <c r="C6" s="43" t="s">
        <v>1336</v>
      </c>
      <c r="D6" s="62">
        <v>101725496868</v>
      </c>
      <c r="E6" s="43" t="s">
        <v>425</v>
      </c>
      <c r="F6" s="56">
        <v>45946</v>
      </c>
      <c r="G6" s="43" t="s">
        <v>1333</v>
      </c>
      <c r="H6" s="43" t="s">
        <v>1337</v>
      </c>
      <c r="I6" s="43"/>
      <c r="J6" s="43" t="s">
        <v>1333</v>
      </c>
    </row>
    <row r="7" spans="1:10" x14ac:dyDescent="0.35">
      <c r="A7" s="43">
        <v>5</v>
      </c>
      <c r="B7" s="43">
        <v>11699</v>
      </c>
      <c r="C7" s="43" t="s">
        <v>1343</v>
      </c>
      <c r="D7" s="62">
        <v>101380540166</v>
      </c>
      <c r="E7" s="43">
        <v>5222537571</v>
      </c>
      <c r="F7" s="56">
        <v>45943</v>
      </c>
      <c r="G7" s="43" t="s">
        <v>141</v>
      </c>
      <c r="H7" s="43" t="s">
        <v>310</v>
      </c>
      <c r="I7" s="38"/>
      <c r="J7" s="146" t="s">
        <v>1291</v>
      </c>
    </row>
    <row r="8" spans="1:10" x14ac:dyDescent="0.35">
      <c r="A8" s="43">
        <v>6</v>
      </c>
      <c r="B8" s="43">
        <v>11700</v>
      </c>
      <c r="C8" s="43" t="s">
        <v>1344</v>
      </c>
      <c r="D8" s="62">
        <v>101559268812</v>
      </c>
      <c r="E8" s="43">
        <v>5216181992</v>
      </c>
      <c r="F8" s="56">
        <v>45952</v>
      </c>
      <c r="G8" s="43" t="s">
        <v>199</v>
      </c>
      <c r="H8" s="43" t="s">
        <v>543</v>
      </c>
      <c r="I8" s="38"/>
      <c r="J8" s="146" t="s">
        <v>1291</v>
      </c>
    </row>
    <row r="9" spans="1:10" x14ac:dyDescent="0.35">
      <c r="A9" s="43">
        <v>7</v>
      </c>
      <c r="B9" s="43">
        <v>11696</v>
      </c>
      <c r="C9" s="43" t="s">
        <v>1345</v>
      </c>
      <c r="D9" s="62">
        <v>101233060114</v>
      </c>
      <c r="E9" s="43">
        <v>5216208715</v>
      </c>
      <c r="F9" s="56">
        <v>45949</v>
      </c>
      <c r="G9" s="146" t="s">
        <v>633</v>
      </c>
      <c r="H9" s="43" t="s">
        <v>543</v>
      </c>
      <c r="I9" s="38"/>
      <c r="J9" s="146" t="s">
        <v>1291</v>
      </c>
    </row>
    <row r="10" spans="1:10" x14ac:dyDescent="0.35">
      <c r="A10" s="43">
        <v>8</v>
      </c>
      <c r="B10" s="43">
        <v>11703</v>
      </c>
      <c r="C10" s="43" t="s">
        <v>1353</v>
      </c>
      <c r="D10" s="62">
        <v>102212333293</v>
      </c>
      <c r="E10" s="43">
        <v>5222533740</v>
      </c>
      <c r="F10" s="56">
        <v>45958</v>
      </c>
      <c r="G10" s="43" t="s">
        <v>1068</v>
      </c>
      <c r="H10" s="43" t="s">
        <v>1354</v>
      </c>
      <c r="I10" s="38"/>
      <c r="J10" s="146" t="s">
        <v>1291</v>
      </c>
    </row>
    <row r="11" spans="1:10" x14ac:dyDescent="0.35">
      <c r="A11" s="43">
        <v>9</v>
      </c>
      <c r="B11" s="43">
        <v>11704</v>
      </c>
      <c r="C11" s="43" t="s">
        <v>1355</v>
      </c>
      <c r="D11" s="62">
        <v>102261566446</v>
      </c>
      <c r="E11" s="43">
        <v>5222534876</v>
      </c>
      <c r="F11" s="56">
        <v>45946</v>
      </c>
      <c r="G11" s="43" t="s">
        <v>199</v>
      </c>
      <c r="H11" s="43" t="s">
        <v>559</v>
      </c>
      <c r="I11" s="38"/>
      <c r="J11" s="146" t="s">
        <v>1291</v>
      </c>
    </row>
    <row r="12" spans="1:10" x14ac:dyDescent="0.35">
      <c r="A12" s="43">
        <v>10</v>
      </c>
      <c r="B12" s="43">
        <v>11705</v>
      </c>
      <c r="C12" s="43" t="s">
        <v>1356</v>
      </c>
      <c r="D12" s="62">
        <v>101878632942</v>
      </c>
      <c r="E12" s="43">
        <v>5220047651</v>
      </c>
      <c r="F12" s="56">
        <v>45939</v>
      </c>
      <c r="G12" s="146" t="s">
        <v>633</v>
      </c>
      <c r="H12" s="43" t="s">
        <v>543</v>
      </c>
      <c r="I12" s="38"/>
      <c r="J12" s="146" t="s">
        <v>1291</v>
      </c>
    </row>
    <row r="13" spans="1:10" x14ac:dyDescent="0.35">
      <c r="A13" s="43">
        <v>11</v>
      </c>
      <c r="B13" s="43">
        <v>11706</v>
      </c>
      <c r="C13" s="43" t="s">
        <v>1357</v>
      </c>
      <c r="D13" s="62">
        <v>102192482403</v>
      </c>
      <c r="E13" s="43">
        <v>5222540180</v>
      </c>
      <c r="F13" s="56">
        <v>45944</v>
      </c>
      <c r="G13" s="43" t="s">
        <v>199</v>
      </c>
      <c r="H13" s="43" t="s">
        <v>543</v>
      </c>
      <c r="I13" s="38"/>
      <c r="J13" s="146" t="s">
        <v>1291</v>
      </c>
    </row>
    <row r="14" spans="1:10" x14ac:dyDescent="0.35">
      <c r="A14" s="43">
        <v>12</v>
      </c>
      <c r="B14" s="43">
        <v>11710</v>
      </c>
      <c r="C14" s="43" t="s">
        <v>1360</v>
      </c>
      <c r="D14" s="62">
        <v>102067539795</v>
      </c>
      <c r="E14" s="43">
        <v>5220734087</v>
      </c>
      <c r="F14" s="56">
        <v>45931</v>
      </c>
      <c r="G14" s="43" t="s">
        <v>1072</v>
      </c>
      <c r="H14" s="43" t="s">
        <v>559</v>
      </c>
      <c r="I14" s="38"/>
      <c r="J14" s="146" t="s">
        <v>1291</v>
      </c>
    </row>
    <row r="15" spans="1:10" x14ac:dyDescent="0.35">
      <c r="A15" s="43">
        <v>13</v>
      </c>
      <c r="B15" s="43">
        <v>11720</v>
      </c>
      <c r="C15" s="43" t="s">
        <v>1364</v>
      </c>
      <c r="D15" s="62">
        <v>102265183093</v>
      </c>
      <c r="E15" s="43">
        <v>5222567463</v>
      </c>
      <c r="F15" s="56">
        <v>45957</v>
      </c>
      <c r="G15" s="43" t="s">
        <v>1365</v>
      </c>
      <c r="H15" s="43" t="s">
        <v>310</v>
      </c>
      <c r="I15" s="38"/>
      <c r="J15" s="146" t="s">
        <v>1291</v>
      </c>
    </row>
    <row r="16" spans="1:10" x14ac:dyDescent="0.35">
      <c r="A16" s="43">
        <v>14</v>
      </c>
      <c r="B16" s="43">
        <v>11728</v>
      </c>
      <c r="C16" s="43" t="s">
        <v>1371</v>
      </c>
      <c r="D16" s="62">
        <v>101371275944</v>
      </c>
      <c r="E16" s="43">
        <v>5220158456</v>
      </c>
      <c r="F16" s="56">
        <v>45958</v>
      </c>
      <c r="G16" s="43" t="s">
        <v>1365</v>
      </c>
      <c r="H16" s="43" t="s">
        <v>310</v>
      </c>
      <c r="I16" s="38"/>
      <c r="J16" s="146" t="s">
        <v>1291</v>
      </c>
    </row>
    <row r="17" spans="1:10" x14ac:dyDescent="0.35">
      <c r="A17" s="43">
        <v>15</v>
      </c>
      <c r="B17" s="43">
        <v>11730</v>
      </c>
      <c r="C17" s="43" t="s">
        <v>1372</v>
      </c>
      <c r="D17" s="62">
        <v>101846735138</v>
      </c>
      <c r="E17" s="43">
        <v>5219723811</v>
      </c>
      <c r="F17" s="56">
        <v>45942</v>
      </c>
      <c r="G17" s="43" t="s">
        <v>647</v>
      </c>
      <c r="H17" s="43" t="s">
        <v>543</v>
      </c>
      <c r="I17" s="38"/>
      <c r="J17" s="146" t="s">
        <v>1291</v>
      </c>
    </row>
    <row r="18" spans="1:10" x14ac:dyDescent="0.35">
      <c r="A18" s="43">
        <v>16</v>
      </c>
      <c r="B18" s="43">
        <v>11674</v>
      </c>
      <c r="C18" s="43" t="s">
        <v>1373</v>
      </c>
      <c r="D18" s="62">
        <v>100954337647</v>
      </c>
      <c r="E18" s="43">
        <v>5216618091</v>
      </c>
      <c r="F18" s="56">
        <v>45943</v>
      </c>
      <c r="G18" s="43" t="s">
        <v>1306</v>
      </c>
      <c r="H18" s="43" t="s">
        <v>543</v>
      </c>
      <c r="I18" s="38"/>
      <c r="J18" s="146" t="s">
        <v>1291</v>
      </c>
    </row>
    <row r="19" spans="1:10" x14ac:dyDescent="0.35">
      <c r="A19" s="43">
        <v>17</v>
      </c>
      <c r="B19" s="43">
        <v>11748</v>
      </c>
      <c r="C19" s="43" t="s">
        <v>1375</v>
      </c>
      <c r="D19" s="62">
        <v>101590540279</v>
      </c>
      <c r="E19" s="43">
        <v>5222607461</v>
      </c>
      <c r="F19" s="56">
        <v>45658</v>
      </c>
      <c r="G19" s="43" t="s">
        <v>141</v>
      </c>
      <c r="H19" s="43" t="s">
        <v>543</v>
      </c>
      <c r="I19" s="38"/>
      <c r="J19" s="146" t="s">
        <v>1291</v>
      </c>
    </row>
    <row r="20" spans="1:10" x14ac:dyDescent="0.35">
      <c r="A20" s="43">
        <v>18</v>
      </c>
      <c r="B20" s="43">
        <v>11718</v>
      </c>
      <c r="C20" s="43" t="s">
        <v>1363</v>
      </c>
      <c r="D20" s="62">
        <v>102264906832</v>
      </c>
      <c r="E20" s="43">
        <v>5222566152</v>
      </c>
      <c r="F20" s="56">
        <v>45949</v>
      </c>
      <c r="G20" s="146" t="s">
        <v>633</v>
      </c>
      <c r="H20" s="43" t="s">
        <v>543</v>
      </c>
      <c r="I20" s="43"/>
      <c r="J20" s="146" t="s">
        <v>1291</v>
      </c>
    </row>
    <row r="21" spans="1:10" x14ac:dyDescent="0.35">
      <c r="A21" s="43">
        <v>19</v>
      </c>
      <c r="B21" s="43">
        <v>11731</v>
      </c>
      <c r="C21" s="43" t="s">
        <v>1378</v>
      </c>
      <c r="D21" s="62">
        <v>102267196571</v>
      </c>
      <c r="E21" s="43" t="s">
        <v>425</v>
      </c>
      <c r="F21" s="56">
        <v>45931</v>
      </c>
      <c r="G21" s="43" t="s">
        <v>1379</v>
      </c>
      <c r="H21" s="43" t="s">
        <v>1380</v>
      </c>
      <c r="I21" s="38"/>
      <c r="J21" s="146" t="s">
        <v>1291</v>
      </c>
    </row>
    <row r="22" spans="1:10" x14ac:dyDescent="0.35">
      <c r="A22" s="43">
        <v>20</v>
      </c>
      <c r="B22" s="43">
        <v>11714</v>
      </c>
      <c r="C22" s="43" t="s">
        <v>1388</v>
      </c>
      <c r="D22" s="62">
        <v>102037499870</v>
      </c>
      <c r="E22" s="43">
        <v>5220528581</v>
      </c>
      <c r="F22" s="56">
        <v>45931</v>
      </c>
      <c r="G22" s="146" t="s">
        <v>633</v>
      </c>
      <c r="H22" s="43" t="s">
        <v>543</v>
      </c>
      <c r="I22" s="38"/>
      <c r="J22" s="146" t="s">
        <v>1291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A936-672D-47FF-B90D-590A24B448E5}">
  <dimension ref="A1:J35"/>
  <sheetViews>
    <sheetView workbookViewId="0">
      <selection activeCell="G3" sqref="G3:G35"/>
    </sheetView>
  </sheetViews>
  <sheetFormatPr defaultRowHeight="14.5" x14ac:dyDescent="0.35"/>
  <cols>
    <col min="2" max="2" width="14.6328125" bestFit="1" customWidth="1"/>
    <col min="3" max="3" width="42.08984375" bestFit="1" customWidth="1"/>
    <col min="4" max="4" width="15.453125" bestFit="1" customWidth="1"/>
    <col min="5" max="5" width="16.36328125" bestFit="1" customWidth="1"/>
    <col min="6" max="6" width="19" customWidth="1"/>
    <col min="7" max="7" width="13.36328125" customWidth="1"/>
    <col min="8" max="8" width="23" bestFit="1" customWidth="1"/>
    <col min="10" max="10" width="23" bestFit="1" customWidth="1"/>
  </cols>
  <sheetData>
    <row r="1" spans="1:10" s="253" customFormat="1" x14ac:dyDescent="0.35">
      <c r="A1" s="244"/>
      <c r="B1" s="244"/>
      <c r="C1" s="376" t="s">
        <v>1390</v>
      </c>
      <c r="D1" s="281"/>
      <c r="E1" s="244"/>
      <c r="F1" s="244"/>
      <c r="G1" s="244"/>
      <c r="H1" s="244"/>
      <c r="I1" s="244"/>
      <c r="J1" s="244"/>
    </row>
    <row r="2" spans="1:10" ht="15.5" x14ac:dyDescent="0.35">
      <c r="A2" s="198" t="s">
        <v>0</v>
      </c>
      <c r="B2" s="198" t="s">
        <v>1</v>
      </c>
      <c r="C2" s="198" t="s">
        <v>2</v>
      </c>
      <c r="D2" s="369" t="s">
        <v>3</v>
      </c>
      <c r="E2" s="198" t="s">
        <v>1035</v>
      </c>
      <c r="F2" s="198" t="s">
        <v>5</v>
      </c>
      <c r="G2" s="198" t="s">
        <v>6</v>
      </c>
      <c r="H2" s="198" t="s">
        <v>7</v>
      </c>
      <c r="I2" s="248" t="s">
        <v>661</v>
      </c>
      <c r="J2" s="248" t="s">
        <v>1290</v>
      </c>
    </row>
    <row r="3" spans="1:10" x14ac:dyDescent="0.35">
      <c r="A3" s="43">
        <v>1</v>
      </c>
      <c r="B3" s="43">
        <v>11694</v>
      </c>
      <c r="C3" s="43" t="s">
        <v>1339</v>
      </c>
      <c r="D3" s="62">
        <v>100605885041</v>
      </c>
      <c r="E3" s="43" t="s">
        <v>268</v>
      </c>
      <c r="F3" s="56">
        <v>45962</v>
      </c>
      <c r="G3" s="43" t="s">
        <v>1340</v>
      </c>
      <c r="H3" s="38" t="s">
        <v>1341</v>
      </c>
      <c r="I3" s="38"/>
      <c r="J3" s="38" t="s">
        <v>1342</v>
      </c>
    </row>
    <row r="4" spans="1:10" x14ac:dyDescent="0.35">
      <c r="A4" s="43">
        <v>2</v>
      </c>
      <c r="B4" s="43">
        <v>11701</v>
      </c>
      <c r="C4" s="43" t="s">
        <v>1350</v>
      </c>
      <c r="D4" s="62">
        <v>102261010185</v>
      </c>
      <c r="E4" s="43" t="s">
        <v>1351</v>
      </c>
      <c r="F4" s="56">
        <v>45962</v>
      </c>
      <c r="G4" s="43" t="s">
        <v>1288</v>
      </c>
      <c r="H4" s="38" t="s">
        <v>1352</v>
      </c>
      <c r="I4" s="38"/>
      <c r="J4" s="38" t="s">
        <v>1352</v>
      </c>
    </row>
    <row r="5" spans="1:10" x14ac:dyDescent="0.35">
      <c r="A5" s="43">
        <v>3</v>
      </c>
      <c r="B5" s="43">
        <v>11708</v>
      </c>
      <c r="C5" s="43" t="s">
        <v>1358</v>
      </c>
      <c r="D5" s="62">
        <v>101155833890</v>
      </c>
      <c r="E5" s="43" t="s">
        <v>268</v>
      </c>
      <c r="F5" s="56">
        <v>45966</v>
      </c>
      <c r="G5" s="43" t="s">
        <v>1072</v>
      </c>
      <c r="H5" s="38" t="s">
        <v>1359</v>
      </c>
      <c r="I5" s="38"/>
      <c r="J5" s="38" t="s">
        <v>1342</v>
      </c>
    </row>
    <row r="6" spans="1:10" x14ac:dyDescent="0.35">
      <c r="A6" s="43">
        <v>4</v>
      </c>
      <c r="B6" s="43">
        <v>11716</v>
      </c>
      <c r="C6" s="43" t="s">
        <v>1362</v>
      </c>
      <c r="D6" s="62">
        <v>101786699332</v>
      </c>
      <c r="E6" s="43">
        <v>5222574661</v>
      </c>
      <c r="F6" s="56">
        <v>45966</v>
      </c>
      <c r="G6" s="43" t="s">
        <v>959</v>
      </c>
      <c r="H6" s="38" t="s">
        <v>863</v>
      </c>
      <c r="I6" s="38"/>
      <c r="J6" s="38" t="s">
        <v>1342</v>
      </c>
    </row>
    <row r="7" spans="1:10" x14ac:dyDescent="0.35">
      <c r="A7" s="43">
        <v>5</v>
      </c>
      <c r="B7" s="43">
        <v>11255</v>
      </c>
      <c r="C7" s="43" t="s">
        <v>1366</v>
      </c>
      <c r="D7" s="62">
        <v>101882268943</v>
      </c>
      <c r="E7" s="43">
        <v>5219084522</v>
      </c>
      <c r="F7" s="56">
        <v>45963</v>
      </c>
      <c r="G7" s="43" t="s">
        <v>1367</v>
      </c>
      <c r="H7" s="38" t="s">
        <v>543</v>
      </c>
      <c r="I7" s="38"/>
      <c r="J7" s="38" t="s">
        <v>1342</v>
      </c>
    </row>
    <row r="8" spans="1:10" x14ac:dyDescent="0.35">
      <c r="A8" s="43">
        <v>6</v>
      </c>
      <c r="B8" s="43">
        <v>11722</v>
      </c>
      <c r="C8" s="43" t="s">
        <v>1368</v>
      </c>
      <c r="D8" s="62">
        <v>101550607374</v>
      </c>
      <c r="E8" s="43" t="s">
        <v>268</v>
      </c>
      <c r="F8" s="56">
        <v>45974</v>
      </c>
      <c r="G8" s="43" t="s">
        <v>1072</v>
      </c>
      <c r="H8" s="38" t="s">
        <v>863</v>
      </c>
      <c r="I8" s="38"/>
      <c r="J8" s="38" t="s">
        <v>1342</v>
      </c>
    </row>
    <row r="9" spans="1:10" x14ac:dyDescent="0.35">
      <c r="A9" s="43">
        <v>7</v>
      </c>
      <c r="B9" s="43">
        <v>11727</v>
      </c>
      <c r="C9" s="43" t="s">
        <v>1369</v>
      </c>
      <c r="D9" s="62">
        <v>101133035465</v>
      </c>
      <c r="E9" s="43">
        <v>5216344834</v>
      </c>
      <c r="F9" s="56">
        <v>45962</v>
      </c>
      <c r="G9" s="43" t="s">
        <v>1370</v>
      </c>
      <c r="H9" s="38" t="s">
        <v>863</v>
      </c>
      <c r="I9" s="38"/>
      <c r="J9" s="38" t="s">
        <v>1342</v>
      </c>
    </row>
    <row r="10" spans="1:10" x14ac:dyDescent="0.35">
      <c r="A10" s="43">
        <v>8</v>
      </c>
      <c r="B10" s="43">
        <v>11462</v>
      </c>
      <c r="C10" s="43" t="s">
        <v>984</v>
      </c>
      <c r="D10" s="62">
        <v>102020602514</v>
      </c>
      <c r="E10" s="43">
        <v>5222123660</v>
      </c>
      <c r="F10" s="56">
        <v>45971</v>
      </c>
      <c r="G10" s="43" t="s">
        <v>647</v>
      </c>
      <c r="H10" s="38" t="s">
        <v>543</v>
      </c>
      <c r="I10" s="38"/>
      <c r="J10" s="38" t="s">
        <v>1342</v>
      </c>
    </row>
    <row r="11" spans="1:10" x14ac:dyDescent="0.35">
      <c r="A11" s="43">
        <v>9</v>
      </c>
      <c r="B11" s="43">
        <v>11741</v>
      </c>
      <c r="C11" s="43" t="s">
        <v>1376</v>
      </c>
      <c r="D11" s="62">
        <v>102268385119</v>
      </c>
      <c r="E11" s="43">
        <v>5222586578</v>
      </c>
      <c r="F11" s="56">
        <v>45978</v>
      </c>
      <c r="G11" s="43" t="s">
        <v>199</v>
      </c>
      <c r="H11" s="357" t="s">
        <v>543</v>
      </c>
      <c r="I11" s="357"/>
      <c r="J11" s="357" t="s">
        <v>1342</v>
      </c>
    </row>
    <row r="12" spans="1:10" x14ac:dyDescent="0.35">
      <c r="A12" s="43">
        <v>10</v>
      </c>
      <c r="B12" s="43">
        <v>11739</v>
      </c>
      <c r="C12" s="43" t="s">
        <v>1377</v>
      </c>
      <c r="D12" s="62">
        <v>101693394549</v>
      </c>
      <c r="E12" s="43">
        <v>5220468347</v>
      </c>
      <c r="F12" s="56">
        <v>45975</v>
      </c>
      <c r="G12" s="146" t="s">
        <v>633</v>
      </c>
      <c r="H12" s="357" t="s">
        <v>543</v>
      </c>
      <c r="I12" s="357"/>
      <c r="J12" s="357" t="s">
        <v>1342</v>
      </c>
    </row>
    <row r="13" spans="1:10" x14ac:dyDescent="0.35">
      <c r="A13" s="43">
        <v>11</v>
      </c>
      <c r="B13" s="43">
        <v>11737</v>
      </c>
      <c r="C13" s="43" t="s">
        <v>1381</v>
      </c>
      <c r="D13" s="62">
        <v>101427038585</v>
      </c>
      <c r="E13" s="43" t="s">
        <v>268</v>
      </c>
      <c r="F13" s="56">
        <v>45974</v>
      </c>
      <c r="G13" s="43" t="s">
        <v>1370</v>
      </c>
      <c r="H13" s="38" t="s">
        <v>1382</v>
      </c>
      <c r="I13" s="38"/>
      <c r="J13" s="357" t="s">
        <v>1342</v>
      </c>
    </row>
    <row r="14" spans="1:10" x14ac:dyDescent="0.35">
      <c r="A14" s="43">
        <v>12</v>
      </c>
      <c r="B14" s="43">
        <v>11735</v>
      </c>
      <c r="C14" s="43" t="s">
        <v>1383</v>
      </c>
      <c r="D14" s="62">
        <v>101466445657</v>
      </c>
      <c r="E14" s="43">
        <v>5217636477</v>
      </c>
      <c r="F14" s="56">
        <v>45970</v>
      </c>
      <c r="G14" s="146" t="s">
        <v>633</v>
      </c>
      <c r="H14" s="357" t="s">
        <v>543</v>
      </c>
      <c r="I14" s="38"/>
      <c r="J14" s="357" t="s">
        <v>1342</v>
      </c>
    </row>
    <row r="15" spans="1:10" x14ac:dyDescent="0.35">
      <c r="A15" s="43">
        <v>13</v>
      </c>
      <c r="B15" s="43">
        <v>11736</v>
      </c>
      <c r="C15" s="43" t="s">
        <v>1384</v>
      </c>
      <c r="D15" s="62">
        <v>102038793650</v>
      </c>
      <c r="E15" s="43">
        <v>5221053522</v>
      </c>
      <c r="F15" s="56">
        <v>45973</v>
      </c>
      <c r="G15" s="43" t="s">
        <v>1385</v>
      </c>
      <c r="H15" s="357" t="s">
        <v>1386</v>
      </c>
      <c r="I15" s="38"/>
      <c r="J15" s="357" t="s">
        <v>1342</v>
      </c>
    </row>
    <row r="16" spans="1:10" x14ac:dyDescent="0.35">
      <c r="A16" s="43">
        <v>14</v>
      </c>
      <c r="B16" s="123">
        <v>11746</v>
      </c>
      <c r="C16" s="123" t="s">
        <v>1387</v>
      </c>
      <c r="D16" s="237">
        <v>102126725289</v>
      </c>
      <c r="E16" s="123">
        <v>5221375717</v>
      </c>
      <c r="F16" s="60">
        <v>45986</v>
      </c>
      <c r="G16" s="123" t="s">
        <v>959</v>
      </c>
      <c r="H16" s="375" t="s">
        <v>1386</v>
      </c>
      <c r="I16" s="111"/>
      <c r="J16" s="375" t="s">
        <v>1342</v>
      </c>
    </row>
    <row r="17" spans="1:10" x14ac:dyDescent="0.35">
      <c r="A17" s="43">
        <v>15</v>
      </c>
      <c r="B17" s="43">
        <v>11750</v>
      </c>
      <c r="C17" s="43" t="s">
        <v>1389</v>
      </c>
      <c r="D17" s="62">
        <v>102077290824</v>
      </c>
      <c r="E17" s="43">
        <v>5222608684</v>
      </c>
      <c r="F17" s="56">
        <v>45986</v>
      </c>
      <c r="G17" s="43" t="s">
        <v>1370</v>
      </c>
      <c r="H17" s="357" t="s">
        <v>1386</v>
      </c>
      <c r="I17" s="38"/>
      <c r="J17" s="357" t="s">
        <v>1342</v>
      </c>
    </row>
    <row r="18" spans="1:10" x14ac:dyDescent="0.35">
      <c r="A18" s="43">
        <v>16</v>
      </c>
      <c r="B18" s="43">
        <v>11751</v>
      </c>
      <c r="C18" s="43" t="s">
        <v>733</v>
      </c>
      <c r="D18" s="62">
        <v>101321131170</v>
      </c>
      <c r="E18" s="43">
        <v>5214618440</v>
      </c>
      <c r="F18" s="56">
        <v>45989</v>
      </c>
      <c r="G18" s="43" t="s">
        <v>1385</v>
      </c>
      <c r="H18" s="38" t="s">
        <v>543</v>
      </c>
      <c r="I18" s="38"/>
      <c r="J18" s="357" t="s">
        <v>1342</v>
      </c>
    </row>
    <row r="19" spans="1:10" x14ac:dyDescent="0.35">
      <c r="A19" s="43">
        <v>17</v>
      </c>
      <c r="B19" s="43">
        <v>11758</v>
      </c>
      <c r="C19" s="43" t="s">
        <v>1391</v>
      </c>
      <c r="D19" s="62">
        <v>101270039956</v>
      </c>
      <c r="E19" s="43">
        <v>5216922413</v>
      </c>
      <c r="F19" s="56">
        <v>45985</v>
      </c>
      <c r="G19" s="43" t="s">
        <v>1306</v>
      </c>
      <c r="H19" s="357" t="s">
        <v>559</v>
      </c>
      <c r="I19" s="38"/>
      <c r="J19" s="357" t="s">
        <v>1342</v>
      </c>
    </row>
    <row r="20" spans="1:10" x14ac:dyDescent="0.35">
      <c r="A20" s="43">
        <v>18</v>
      </c>
      <c r="B20" s="43">
        <v>11754</v>
      </c>
      <c r="C20" s="43" t="s">
        <v>1392</v>
      </c>
      <c r="D20" s="62">
        <v>102158562618</v>
      </c>
      <c r="E20" s="43">
        <v>5221108166</v>
      </c>
      <c r="F20" s="56">
        <v>45985</v>
      </c>
      <c r="G20" s="43" t="s">
        <v>1306</v>
      </c>
      <c r="H20" s="38" t="s">
        <v>543</v>
      </c>
      <c r="I20" s="38"/>
      <c r="J20" s="357" t="s">
        <v>1342</v>
      </c>
    </row>
    <row r="21" spans="1:10" x14ac:dyDescent="0.35">
      <c r="A21" s="43">
        <v>19</v>
      </c>
      <c r="B21" s="43">
        <v>11763</v>
      </c>
      <c r="C21" s="43" t="s">
        <v>1393</v>
      </c>
      <c r="D21" s="62">
        <v>102035219956</v>
      </c>
      <c r="E21" s="43">
        <v>5222622646</v>
      </c>
      <c r="F21" s="56">
        <v>45968</v>
      </c>
      <c r="G21" s="43" t="s">
        <v>1370</v>
      </c>
      <c r="H21" s="357" t="s">
        <v>1386</v>
      </c>
      <c r="I21" s="38"/>
      <c r="J21" s="357" t="s">
        <v>1342</v>
      </c>
    </row>
    <row r="22" spans="1:10" x14ac:dyDescent="0.35">
      <c r="A22" s="43">
        <v>20</v>
      </c>
      <c r="B22" s="43">
        <v>11764</v>
      </c>
      <c r="C22" s="43" t="s">
        <v>1394</v>
      </c>
      <c r="D22" s="62">
        <v>102268687170</v>
      </c>
      <c r="E22" s="43">
        <v>5222589130</v>
      </c>
      <c r="F22" s="56">
        <v>45964</v>
      </c>
      <c r="G22" s="43" t="s">
        <v>1370</v>
      </c>
      <c r="H22" s="38" t="s">
        <v>543</v>
      </c>
      <c r="I22" s="38"/>
      <c r="J22" s="357" t="s">
        <v>1342</v>
      </c>
    </row>
    <row r="23" spans="1:10" x14ac:dyDescent="0.35">
      <c r="A23" s="43">
        <v>21</v>
      </c>
      <c r="B23" s="43">
        <v>11765</v>
      </c>
      <c r="C23" s="43" t="s">
        <v>1395</v>
      </c>
      <c r="D23" s="62">
        <v>102268684729</v>
      </c>
      <c r="E23" s="43">
        <v>5222589068</v>
      </c>
      <c r="F23" s="56">
        <v>45964</v>
      </c>
      <c r="G23" s="43" t="s">
        <v>1370</v>
      </c>
      <c r="H23" s="357" t="s">
        <v>1386</v>
      </c>
      <c r="I23" s="38"/>
      <c r="J23" s="357" t="s">
        <v>1342</v>
      </c>
    </row>
    <row r="24" spans="1:10" x14ac:dyDescent="0.35">
      <c r="A24" s="43">
        <v>22</v>
      </c>
      <c r="B24" s="43">
        <v>11753</v>
      </c>
      <c r="C24" s="43" t="s">
        <v>1396</v>
      </c>
      <c r="D24" s="62">
        <v>101265578188</v>
      </c>
      <c r="E24" s="43">
        <v>5218853367</v>
      </c>
      <c r="F24" s="56">
        <v>45971</v>
      </c>
      <c r="G24" s="43" t="s">
        <v>1370</v>
      </c>
      <c r="H24" s="357" t="s">
        <v>1386</v>
      </c>
      <c r="I24" s="38"/>
      <c r="J24" s="357" t="s">
        <v>1342</v>
      </c>
    </row>
    <row r="25" spans="1:10" x14ac:dyDescent="0.35">
      <c r="A25" s="43">
        <v>23</v>
      </c>
      <c r="B25" s="43">
        <v>11752</v>
      </c>
      <c r="C25" s="43" t="s">
        <v>1397</v>
      </c>
      <c r="D25" s="62">
        <v>101074608658</v>
      </c>
      <c r="E25" s="43">
        <v>5222611291</v>
      </c>
      <c r="F25" s="56">
        <v>45990</v>
      </c>
      <c r="G25" s="43" t="s">
        <v>1370</v>
      </c>
      <c r="H25" s="357" t="s">
        <v>1386</v>
      </c>
      <c r="I25" s="38"/>
      <c r="J25" s="357" t="s">
        <v>1342</v>
      </c>
    </row>
    <row r="26" spans="1:10" x14ac:dyDescent="0.35">
      <c r="A26" s="43">
        <v>24</v>
      </c>
      <c r="B26" s="43">
        <v>11757</v>
      </c>
      <c r="C26" s="43" t="s">
        <v>1398</v>
      </c>
      <c r="D26" s="62">
        <v>102271752920</v>
      </c>
      <c r="E26" s="43">
        <v>5222611346</v>
      </c>
      <c r="F26" s="56">
        <v>45990</v>
      </c>
      <c r="G26" s="43" t="s">
        <v>1370</v>
      </c>
      <c r="H26" s="357" t="s">
        <v>1386</v>
      </c>
      <c r="I26" s="38"/>
      <c r="J26" s="357" t="s">
        <v>1342</v>
      </c>
    </row>
    <row r="27" spans="1:10" x14ac:dyDescent="0.35">
      <c r="A27" s="43">
        <v>25</v>
      </c>
      <c r="B27" s="43">
        <v>11750</v>
      </c>
      <c r="C27" s="43" t="s">
        <v>1389</v>
      </c>
      <c r="D27" s="62">
        <v>102077290824</v>
      </c>
      <c r="E27" s="43">
        <v>5222608684</v>
      </c>
      <c r="F27" s="56">
        <v>45986</v>
      </c>
      <c r="G27" s="43" t="s">
        <v>1370</v>
      </c>
      <c r="H27" s="357" t="s">
        <v>1386</v>
      </c>
      <c r="I27" s="38"/>
      <c r="J27" s="357" t="s">
        <v>1342</v>
      </c>
    </row>
    <row r="28" spans="1:10" x14ac:dyDescent="0.35">
      <c r="A28" s="43">
        <v>26</v>
      </c>
      <c r="B28" s="43">
        <v>11760</v>
      </c>
      <c r="C28" s="43" t="s">
        <v>1399</v>
      </c>
      <c r="D28" s="62">
        <v>101439030581</v>
      </c>
      <c r="E28" s="58">
        <v>5218007683</v>
      </c>
      <c r="F28" s="56">
        <v>45986</v>
      </c>
      <c r="G28" s="43" t="s">
        <v>1370</v>
      </c>
      <c r="H28" s="357" t="s">
        <v>1386</v>
      </c>
      <c r="I28" s="38"/>
      <c r="J28" s="357" t="s">
        <v>1342</v>
      </c>
    </row>
    <row r="29" spans="1:10" x14ac:dyDescent="0.35">
      <c r="A29" s="43">
        <v>27</v>
      </c>
      <c r="B29" s="43">
        <v>11759</v>
      </c>
      <c r="C29" s="43" t="s">
        <v>1400</v>
      </c>
      <c r="D29" s="62">
        <v>102115419516</v>
      </c>
      <c r="E29" s="43">
        <v>52211311918</v>
      </c>
      <c r="F29" s="56">
        <v>45990</v>
      </c>
      <c r="G29" s="43" t="s">
        <v>1370</v>
      </c>
      <c r="H29" s="38" t="s">
        <v>543</v>
      </c>
      <c r="I29" s="38"/>
      <c r="J29" s="357" t="s">
        <v>1342</v>
      </c>
    </row>
    <row r="30" spans="1:10" x14ac:dyDescent="0.35">
      <c r="A30" s="43">
        <v>28</v>
      </c>
      <c r="B30" s="43">
        <v>11761</v>
      </c>
      <c r="C30" s="43" t="s">
        <v>1401</v>
      </c>
      <c r="D30" s="62">
        <v>102027651533</v>
      </c>
      <c r="E30" s="43">
        <v>5220996329</v>
      </c>
      <c r="F30" s="56">
        <v>45964</v>
      </c>
      <c r="G30" s="43" t="s">
        <v>1370</v>
      </c>
      <c r="H30" s="357" t="s">
        <v>1386</v>
      </c>
      <c r="I30" s="38"/>
      <c r="J30" s="357" t="s">
        <v>1342</v>
      </c>
    </row>
    <row r="31" spans="1:10" x14ac:dyDescent="0.35">
      <c r="A31" s="43">
        <v>29</v>
      </c>
      <c r="B31" s="43">
        <v>11766</v>
      </c>
      <c r="C31" s="43" t="s">
        <v>1403</v>
      </c>
      <c r="D31" s="62">
        <v>102273311616</v>
      </c>
      <c r="E31" s="43">
        <v>5222623453</v>
      </c>
      <c r="F31" s="56">
        <v>45986</v>
      </c>
      <c r="G31" s="43" t="s">
        <v>1370</v>
      </c>
      <c r="H31" s="357" t="s">
        <v>1386</v>
      </c>
      <c r="I31" s="38"/>
      <c r="J31" s="357" t="s">
        <v>1342</v>
      </c>
    </row>
    <row r="32" spans="1:10" x14ac:dyDescent="0.35">
      <c r="A32" s="43">
        <v>30</v>
      </c>
      <c r="B32" s="43">
        <v>11767</v>
      </c>
      <c r="C32" s="43" t="s">
        <v>1405</v>
      </c>
      <c r="D32" s="62">
        <v>102171713131</v>
      </c>
      <c r="E32" s="43">
        <v>5221707511</v>
      </c>
      <c r="F32" s="56">
        <v>45983</v>
      </c>
      <c r="G32" s="43" t="s">
        <v>1370</v>
      </c>
      <c r="H32" s="357" t="s">
        <v>1386</v>
      </c>
      <c r="I32" s="38"/>
      <c r="J32" s="357" t="s">
        <v>1342</v>
      </c>
    </row>
    <row r="33" spans="1:10" x14ac:dyDescent="0.35">
      <c r="A33" s="43">
        <v>31</v>
      </c>
      <c r="B33" s="43">
        <v>11773</v>
      </c>
      <c r="C33" s="43" t="s">
        <v>1407</v>
      </c>
      <c r="D33" s="62">
        <v>100635308287</v>
      </c>
      <c r="E33" s="43">
        <v>5221421370</v>
      </c>
      <c r="F33" s="56">
        <v>45990</v>
      </c>
      <c r="G33" s="146" t="s">
        <v>633</v>
      </c>
      <c r="H33" s="357" t="s">
        <v>1386</v>
      </c>
      <c r="I33" s="38"/>
      <c r="J33" s="357" t="s">
        <v>1342</v>
      </c>
    </row>
    <row r="34" spans="1:10" x14ac:dyDescent="0.35">
      <c r="A34" s="43">
        <v>32</v>
      </c>
      <c r="B34" s="43">
        <v>11409</v>
      </c>
      <c r="C34" s="43" t="s">
        <v>876</v>
      </c>
      <c r="D34" s="62">
        <v>102124327752</v>
      </c>
      <c r="E34" s="43">
        <v>5221316924</v>
      </c>
      <c r="F34" s="56">
        <v>45990</v>
      </c>
      <c r="G34" s="43" t="s">
        <v>1370</v>
      </c>
      <c r="H34" s="38" t="s">
        <v>543</v>
      </c>
      <c r="I34" s="38"/>
      <c r="J34" s="357" t="s">
        <v>1342</v>
      </c>
    </row>
    <row r="35" spans="1:10" x14ac:dyDescent="0.35">
      <c r="A35" s="58"/>
    </row>
  </sheetData>
  <pageMargins left="0.7" right="0.7" top="0.75" bottom="0.75" header="0.3" footer="0.3"/>
  <pageSetup paperSize="9"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8920-C55E-49BD-BACD-E2A333A3EB71}">
  <dimension ref="A1:J15"/>
  <sheetViews>
    <sheetView workbookViewId="0">
      <selection activeCell="E21" sqref="E21:H31"/>
    </sheetView>
  </sheetViews>
  <sheetFormatPr defaultRowHeight="14.5" x14ac:dyDescent="0.35"/>
  <cols>
    <col min="2" max="2" width="15.453125" bestFit="1" customWidth="1"/>
    <col min="3" max="3" width="40.26953125" bestFit="1" customWidth="1"/>
    <col min="4" max="4" width="15.453125" bestFit="1" customWidth="1"/>
    <col min="5" max="5" width="14.36328125" bestFit="1" customWidth="1"/>
    <col min="6" max="6" width="14.08984375" bestFit="1" customWidth="1"/>
    <col min="7" max="7" width="11.90625" bestFit="1" customWidth="1"/>
    <col min="8" max="8" width="12.08984375" bestFit="1" customWidth="1"/>
    <col min="9" max="9" width="7.7265625" bestFit="1" customWidth="1"/>
    <col min="10" max="10" width="10.90625" bestFit="1" customWidth="1"/>
  </cols>
  <sheetData>
    <row r="1" spans="1:10" x14ac:dyDescent="0.35">
      <c r="A1" s="244"/>
      <c r="B1" s="244"/>
      <c r="C1" s="371" t="s">
        <v>1418</v>
      </c>
      <c r="D1" s="281"/>
      <c r="E1" s="244"/>
      <c r="F1" s="244"/>
      <c r="G1" s="244"/>
      <c r="H1" s="244"/>
      <c r="I1" s="244"/>
      <c r="J1" s="244"/>
    </row>
    <row r="2" spans="1:10" ht="15.5" x14ac:dyDescent="0.35">
      <c r="A2" s="198" t="s">
        <v>0</v>
      </c>
      <c r="B2" s="198" t="s">
        <v>1</v>
      </c>
      <c r="C2" s="198" t="s">
        <v>2</v>
      </c>
      <c r="D2" s="369" t="s">
        <v>3</v>
      </c>
      <c r="E2" s="198" t="s">
        <v>1035</v>
      </c>
      <c r="F2" s="198" t="s">
        <v>5</v>
      </c>
      <c r="G2" s="198" t="s">
        <v>6</v>
      </c>
      <c r="H2" s="198" t="s">
        <v>7</v>
      </c>
      <c r="I2" s="248" t="s">
        <v>661</v>
      </c>
      <c r="J2" s="248" t="s">
        <v>1290</v>
      </c>
    </row>
    <row r="3" spans="1:10" x14ac:dyDescent="0.35">
      <c r="A3" s="43">
        <v>1</v>
      </c>
      <c r="B3" s="43">
        <v>10655</v>
      </c>
      <c r="C3" s="43" t="s">
        <v>1402</v>
      </c>
      <c r="D3" s="62">
        <v>100967600899</v>
      </c>
      <c r="E3" s="43">
        <v>5220223010</v>
      </c>
      <c r="F3" s="37">
        <v>45992</v>
      </c>
      <c r="G3" s="38" t="s">
        <v>959</v>
      </c>
      <c r="H3" s="38" t="s">
        <v>559</v>
      </c>
      <c r="I3" s="38"/>
      <c r="J3" s="38" t="s">
        <v>1342</v>
      </c>
    </row>
    <row r="4" spans="1:10" x14ac:dyDescent="0.35">
      <c r="A4" s="43">
        <v>2</v>
      </c>
      <c r="B4" s="43">
        <v>11768</v>
      </c>
      <c r="C4" s="43" t="s">
        <v>1404</v>
      </c>
      <c r="D4" s="62">
        <v>101745272745</v>
      </c>
      <c r="E4" s="43">
        <v>5219246328</v>
      </c>
      <c r="F4" s="37">
        <v>45993</v>
      </c>
      <c r="G4" s="38" t="s">
        <v>305</v>
      </c>
      <c r="H4" s="38" t="s">
        <v>559</v>
      </c>
      <c r="I4" s="38"/>
      <c r="J4" s="38" t="s">
        <v>1342</v>
      </c>
    </row>
    <row r="5" spans="1:10" x14ac:dyDescent="0.35">
      <c r="A5" s="43">
        <v>3</v>
      </c>
      <c r="B5" s="43">
        <v>11769</v>
      </c>
      <c r="C5" s="43" t="s">
        <v>1406</v>
      </c>
      <c r="D5" s="62">
        <v>101660804946</v>
      </c>
      <c r="E5" s="43">
        <v>5221368126</v>
      </c>
      <c r="F5" s="37">
        <v>45997</v>
      </c>
      <c r="G5" s="38" t="s">
        <v>305</v>
      </c>
      <c r="H5" s="38" t="s">
        <v>559</v>
      </c>
      <c r="I5" s="38"/>
      <c r="J5" s="38" t="s">
        <v>1342</v>
      </c>
    </row>
    <row r="6" spans="1:10" x14ac:dyDescent="0.35">
      <c r="A6" s="43">
        <v>4</v>
      </c>
      <c r="B6" s="43">
        <v>11798</v>
      </c>
      <c r="C6" s="43" t="s">
        <v>1408</v>
      </c>
      <c r="D6" s="62">
        <v>101501150722</v>
      </c>
      <c r="E6" s="43">
        <v>5216336795</v>
      </c>
      <c r="F6" s="37">
        <v>45994</v>
      </c>
      <c r="G6" s="38" t="s">
        <v>117</v>
      </c>
      <c r="H6" s="38" t="s">
        <v>559</v>
      </c>
      <c r="I6" s="38"/>
      <c r="J6" s="38" t="s">
        <v>1342</v>
      </c>
    </row>
    <row r="7" spans="1:10" x14ac:dyDescent="0.35">
      <c r="A7" s="43">
        <v>5</v>
      </c>
      <c r="B7" s="43">
        <v>11799</v>
      </c>
      <c r="C7" s="43" t="s">
        <v>1409</v>
      </c>
      <c r="D7" s="62">
        <v>101968511315</v>
      </c>
      <c r="E7" s="43">
        <v>5219656169</v>
      </c>
      <c r="F7" s="37">
        <v>45992</v>
      </c>
      <c r="G7" s="38" t="s">
        <v>1205</v>
      </c>
      <c r="H7" s="38" t="s">
        <v>543</v>
      </c>
      <c r="I7" s="38"/>
      <c r="J7" s="38" t="s">
        <v>1342</v>
      </c>
    </row>
    <row r="8" spans="1:10" x14ac:dyDescent="0.35">
      <c r="A8" s="43">
        <v>6</v>
      </c>
      <c r="B8" s="43">
        <v>11797</v>
      </c>
      <c r="C8" s="43" t="s">
        <v>1410</v>
      </c>
      <c r="D8" s="62">
        <v>101567851752</v>
      </c>
      <c r="E8" s="43">
        <v>5208959865</v>
      </c>
      <c r="F8" s="37">
        <v>46006</v>
      </c>
      <c r="G8" s="38" t="s">
        <v>706</v>
      </c>
      <c r="H8" s="38" t="s">
        <v>543</v>
      </c>
      <c r="I8" s="38"/>
      <c r="J8" s="38" t="s">
        <v>1342</v>
      </c>
    </row>
    <row r="9" spans="1:10" x14ac:dyDescent="0.35">
      <c r="A9" s="43">
        <v>7</v>
      </c>
      <c r="B9" s="43">
        <v>10548</v>
      </c>
      <c r="C9" s="43" t="s">
        <v>1411</v>
      </c>
      <c r="D9" s="62">
        <v>101528757047</v>
      </c>
      <c r="E9" s="43">
        <v>5219127919</v>
      </c>
      <c r="F9" s="37">
        <v>46001</v>
      </c>
      <c r="G9" s="38" t="s">
        <v>1412</v>
      </c>
      <c r="H9" s="38" t="s">
        <v>559</v>
      </c>
      <c r="I9" s="38"/>
      <c r="J9" s="38" t="s">
        <v>1342</v>
      </c>
    </row>
    <row r="10" spans="1:10" x14ac:dyDescent="0.35">
      <c r="A10" s="43">
        <v>8</v>
      </c>
      <c r="B10" s="43">
        <v>11776</v>
      </c>
      <c r="C10" s="43" t="s">
        <v>1413</v>
      </c>
      <c r="D10" s="62">
        <v>101571986837</v>
      </c>
      <c r="E10" s="58">
        <v>5218917801</v>
      </c>
      <c r="F10" s="37">
        <v>45993</v>
      </c>
      <c r="G10" s="38" t="s">
        <v>305</v>
      </c>
      <c r="H10" s="38" t="s">
        <v>559</v>
      </c>
      <c r="I10" s="38"/>
      <c r="J10" s="38" t="s">
        <v>1342</v>
      </c>
    </row>
    <row r="11" spans="1:10" x14ac:dyDescent="0.35">
      <c r="A11" s="43">
        <v>9</v>
      </c>
      <c r="B11" s="43">
        <v>11792</v>
      </c>
      <c r="C11" s="62" t="s">
        <v>1414</v>
      </c>
      <c r="D11" s="62">
        <v>101060756483</v>
      </c>
      <c r="E11" s="43">
        <v>5222670582</v>
      </c>
      <c r="F11" s="37">
        <v>45992</v>
      </c>
      <c r="G11" s="38" t="s">
        <v>1415</v>
      </c>
      <c r="H11" s="38" t="s">
        <v>543</v>
      </c>
      <c r="I11" s="38"/>
      <c r="J11" s="38" t="s">
        <v>1342</v>
      </c>
    </row>
    <row r="12" spans="1:10" x14ac:dyDescent="0.35">
      <c r="A12" s="43">
        <v>10</v>
      </c>
      <c r="B12" s="43">
        <v>11795</v>
      </c>
      <c r="C12" s="43" t="s">
        <v>1416</v>
      </c>
      <c r="D12" s="62">
        <v>101559758449</v>
      </c>
      <c r="E12" s="43">
        <v>5216481890</v>
      </c>
      <c r="F12" s="37">
        <v>45992</v>
      </c>
      <c r="G12" s="244" t="s">
        <v>633</v>
      </c>
      <c r="H12" s="38" t="s">
        <v>559</v>
      </c>
      <c r="I12" s="38"/>
      <c r="J12" s="38" t="s">
        <v>1342</v>
      </c>
    </row>
    <row r="13" spans="1:10" x14ac:dyDescent="0.35">
      <c r="A13" s="43">
        <v>11</v>
      </c>
      <c r="B13" s="43">
        <v>11794</v>
      </c>
      <c r="C13" s="43" t="s">
        <v>1417</v>
      </c>
      <c r="D13" s="62">
        <v>102095420731</v>
      </c>
      <c r="E13" s="43">
        <v>5221931837</v>
      </c>
      <c r="F13" s="37">
        <v>45994</v>
      </c>
      <c r="G13" s="38" t="s">
        <v>117</v>
      </c>
      <c r="H13" s="38" t="s">
        <v>543</v>
      </c>
      <c r="I13" s="38"/>
      <c r="J13" s="38" t="s">
        <v>1342</v>
      </c>
    </row>
    <row r="14" spans="1:10" x14ac:dyDescent="0.35">
      <c r="A14" s="43">
        <v>12</v>
      </c>
      <c r="B14" s="43">
        <v>11803</v>
      </c>
      <c r="C14" s="43" t="s">
        <v>1421</v>
      </c>
      <c r="D14" s="62">
        <v>101543399998</v>
      </c>
      <c r="E14" s="43">
        <v>5218146141</v>
      </c>
      <c r="F14" s="37">
        <v>46008</v>
      </c>
      <c r="G14" s="244" t="s">
        <v>633</v>
      </c>
      <c r="H14" s="38" t="s">
        <v>559</v>
      </c>
      <c r="I14" s="38"/>
      <c r="J14" s="38" t="s">
        <v>1342</v>
      </c>
    </row>
    <row r="15" spans="1:10" x14ac:dyDescent="0.35">
      <c r="A15" s="43">
        <v>13</v>
      </c>
      <c r="B15" s="43">
        <v>11822</v>
      </c>
      <c r="C15" s="43" t="s">
        <v>1422</v>
      </c>
      <c r="D15" s="62">
        <v>102295075934</v>
      </c>
      <c r="E15" s="43">
        <v>5222774924</v>
      </c>
      <c r="F15" s="37">
        <v>46004</v>
      </c>
      <c r="G15" s="38" t="s">
        <v>706</v>
      </c>
      <c r="H15" s="38" t="s">
        <v>559</v>
      </c>
      <c r="I15" s="38"/>
      <c r="J15" s="38" t="s">
        <v>1342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B81B-CB0C-47BD-ABFF-A2D4142C3F7B}">
  <dimension ref="A1:K34"/>
  <sheetViews>
    <sheetView workbookViewId="0">
      <selection activeCell="G17" sqref="G17"/>
    </sheetView>
  </sheetViews>
  <sheetFormatPr defaultRowHeight="14.5" x14ac:dyDescent="0.35"/>
  <cols>
    <col min="2" max="2" width="19.1796875" bestFit="1" customWidth="1"/>
    <col min="3" max="3" width="41.6328125" bestFit="1" customWidth="1"/>
    <col min="4" max="4" width="15.453125" bestFit="1" customWidth="1"/>
    <col min="5" max="5" width="14.36328125" bestFit="1" customWidth="1"/>
    <col min="6" max="6" width="14.08984375" bestFit="1" customWidth="1"/>
    <col min="7" max="7" width="13.08984375" bestFit="1" customWidth="1"/>
    <col min="8" max="8" width="21.6328125" bestFit="1" customWidth="1"/>
    <col min="9" max="9" width="7.26953125" customWidth="1"/>
    <col min="10" max="10" width="11.7265625" hidden="1" customWidth="1"/>
    <col min="11" max="11" width="10.90625" bestFit="1" customWidth="1"/>
  </cols>
  <sheetData>
    <row r="1" spans="1:11" x14ac:dyDescent="0.35">
      <c r="A1" s="244"/>
      <c r="B1" s="244"/>
      <c r="C1" s="371" t="s">
        <v>1460</v>
      </c>
      <c r="D1" s="281"/>
      <c r="E1" s="244"/>
      <c r="F1" s="244"/>
      <c r="G1" s="244"/>
      <c r="H1" s="244"/>
      <c r="I1" s="244"/>
      <c r="J1" s="244"/>
      <c r="K1" s="38"/>
    </row>
    <row r="2" spans="1:11" ht="15.5" x14ac:dyDescent="0.35">
      <c r="A2" s="198" t="s">
        <v>0</v>
      </c>
      <c r="B2" s="198" t="s">
        <v>1</v>
      </c>
      <c r="C2" s="198" t="s">
        <v>2</v>
      </c>
      <c r="D2" s="369" t="s">
        <v>3</v>
      </c>
      <c r="E2" s="198" t="s">
        <v>1035</v>
      </c>
      <c r="F2" s="198" t="s">
        <v>5</v>
      </c>
      <c r="G2" s="198" t="s">
        <v>6</v>
      </c>
      <c r="H2" s="198" t="s">
        <v>7</v>
      </c>
      <c r="I2" s="248" t="s">
        <v>661</v>
      </c>
      <c r="J2" s="248" t="s">
        <v>1290</v>
      </c>
      <c r="K2" s="248" t="s">
        <v>1290</v>
      </c>
    </row>
    <row r="3" spans="1:11" x14ac:dyDescent="0.35">
      <c r="A3" s="43">
        <v>1</v>
      </c>
      <c r="B3" s="43">
        <v>11814</v>
      </c>
      <c r="C3" s="43" t="s">
        <v>1424</v>
      </c>
      <c r="D3" s="62">
        <v>102169245060</v>
      </c>
      <c r="E3" s="43">
        <v>5221956401</v>
      </c>
      <c r="F3" s="56">
        <v>46027</v>
      </c>
      <c r="G3" s="43" t="s">
        <v>1072</v>
      </c>
      <c r="H3" s="43" t="s">
        <v>559</v>
      </c>
      <c r="I3" s="43"/>
      <c r="J3" s="43" t="s">
        <v>1420</v>
      </c>
      <c r="K3" s="43" t="s">
        <v>1342</v>
      </c>
    </row>
    <row r="4" spans="1:11" x14ac:dyDescent="0.35">
      <c r="A4" s="43">
        <v>2</v>
      </c>
      <c r="B4" s="43">
        <v>11808</v>
      </c>
      <c r="C4" s="43" t="s">
        <v>1425</v>
      </c>
      <c r="D4" s="62">
        <v>102126226010</v>
      </c>
      <c r="E4" s="43">
        <v>5221377114</v>
      </c>
      <c r="F4" s="56">
        <v>46027</v>
      </c>
      <c r="G4" s="43" t="s">
        <v>1072</v>
      </c>
      <c r="H4" s="43" t="s">
        <v>559</v>
      </c>
      <c r="I4" s="43"/>
      <c r="J4" s="43" t="s">
        <v>1420</v>
      </c>
      <c r="K4" s="43" t="s">
        <v>1342</v>
      </c>
    </row>
    <row r="5" spans="1:11" x14ac:dyDescent="0.35">
      <c r="A5" s="43">
        <v>3</v>
      </c>
      <c r="B5" s="43">
        <v>11813</v>
      </c>
      <c r="C5" s="43" t="s">
        <v>1426</v>
      </c>
      <c r="D5" s="62">
        <v>100778141728</v>
      </c>
      <c r="E5" s="43" t="s">
        <v>233</v>
      </c>
      <c r="F5" s="56">
        <v>46027</v>
      </c>
      <c r="G5" s="43" t="s">
        <v>1333</v>
      </c>
      <c r="H5" s="43" t="s">
        <v>1427</v>
      </c>
      <c r="I5" s="43"/>
      <c r="J5" s="43"/>
      <c r="K5" s="43" t="s">
        <v>1342</v>
      </c>
    </row>
    <row r="6" spans="1:11" x14ac:dyDescent="0.35">
      <c r="A6" s="43">
        <v>4</v>
      </c>
      <c r="B6" s="43">
        <v>11816</v>
      </c>
      <c r="C6" s="43" t="s">
        <v>1423</v>
      </c>
      <c r="D6" s="62">
        <v>101698360453</v>
      </c>
      <c r="E6" s="43">
        <v>5218912967</v>
      </c>
      <c r="F6" s="56">
        <v>46027</v>
      </c>
      <c r="G6" s="43" t="s">
        <v>169</v>
      </c>
      <c r="H6" s="43" t="s">
        <v>559</v>
      </c>
      <c r="I6" s="43"/>
      <c r="J6" s="43" t="s">
        <v>1420</v>
      </c>
      <c r="K6" s="43" t="s">
        <v>1342</v>
      </c>
    </row>
    <row r="7" spans="1:11" x14ac:dyDescent="0.35">
      <c r="A7" s="43">
        <v>5</v>
      </c>
      <c r="B7" s="43">
        <v>11818</v>
      </c>
      <c r="C7" s="43" t="s">
        <v>1428</v>
      </c>
      <c r="D7" s="62">
        <v>102263115429</v>
      </c>
      <c r="E7" s="43">
        <v>5222563252</v>
      </c>
      <c r="F7" s="56">
        <v>46024</v>
      </c>
      <c r="G7" s="43" t="s">
        <v>169</v>
      </c>
      <c r="H7" s="43" t="s">
        <v>543</v>
      </c>
      <c r="I7" s="43"/>
      <c r="J7" s="43"/>
      <c r="K7" s="43" t="s">
        <v>1342</v>
      </c>
    </row>
    <row r="8" spans="1:11" x14ac:dyDescent="0.35">
      <c r="A8" s="43">
        <v>6</v>
      </c>
      <c r="B8" s="43">
        <v>11817</v>
      </c>
      <c r="C8" s="43" t="s">
        <v>1429</v>
      </c>
      <c r="D8" s="62">
        <v>101718154666</v>
      </c>
      <c r="E8" s="43">
        <v>5220807338</v>
      </c>
      <c r="F8" s="56">
        <v>46024</v>
      </c>
      <c r="G8" s="43" t="s">
        <v>169</v>
      </c>
      <c r="H8" s="43" t="s">
        <v>543</v>
      </c>
      <c r="I8" s="38"/>
      <c r="J8" s="38"/>
      <c r="K8" s="43" t="s">
        <v>1342</v>
      </c>
    </row>
    <row r="9" spans="1:11" x14ac:dyDescent="0.35">
      <c r="A9" s="43">
        <v>7</v>
      </c>
      <c r="B9" s="43">
        <v>11815</v>
      </c>
      <c r="C9" s="43" t="s">
        <v>1430</v>
      </c>
      <c r="D9" s="62">
        <v>101905364157</v>
      </c>
      <c r="E9" s="43">
        <v>5219255228</v>
      </c>
      <c r="F9" s="56">
        <v>46030</v>
      </c>
      <c r="G9" s="43" t="s">
        <v>169</v>
      </c>
      <c r="H9" s="43" t="s">
        <v>559</v>
      </c>
      <c r="I9" s="43"/>
      <c r="J9" s="43" t="s">
        <v>1420</v>
      </c>
      <c r="K9" s="43" t="s">
        <v>1342</v>
      </c>
    </row>
    <row r="10" spans="1:11" x14ac:dyDescent="0.35">
      <c r="A10" s="43">
        <v>8</v>
      </c>
      <c r="B10" s="43">
        <v>11819</v>
      </c>
      <c r="C10" s="43" t="s">
        <v>1431</v>
      </c>
      <c r="D10" s="62">
        <v>101812071795</v>
      </c>
      <c r="E10" s="43" t="s">
        <v>233</v>
      </c>
      <c r="F10" s="56">
        <v>46045</v>
      </c>
      <c r="G10" s="43" t="s">
        <v>1072</v>
      </c>
      <c r="H10" s="43" t="s">
        <v>1432</v>
      </c>
      <c r="I10" s="38"/>
      <c r="J10" s="38"/>
      <c r="K10" s="43" t="s">
        <v>1342</v>
      </c>
    </row>
    <row r="11" spans="1:11" x14ac:dyDescent="0.35">
      <c r="A11" s="43">
        <v>9</v>
      </c>
      <c r="B11" s="43">
        <v>11820</v>
      </c>
      <c r="C11" s="43" t="s">
        <v>1433</v>
      </c>
      <c r="D11" s="62">
        <v>101477098724</v>
      </c>
      <c r="E11" s="43">
        <v>5215640171</v>
      </c>
      <c r="F11" s="56">
        <v>46045</v>
      </c>
      <c r="G11" s="43" t="s">
        <v>1415</v>
      </c>
      <c r="H11" s="43" t="s">
        <v>1434</v>
      </c>
      <c r="I11" s="38"/>
      <c r="J11" s="38"/>
      <c r="K11" s="43" t="s">
        <v>1342</v>
      </c>
    </row>
    <row r="12" spans="1:11" x14ac:dyDescent="0.35">
      <c r="A12" s="43">
        <v>10</v>
      </c>
      <c r="B12" s="123">
        <v>11100</v>
      </c>
      <c r="C12" s="123" t="s">
        <v>1435</v>
      </c>
      <c r="D12" s="62">
        <v>102112812596</v>
      </c>
      <c r="E12" s="43">
        <v>5221250584</v>
      </c>
      <c r="F12" s="187">
        <v>46023</v>
      </c>
      <c r="G12" s="123" t="s">
        <v>1436</v>
      </c>
      <c r="H12" s="123" t="s">
        <v>543</v>
      </c>
      <c r="I12" s="111"/>
      <c r="J12" s="111"/>
      <c r="K12" s="123" t="s">
        <v>1342</v>
      </c>
    </row>
    <row r="13" spans="1:11" x14ac:dyDescent="0.35">
      <c r="A13" s="43">
        <v>11</v>
      </c>
      <c r="B13" s="43">
        <v>10952</v>
      </c>
      <c r="C13" s="43" t="s">
        <v>1437</v>
      </c>
      <c r="D13" s="62">
        <v>101835274895</v>
      </c>
      <c r="E13" s="58">
        <v>5218596289</v>
      </c>
      <c r="F13" s="56">
        <v>46030</v>
      </c>
      <c r="G13" s="43" t="s">
        <v>339</v>
      </c>
      <c r="H13" s="43" t="s">
        <v>543</v>
      </c>
      <c r="I13" s="38"/>
      <c r="J13" s="38"/>
      <c r="K13" s="43" t="s">
        <v>1342</v>
      </c>
    </row>
    <row r="14" spans="1:11" x14ac:dyDescent="0.35">
      <c r="A14" s="43">
        <v>12</v>
      </c>
      <c r="B14" s="43">
        <v>11823</v>
      </c>
      <c r="C14" s="43" t="s">
        <v>542</v>
      </c>
      <c r="D14" s="62">
        <v>102104500943</v>
      </c>
      <c r="E14" s="43" t="s">
        <v>233</v>
      </c>
      <c r="F14" s="56">
        <v>46023</v>
      </c>
      <c r="G14" s="43" t="s">
        <v>1072</v>
      </c>
      <c r="H14" s="43" t="s">
        <v>1432</v>
      </c>
      <c r="I14" s="38"/>
      <c r="J14" s="38"/>
      <c r="K14" s="43" t="s">
        <v>1342</v>
      </c>
    </row>
    <row r="15" spans="1:11" x14ac:dyDescent="0.35">
      <c r="A15" s="43">
        <v>13</v>
      </c>
      <c r="B15" s="43">
        <v>11824</v>
      </c>
      <c r="C15" s="43" t="s">
        <v>1438</v>
      </c>
      <c r="D15" s="62">
        <v>102258377645</v>
      </c>
      <c r="E15" s="43">
        <v>5222017308</v>
      </c>
      <c r="F15" s="56">
        <v>46023</v>
      </c>
      <c r="G15" s="43" t="s">
        <v>1072</v>
      </c>
      <c r="H15" s="43" t="s">
        <v>543</v>
      </c>
      <c r="I15" s="38"/>
      <c r="J15" s="38"/>
      <c r="K15" s="43" t="s">
        <v>1342</v>
      </c>
    </row>
    <row r="16" spans="1:11" x14ac:dyDescent="0.35">
      <c r="A16" s="43">
        <v>14</v>
      </c>
      <c r="B16" s="43">
        <v>11832</v>
      </c>
      <c r="C16" s="43" t="s">
        <v>1439</v>
      </c>
      <c r="D16" s="62">
        <v>101973130574</v>
      </c>
      <c r="E16" s="43">
        <v>5219903024</v>
      </c>
      <c r="F16" s="56">
        <v>46028</v>
      </c>
      <c r="G16" s="43" t="s">
        <v>1072</v>
      </c>
      <c r="H16" s="43" t="s">
        <v>559</v>
      </c>
      <c r="I16" s="38"/>
      <c r="J16" s="38"/>
      <c r="K16" s="43" t="s">
        <v>1342</v>
      </c>
    </row>
    <row r="17" spans="1:11" x14ac:dyDescent="0.35">
      <c r="A17" s="43">
        <v>15</v>
      </c>
      <c r="B17" s="43">
        <v>11827</v>
      </c>
      <c r="C17" s="43" t="s">
        <v>1440</v>
      </c>
      <c r="D17" s="62">
        <v>101475294582</v>
      </c>
      <c r="E17" s="43">
        <v>5218253807</v>
      </c>
      <c r="F17" s="56">
        <v>46046</v>
      </c>
      <c r="G17" s="43" t="s">
        <v>305</v>
      </c>
      <c r="H17" s="43" t="s">
        <v>1441</v>
      </c>
      <c r="I17" s="38"/>
      <c r="J17" s="38"/>
      <c r="K17" s="43" t="s">
        <v>1342</v>
      </c>
    </row>
    <row r="18" spans="1:11" x14ac:dyDescent="0.35">
      <c r="A18" s="43">
        <v>16</v>
      </c>
      <c r="B18" s="43">
        <v>11831</v>
      </c>
      <c r="C18" s="43" t="s">
        <v>1442</v>
      </c>
      <c r="D18" s="62">
        <v>102147255561</v>
      </c>
      <c r="E18" s="43">
        <v>5221585767</v>
      </c>
      <c r="F18" s="56">
        <v>46039</v>
      </c>
      <c r="G18" s="43" t="s">
        <v>959</v>
      </c>
      <c r="H18" s="43" t="s">
        <v>543</v>
      </c>
      <c r="I18" s="38"/>
      <c r="J18" s="38"/>
      <c r="K18" s="43" t="s">
        <v>1342</v>
      </c>
    </row>
    <row r="19" spans="1:11" x14ac:dyDescent="0.35">
      <c r="A19" s="43">
        <v>17</v>
      </c>
      <c r="B19" s="123">
        <v>11825</v>
      </c>
      <c r="C19" s="123" t="s">
        <v>1443</v>
      </c>
      <c r="D19" s="62">
        <v>100457064457</v>
      </c>
      <c r="E19" s="43">
        <v>5219680039</v>
      </c>
      <c r="F19" s="187">
        <v>46035</v>
      </c>
      <c r="G19" s="146" t="s">
        <v>633</v>
      </c>
      <c r="H19" s="43" t="s">
        <v>543</v>
      </c>
      <c r="I19" s="38"/>
      <c r="J19" s="38"/>
      <c r="K19" s="43" t="s">
        <v>1342</v>
      </c>
    </row>
    <row r="20" spans="1:11" x14ac:dyDescent="0.35">
      <c r="A20" s="43">
        <v>18</v>
      </c>
      <c r="B20" s="43">
        <v>11829</v>
      </c>
      <c r="C20" s="43" t="s">
        <v>1444</v>
      </c>
      <c r="D20" s="62">
        <v>101890379926</v>
      </c>
      <c r="E20" s="43">
        <v>5219163095</v>
      </c>
      <c r="F20" s="56">
        <v>46041</v>
      </c>
      <c r="G20" s="43" t="s">
        <v>1445</v>
      </c>
      <c r="H20" s="43" t="s">
        <v>543</v>
      </c>
      <c r="I20" s="38"/>
      <c r="J20" s="38"/>
      <c r="K20" s="43" t="s">
        <v>1342</v>
      </c>
    </row>
    <row r="21" spans="1:11" x14ac:dyDescent="0.35">
      <c r="A21" s="43">
        <v>19</v>
      </c>
      <c r="B21" s="43">
        <v>11826</v>
      </c>
      <c r="C21" s="43" t="s">
        <v>1446</v>
      </c>
      <c r="D21" s="62">
        <v>102187178044</v>
      </c>
      <c r="E21" s="43">
        <v>5222285383</v>
      </c>
      <c r="F21" s="56">
        <v>46034</v>
      </c>
      <c r="G21" s="43" t="s">
        <v>117</v>
      </c>
      <c r="H21" s="43" t="s">
        <v>543</v>
      </c>
      <c r="I21" s="38"/>
      <c r="J21" s="38"/>
      <c r="K21" s="43" t="s">
        <v>1342</v>
      </c>
    </row>
    <row r="22" spans="1:11" x14ac:dyDescent="0.35">
      <c r="A22" s="43">
        <v>20</v>
      </c>
      <c r="B22" s="43">
        <v>10669</v>
      </c>
      <c r="C22" s="43" t="s">
        <v>1447</v>
      </c>
      <c r="D22" s="62">
        <v>100984842560</v>
      </c>
      <c r="E22" s="43" t="s">
        <v>233</v>
      </c>
      <c r="F22" s="56">
        <v>46030</v>
      </c>
      <c r="G22" s="43" t="s">
        <v>1288</v>
      </c>
      <c r="H22" s="43" t="s">
        <v>1448</v>
      </c>
      <c r="I22" s="38"/>
      <c r="J22" s="38"/>
      <c r="K22" s="43" t="s">
        <v>1342</v>
      </c>
    </row>
    <row r="23" spans="1:11" x14ac:dyDescent="0.35">
      <c r="A23" s="43">
        <v>21</v>
      </c>
      <c r="B23" s="43">
        <v>11839</v>
      </c>
      <c r="C23" s="43" t="s">
        <v>1449</v>
      </c>
      <c r="D23" s="62">
        <v>102297589617</v>
      </c>
      <c r="E23" s="43">
        <v>5222785017</v>
      </c>
      <c r="F23" s="56">
        <v>46044</v>
      </c>
      <c r="G23" s="146" t="s">
        <v>633</v>
      </c>
      <c r="H23" s="43" t="s">
        <v>559</v>
      </c>
      <c r="I23" s="38"/>
      <c r="J23" s="38"/>
      <c r="K23" s="43" t="s">
        <v>1342</v>
      </c>
    </row>
    <row r="24" spans="1:11" x14ac:dyDescent="0.35">
      <c r="A24" s="43">
        <v>22</v>
      </c>
      <c r="B24" s="43">
        <v>11840</v>
      </c>
      <c r="C24" s="43" t="s">
        <v>1450</v>
      </c>
      <c r="D24" s="62">
        <v>102297596269</v>
      </c>
      <c r="E24" s="43">
        <v>5222785657</v>
      </c>
      <c r="F24" s="56">
        <v>46037</v>
      </c>
      <c r="G24" s="43" t="s">
        <v>1072</v>
      </c>
      <c r="H24" s="43" t="s">
        <v>543</v>
      </c>
      <c r="I24" s="38"/>
      <c r="J24" s="38"/>
      <c r="K24" s="43" t="s">
        <v>1342</v>
      </c>
    </row>
    <row r="25" spans="1:11" x14ac:dyDescent="0.35">
      <c r="A25" s="43">
        <v>23</v>
      </c>
      <c r="B25" s="43">
        <v>11837</v>
      </c>
      <c r="C25" s="43" t="s">
        <v>1451</v>
      </c>
      <c r="D25" s="62">
        <v>101320487505</v>
      </c>
      <c r="E25" s="43">
        <v>5347998231</v>
      </c>
      <c r="F25" s="56">
        <v>46052</v>
      </c>
      <c r="G25" s="43" t="s">
        <v>706</v>
      </c>
      <c r="H25" s="43" t="s">
        <v>543</v>
      </c>
      <c r="I25" s="43"/>
      <c r="J25" s="43" t="s">
        <v>1342</v>
      </c>
      <c r="K25" s="43" t="s">
        <v>1342</v>
      </c>
    </row>
    <row r="26" spans="1:11" x14ac:dyDescent="0.35">
      <c r="A26" s="43">
        <v>24</v>
      </c>
      <c r="B26" s="43">
        <v>11841</v>
      </c>
      <c r="C26" s="43" t="s">
        <v>1452</v>
      </c>
      <c r="D26" s="62">
        <v>101786997460</v>
      </c>
      <c r="E26" s="43">
        <v>5222398846</v>
      </c>
      <c r="F26" s="56">
        <v>46049</v>
      </c>
      <c r="G26" s="43" t="s">
        <v>169</v>
      </c>
      <c r="H26" s="43" t="s">
        <v>543</v>
      </c>
      <c r="I26" s="43"/>
      <c r="J26" s="43"/>
      <c r="K26" s="43" t="s">
        <v>1342</v>
      </c>
    </row>
    <row r="27" spans="1:11" x14ac:dyDescent="0.35">
      <c r="A27" s="43">
        <v>25</v>
      </c>
      <c r="B27" s="43">
        <v>11845</v>
      </c>
      <c r="C27" s="124" t="s">
        <v>1453</v>
      </c>
      <c r="D27" s="62">
        <v>100569696837</v>
      </c>
      <c r="E27" s="43">
        <v>5043340498</v>
      </c>
      <c r="F27" s="56">
        <v>46023</v>
      </c>
      <c r="G27" s="146" t="s">
        <v>633</v>
      </c>
      <c r="H27" s="43" t="s">
        <v>543</v>
      </c>
      <c r="I27" s="38"/>
      <c r="J27" s="38"/>
      <c r="K27" s="43" t="s">
        <v>1342</v>
      </c>
    </row>
    <row r="28" spans="1:11" x14ac:dyDescent="0.35">
      <c r="A28" s="43">
        <v>26</v>
      </c>
      <c r="B28" s="43">
        <v>11844</v>
      </c>
      <c r="C28" s="43" t="s">
        <v>1454</v>
      </c>
      <c r="D28" s="62">
        <v>101870060631</v>
      </c>
      <c r="E28" s="43">
        <v>5043839273</v>
      </c>
      <c r="F28" s="56">
        <v>46023</v>
      </c>
      <c r="G28" s="146" t="s">
        <v>633</v>
      </c>
      <c r="H28" s="43" t="s">
        <v>543</v>
      </c>
      <c r="I28" s="38"/>
      <c r="J28" s="38"/>
      <c r="K28" s="43" t="s">
        <v>1342</v>
      </c>
    </row>
    <row r="29" spans="1:11" x14ac:dyDescent="0.35">
      <c r="A29" s="43">
        <v>27</v>
      </c>
      <c r="B29" s="43">
        <v>11700</v>
      </c>
      <c r="C29" s="43" t="s">
        <v>1344</v>
      </c>
      <c r="D29" s="62">
        <v>101559268812</v>
      </c>
      <c r="E29" s="43">
        <v>5216181992</v>
      </c>
      <c r="F29" s="56">
        <v>46044</v>
      </c>
      <c r="G29" s="43" t="s">
        <v>1436</v>
      </c>
      <c r="H29" s="43" t="s">
        <v>543</v>
      </c>
      <c r="I29" s="38"/>
      <c r="J29" s="38"/>
      <c r="K29" s="43" t="s">
        <v>1342</v>
      </c>
    </row>
    <row r="30" spans="1:11" x14ac:dyDescent="0.35">
      <c r="A30" s="43">
        <v>28</v>
      </c>
      <c r="B30" s="43">
        <v>11838</v>
      </c>
      <c r="C30" s="43" t="s">
        <v>1455</v>
      </c>
      <c r="D30" s="62">
        <v>101579621897</v>
      </c>
      <c r="E30" s="43">
        <v>5222811240</v>
      </c>
      <c r="F30" s="56">
        <v>46024</v>
      </c>
      <c r="G30" s="43" t="s">
        <v>1068</v>
      </c>
      <c r="H30" s="43" t="s">
        <v>543</v>
      </c>
      <c r="I30" s="38"/>
      <c r="J30" s="38"/>
      <c r="K30" s="43" t="s">
        <v>1342</v>
      </c>
    </row>
    <row r="31" spans="1:11" x14ac:dyDescent="0.35">
      <c r="A31" s="43">
        <v>29</v>
      </c>
      <c r="B31" s="43">
        <v>11836</v>
      </c>
      <c r="C31" s="43" t="s">
        <v>1456</v>
      </c>
      <c r="D31" s="62">
        <v>100760509431</v>
      </c>
      <c r="E31" s="43">
        <v>3909522485</v>
      </c>
      <c r="F31" s="56">
        <v>46034</v>
      </c>
      <c r="G31" s="43" t="s">
        <v>412</v>
      </c>
      <c r="H31" s="43" t="s">
        <v>559</v>
      </c>
      <c r="I31" s="38"/>
      <c r="J31" s="38"/>
      <c r="K31" s="43" t="s">
        <v>1342</v>
      </c>
    </row>
    <row r="32" spans="1:11" x14ac:dyDescent="0.35">
      <c r="A32" s="43">
        <v>30</v>
      </c>
      <c r="B32" s="43">
        <v>11842</v>
      </c>
      <c r="C32" s="43" t="s">
        <v>1457</v>
      </c>
      <c r="D32" s="62">
        <v>102290312589</v>
      </c>
      <c r="E32" s="43">
        <v>5222743128</v>
      </c>
      <c r="F32" s="56">
        <v>46032</v>
      </c>
      <c r="G32" s="43" t="s">
        <v>959</v>
      </c>
      <c r="H32" s="43" t="s">
        <v>559</v>
      </c>
      <c r="I32" s="38"/>
      <c r="J32" s="38"/>
      <c r="K32" s="43" t="s">
        <v>1342</v>
      </c>
    </row>
    <row r="33" spans="1:11" x14ac:dyDescent="0.35">
      <c r="A33" s="43">
        <v>31</v>
      </c>
      <c r="B33" s="43">
        <v>11852</v>
      </c>
      <c r="C33" s="43" t="s">
        <v>1419</v>
      </c>
      <c r="D33" s="62">
        <v>101771004524</v>
      </c>
      <c r="E33" s="43" t="s">
        <v>1459</v>
      </c>
      <c r="F33" s="56">
        <v>46024</v>
      </c>
      <c r="G33" s="43" t="s">
        <v>706</v>
      </c>
      <c r="H33" s="43" t="s">
        <v>559</v>
      </c>
      <c r="I33" s="43"/>
      <c r="J33" s="43"/>
      <c r="K33" s="43" t="s">
        <v>1342</v>
      </c>
    </row>
    <row r="34" spans="1:11" x14ac:dyDescent="0.35">
      <c r="A34" s="43">
        <v>32</v>
      </c>
      <c r="B34" s="43">
        <v>11843</v>
      </c>
      <c r="C34" s="43" t="s">
        <v>1458</v>
      </c>
      <c r="D34" s="62">
        <v>101038030588</v>
      </c>
      <c r="E34" s="43">
        <v>5215427312</v>
      </c>
      <c r="F34" s="56">
        <v>46023</v>
      </c>
      <c r="G34" s="43" t="s">
        <v>1072</v>
      </c>
      <c r="H34" s="43" t="s">
        <v>559</v>
      </c>
      <c r="I34" s="38"/>
      <c r="J34" s="38"/>
      <c r="K34" s="43" t="s">
        <v>1342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C683-7947-4E3A-9D47-050561D12B32}">
  <dimension ref="A1:J26"/>
  <sheetViews>
    <sheetView topLeftCell="A19" workbookViewId="0">
      <selection activeCell="H32" sqref="H32"/>
    </sheetView>
  </sheetViews>
  <sheetFormatPr defaultRowHeight="14.5" x14ac:dyDescent="0.35"/>
  <cols>
    <col min="2" max="2" width="14.6328125" bestFit="1" customWidth="1"/>
    <col min="3" max="3" width="38.7265625" bestFit="1" customWidth="1"/>
    <col min="4" max="4" width="12.90625" bestFit="1" customWidth="1"/>
    <col min="5" max="5" width="14.36328125" bestFit="1" customWidth="1"/>
    <col min="6" max="6" width="14.08984375" bestFit="1" customWidth="1"/>
    <col min="7" max="7" width="13.08984375" bestFit="1" customWidth="1"/>
    <col min="8" max="8" width="13.36328125" bestFit="1" customWidth="1"/>
    <col min="10" max="10" width="10.90625" bestFit="1" customWidth="1"/>
  </cols>
  <sheetData>
    <row r="1" spans="1:10" x14ac:dyDescent="0.35">
      <c r="A1" s="244"/>
      <c r="B1" s="244"/>
      <c r="C1" s="371" t="s">
        <v>1485</v>
      </c>
      <c r="D1" s="281"/>
      <c r="E1" s="244"/>
      <c r="F1" s="244"/>
      <c r="G1" s="244"/>
      <c r="H1" s="244"/>
      <c r="I1" s="244"/>
      <c r="J1" s="244"/>
    </row>
    <row r="2" spans="1:10" ht="15.5" x14ac:dyDescent="0.35">
      <c r="A2" s="198" t="s">
        <v>0</v>
      </c>
      <c r="B2" s="198" t="s">
        <v>1</v>
      </c>
      <c r="C2" s="198" t="s">
        <v>2</v>
      </c>
      <c r="D2" s="369" t="s">
        <v>3</v>
      </c>
      <c r="E2" s="198" t="s">
        <v>1035</v>
      </c>
      <c r="F2" s="198" t="s">
        <v>5</v>
      </c>
      <c r="G2" s="198" t="s">
        <v>6</v>
      </c>
      <c r="H2" s="198" t="s">
        <v>7</v>
      </c>
      <c r="I2" s="248" t="s">
        <v>661</v>
      </c>
      <c r="J2" s="248" t="s">
        <v>1290</v>
      </c>
    </row>
    <row r="3" spans="1:10" x14ac:dyDescent="0.35">
      <c r="A3" s="43">
        <v>1</v>
      </c>
      <c r="B3" s="43">
        <v>11861</v>
      </c>
      <c r="C3" s="43" t="s">
        <v>1461</v>
      </c>
      <c r="D3" s="62">
        <v>101840642190</v>
      </c>
      <c r="E3" s="43" t="s">
        <v>1462</v>
      </c>
      <c r="F3" s="56">
        <v>46065</v>
      </c>
      <c r="G3" s="43" t="s">
        <v>1340</v>
      </c>
      <c r="H3" s="43" t="s">
        <v>1341</v>
      </c>
      <c r="I3" s="43"/>
      <c r="J3" s="43" t="s">
        <v>1342</v>
      </c>
    </row>
    <row r="4" spans="1:10" x14ac:dyDescent="0.35">
      <c r="A4" s="43">
        <v>2</v>
      </c>
      <c r="B4" s="43">
        <v>11863</v>
      </c>
      <c r="C4" s="43" t="s">
        <v>1463</v>
      </c>
      <c r="D4" s="62">
        <v>101277325571</v>
      </c>
      <c r="E4" s="43" t="s">
        <v>1462</v>
      </c>
      <c r="F4" s="56">
        <v>46065</v>
      </c>
      <c r="G4" s="43" t="s">
        <v>1340</v>
      </c>
      <c r="H4" s="43" t="s">
        <v>1341</v>
      </c>
      <c r="I4" s="43"/>
      <c r="J4" s="43" t="s">
        <v>1342</v>
      </c>
    </row>
    <row r="5" spans="1:10" x14ac:dyDescent="0.35">
      <c r="A5" s="43">
        <v>3</v>
      </c>
      <c r="B5" s="43">
        <v>11855</v>
      </c>
      <c r="C5" s="43" t="s">
        <v>1464</v>
      </c>
      <c r="D5" s="62">
        <v>102167562706</v>
      </c>
      <c r="E5" s="43">
        <v>5221665690</v>
      </c>
      <c r="F5" s="56">
        <v>46060</v>
      </c>
      <c r="G5" s="43" t="s">
        <v>706</v>
      </c>
      <c r="H5" s="43" t="s">
        <v>543</v>
      </c>
      <c r="I5" s="43"/>
      <c r="J5" s="43" t="s">
        <v>1342</v>
      </c>
    </row>
    <row r="6" spans="1:10" x14ac:dyDescent="0.35">
      <c r="A6" s="43">
        <v>4</v>
      </c>
      <c r="B6" s="43">
        <v>11859</v>
      </c>
      <c r="C6" s="43" t="s">
        <v>1465</v>
      </c>
      <c r="D6" s="62">
        <v>101809279268</v>
      </c>
      <c r="E6" s="43">
        <v>5222751570</v>
      </c>
      <c r="F6" s="56">
        <v>46062</v>
      </c>
      <c r="G6" s="43" t="s">
        <v>706</v>
      </c>
      <c r="H6" s="43" t="s">
        <v>559</v>
      </c>
      <c r="I6" s="43"/>
      <c r="J6" s="43" t="s">
        <v>1342</v>
      </c>
    </row>
    <row r="7" spans="1:10" x14ac:dyDescent="0.35">
      <c r="A7" s="43">
        <v>5</v>
      </c>
      <c r="B7" s="43">
        <v>11860</v>
      </c>
      <c r="C7" s="43" t="s">
        <v>1466</v>
      </c>
      <c r="D7" s="62">
        <v>101714969119</v>
      </c>
      <c r="E7" s="43">
        <v>5220505267</v>
      </c>
      <c r="F7" s="56">
        <v>46063</v>
      </c>
      <c r="G7" s="146" t="s">
        <v>633</v>
      </c>
      <c r="H7" s="43" t="s">
        <v>543</v>
      </c>
      <c r="I7" s="43"/>
      <c r="J7" s="43" t="s">
        <v>1342</v>
      </c>
    </row>
    <row r="8" spans="1:10" x14ac:dyDescent="0.35">
      <c r="A8" s="43">
        <v>6</v>
      </c>
      <c r="B8" s="43">
        <v>11866</v>
      </c>
      <c r="C8" s="43" t="s">
        <v>1467</v>
      </c>
      <c r="D8" s="62">
        <v>102301186198</v>
      </c>
      <c r="E8" s="43">
        <v>5222821159</v>
      </c>
      <c r="F8" s="56">
        <v>46062</v>
      </c>
      <c r="G8" s="43" t="s">
        <v>1068</v>
      </c>
      <c r="H8" s="43" t="s">
        <v>543</v>
      </c>
      <c r="I8" s="43"/>
      <c r="J8" s="43" t="s">
        <v>1342</v>
      </c>
    </row>
    <row r="9" spans="1:10" x14ac:dyDescent="0.35">
      <c r="A9" s="43">
        <v>7</v>
      </c>
      <c r="B9" s="43">
        <v>11873</v>
      </c>
      <c r="C9" s="43" t="s">
        <v>1468</v>
      </c>
      <c r="D9" s="62">
        <v>102303103258</v>
      </c>
      <c r="E9" s="43">
        <v>5222831015</v>
      </c>
      <c r="F9" s="56">
        <v>46054</v>
      </c>
      <c r="G9" s="146" t="s">
        <v>633</v>
      </c>
      <c r="H9" s="43" t="s">
        <v>543</v>
      </c>
      <c r="I9" s="43"/>
      <c r="J9" s="43" t="s">
        <v>1342</v>
      </c>
    </row>
    <row r="10" spans="1:10" x14ac:dyDescent="0.35">
      <c r="A10" s="43">
        <v>8</v>
      </c>
      <c r="B10" s="43">
        <v>11884</v>
      </c>
      <c r="C10" s="43" t="s">
        <v>1469</v>
      </c>
      <c r="D10" s="62">
        <v>101094117918</v>
      </c>
      <c r="E10" s="43">
        <v>5220609159</v>
      </c>
      <c r="F10" s="56">
        <v>46058</v>
      </c>
      <c r="G10" s="43" t="s">
        <v>1072</v>
      </c>
      <c r="H10" s="43" t="s">
        <v>543</v>
      </c>
      <c r="I10" s="43"/>
      <c r="J10" s="43" t="s">
        <v>1342</v>
      </c>
    </row>
    <row r="11" spans="1:10" x14ac:dyDescent="0.35">
      <c r="A11" s="43">
        <v>9</v>
      </c>
      <c r="B11" s="43">
        <v>11879</v>
      </c>
      <c r="C11" s="43" t="s">
        <v>1470</v>
      </c>
      <c r="D11" s="62">
        <v>101398948699</v>
      </c>
      <c r="E11" s="43">
        <v>5215242102</v>
      </c>
      <c r="F11" s="56">
        <v>46069</v>
      </c>
      <c r="G11" s="43" t="s">
        <v>412</v>
      </c>
      <c r="H11" s="43" t="s">
        <v>1471</v>
      </c>
      <c r="I11" s="43"/>
      <c r="J11" s="43" t="s">
        <v>1342</v>
      </c>
    </row>
    <row r="12" spans="1:10" x14ac:dyDescent="0.35">
      <c r="A12" s="43">
        <v>10</v>
      </c>
      <c r="B12" s="43">
        <v>11876</v>
      </c>
      <c r="C12" s="43" t="s">
        <v>1472</v>
      </c>
      <c r="D12" s="62">
        <v>101432013499</v>
      </c>
      <c r="E12" s="43">
        <v>5219487218</v>
      </c>
      <c r="F12" s="56">
        <v>46055</v>
      </c>
      <c r="G12" s="43" t="s">
        <v>1072</v>
      </c>
      <c r="H12" s="43" t="s">
        <v>543</v>
      </c>
      <c r="I12" s="38"/>
      <c r="J12" s="43" t="s">
        <v>1342</v>
      </c>
    </row>
    <row r="13" spans="1:10" x14ac:dyDescent="0.35">
      <c r="A13" s="43">
        <v>11</v>
      </c>
      <c r="B13" s="43">
        <v>11880</v>
      </c>
      <c r="C13" s="43" t="s">
        <v>1473</v>
      </c>
      <c r="D13" s="62">
        <v>101402497805</v>
      </c>
      <c r="E13" s="43">
        <v>5215140600</v>
      </c>
      <c r="F13" s="56">
        <v>46057</v>
      </c>
      <c r="G13" s="43" t="s">
        <v>1415</v>
      </c>
      <c r="H13" s="43" t="s">
        <v>559</v>
      </c>
      <c r="I13" s="38"/>
      <c r="J13" s="43" t="s">
        <v>1342</v>
      </c>
    </row>
    <row r="14" spans="1:10" x14ac:dyDescent="0.35">
      <c r="A14" s="43">
        <v>12</v>
      </c>
      <c r="B14" s="43">
        <v>11875</v>
      </c>
      <c r="C14" s="43" t="s">
        <v>1474</v>
      </c>
      <c r="D14" s="62">
        <v>102120298857</v>
      </c>
      <c r="E14" s="43">
        <v>5221313878</v>
      </c>
      <c r="F14" s="56">
        <v>46055</v>
      </c>
      <c r="G14" s="43" t="s">
        <v>1072</v>
      </c>
      <c r="H14" s="43" t="s">
        <v>559</v>
      </c>
      <c r="I14" s="38"/>
      <c r="J14" s="43" t="s">
        <v>1342</v>
      </c>
    </row>
    <row r="15" spans="1:10" x14ac:dyDescent="0.35">
      <c r="A15" s="43">
        <v>13</v>
      </c>
      <c r="B15" s="43">
        <v>11877</v>
      </c>
      <c r="C15" s="43" t="s">
        <v>1475</v>
      </c>
      <c r="D15" s="62">
        <v>101905359708</v>
      </c>
      <c r="E15" s="43">
        <v>5221787592</v>
      </c>
      <c r="F15" s="56">
        <v>46055</v>
      </c>
      <c r="G15" s="43" t="s">
        <v>1072</v>
      </c>
      <c r="H15" s="43" t="s">
        <v>559</v>
      </c>
      <c r="I15" s="38"/>
      <c r="J15" s="43" t="s">
        <v>1342</v>
      </c>
    </row>
    <row r="16" spans="1:10" x14ac:dyDescent="0.35">
      <c r="A16" s="43">
        <v>14</v>
      </c>
      <c r="B16" s="43">
        <v>11881</v>
      </c>
      <c r="C16" s="43" t="s">
        <v>1476</v>
      </c>
      <c r="D16" s="62">
        <v>101962474320</v>
      </c>
      <c r="E16" s="43">
        <v>5222846988</v>
      </c>
      <c r="F16" s="56">
        <v>46055</v>
      </c>
      <c r="G16" s="43" t="s">
        <v>1072</v>
      </c>
      <c r="H16" s="43" t="s">
        <v>543</v>
      </c>
      <c r="I16" s="43"/>
      <c r="J16" s="43" t="s">
        <v>1342</v>
      </c>
    </row>
    <row r="17" spans="1:10" x14ac:dyDescent="0.35">
      <c r="A17" s="43">
        <v>15</v>
      </c>
      <c r="B17" s="43">
        <v>11883</v>
      </c>
      <c r="C17" s="43" t="s">
        <v>1477</v>
      </c>
      <c r="D17" s="62">
        <v>101445842446</v>
      </c>
      <c r="E17" s="43">
        <v>5220414446</v>
      </c>
      <c r="F17" s="56">
        <v>46070</v>
      </c>
      <c r="G17" s="43" t="s">
        <v>1072</v>
      </c>
      <c r="H17" s="43" t="s">
        <v>543</v>
      </c>
      <c r="I17" s="43"/>
      <c r="J17" s="43" t="s">
        <v>1342</v>
      </c>
    </row>
    <row r="18" spans="1:10" x14ac:dyDescent="0.35">
      <c r="A18" s="43">
        <v>16</v>
      </c>
      <c r="B18" s="43">
        <v>11139</v>
      </c>
      <c r="C18" s="43" t="s">
        <v>1478</v>
      </c>
      <c r="D18" s="62">
        <v>102123198923</v>
      </c>
      <c r="E18" s="43">
        <v>5221347201</v>
      </c>
      <c r="F18" s="56">
        <v>46064</v>
      </c>
      <c r="G18" s="43" t="s">
        <v>1479</v>
      </c>
      <c r="H18" s="43" t="s">
        <v>559</v>
      </c>
      <c r="I18" s="38"/>
      <c r="J18" s="43" t="s">
        <v>1342</v>
      </c>
    </row>
    <row r="19" spans="1:10" x14ac:dyDescent="0.35">
      <c r="A19" s="43">
        <v>17</v>
      </c>
      <c r="B19" s="43">
        <v>11890</v>
      </c>
      <c r="C19" s="43" t="s">
        <v>1480</v>
      </c>
      <c r="D19" s="62">
        <v>101441183220</v>
      </c>
      <c r="E19" s="43">
        <v>5215438766</v>
      </c>
      <c r="F19" s="56">
        <v>46076</v>
      </c>
      <c r="G19" s="43" t="s">
        <v>1072</v>
      </c>
      <c r="H19" s="43" t="s">
        <v>559</v>
      </c>
      <c r="I19" s="38"/>
      <c r="J19" s="43" t="s">
        <v>1342</v>
      </c>
    </row>
    <row r="20" spans="1:10" x14ac:dyDescent="0.35">
      <c r="A20" s="43">
        <v>18</v>
      </c>
      <c r="B20" s="43">
        <v>11896</v>
      </c>
      <c r="C20" s="43" t="s">
        <v>1481</v>
      </c>
      <c r="D20" s="62">
        <v>100954345731</v>
      </c>
      <c r="E20" s="43">
        <v>5212647167</v>
      </c>
      <c r="F20" s="56">
        <v>46064</v>
      </c>
      <c r="G20" s="146" t="s">
        <v>633</v>
      </c>
      <c r="H20" s="43" t="s">
        <v>543</v>
      </c>
      <c r="I20" s="38"/>
      <c r="J20" s="43" t="s">
        <v>1342</v>
      </c>
    </row>
    <row r="21" spans="1:10" x14ac:dyDescent="0.35">
      <c r="A21" s="43">
        <v>19</v>
      </c>
      <c r="B21" s="43">
        <v>11893</v>
      </c>
      <c r="C21" s="43" t="s">
        <v>1482</v>
      </c>
      <c r="D21" s="62">
        <v>102307154760</v>
      </c>
      <c r="E21" s="43">
        <v>5222861723</v>
      </c>
      <c r="F21" s="56">
        <v>46055</v>
      </c>
      <c r="G21" s="43" t="s">
        <v>1072</v>
      </c>
      <c r="H21" s="43" t="s">
        <v>559</v>
      </c>
      <c r="I21" s="38"/>
      <c r="J21" s="43" t="s">
        <v>1342</v>
      </c>
    </row>
    <row r="22" spans="1:10" x14ac:dyDescent="0.35">
      <c r="A22" s="43">
        <v>20</v>
      </c>
      <c r="B22" s="43">
        <v>11894</v>
      </c>
      <c r="C22" s="43" t="s">
        <v>1483</v>
      </c>
      <c r="D22" s="62">
        <v>102162329349</v>
      </c>
      <c r="E22" s="43">
        <v>5222860728</v>
      </c>
      <c r="F22" s="56">
        <v>46069</v>
      </c>
      <c r="G22" s="43" t="s">
        <v>1072</v>
      </c>
      <c r="H22" s="43" t="s">
        <v>559</v>
      </c>
      <c r="I22" s="38"/>
      <c r="J22" s="43" t="s">
        <v>1342</v>
      </c>
    </row>
    <row r="23" spans="1:10" x14ac:dyDescent="0.35">
      <c r="A23" s="43">
        <v>21</v>
      </c>
      <c r="B23" s="43">
        <v>11897</v>
      </c>
      <c r="C23" s="43" t="s">
        <v>1484</v>
      </c>
      <c r="D23" s="62">
        <v>102307416043</v>
      </c>
      <c r="E23" s="43">
        <v>5222864104</v>
      </c>
      <c r="F23" s="56">
        <v>46055</v>
      </c>
      <c r="G23" s="43" t="s">
        <v>1072</v>
      </c>
      <c r="H23" s="43" t="s">
        <v>559</v>
      </c>
      <c r="I23" s="38"/>
      <c r="J23" s="43" t="s">
        <v>1342</v>
      </c>
    </row>
    <row r="24" spans="1:10" x14ac:dyDescent="0.35">
      <c r="A24" s="43">
        <v>22</v>
      </c>
      <c r="B24" s="43">
        <v>11902</v>
      </c>
      <c r="C24" s="43" t="s">
        <v>1487</v>
      </c>
      <c r="D24" s="62">
        <v>100639190666</v>
      </c>
      <c r="E24" s="43">
        <v>5209789854</v>
      </c>
      <c r="F24" s="56">
        <v>46080</v>
      </c>
      <c r="G24" s="43" t="s">
        <v>1072</v>
      </c>
      <c r="H24" s="43" t="s">
        <v>543</v>
      </c>
      <c r="I24" s="38"/>
      <c r="J24" s="43" t="s">
        <v>1342</v>
      </c>
    </row>
    <row r="25" spans="1:10" x14ac:dyDescent="0.35">
      <c r="A25" s="43">
        <v>23</v>
      </c>
      <c r="B25" s="43">
        <v>11914</v>
      </c>
      <c r="C25" s="43" t="s">
        <v>1494</v>
      </c>
      <c r="D25" s="62">
        <v>101848899756</v>
      </c>
      <c r="E25" s="38"/>
      <c r="F25" s="56">
        <v>46071</v>
      </c>
      <c r="G25" s="43" t="s">
        <v>706</v>
      </c>
      <c r="H25" s="43" t="s">
        <v>559</v>
      </c>
      <c r="I25" s="38"/>
      <c r="J25" s="43" t="s">
        <v>1342</v>
      </c>
    </row>
    <row r="26" spans="1:10" x14ac:dyDescent="0.35">
      <c r="A26" s="43">
        <v>24</v>
      </c>
      <c r="B26" s="43">
        <v>11913</v>
      </c>
      <c r="C26" s="43" t="s">
        <v>1499</v>
      </c>
      <c r="D26" s="62">
        <v>101567262531</v>
      </c>
      <c r="E26" s="38"/>
      <c r="F26" s="56">
        <v>46071</v>
      </c>
      <c r="G26" s="43" t="s">
        <v>706</v>
      </c>
      <c r="H26" s="43" t="s">
        <v>559</v>
      </c>
      <c r="I26" s="38"/>
      <c r="J26" s="43" t="s">
        <v>1342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8C38-43F1-4EC4-A998-30D1CB9C240A}">
  <dimension ref="A1:J37"/>
  <sheetViews>
    <sheetView workbookViewId="0">
      <selection sqref="A1:J2"/>
    </sheetView>
  </sheetViews>
  <sheetFormatPr defaultRowHeight="14.5" x14ac:dyDescent="0.35"/>
  <cols>
    <col min="2" max="2" width="14.6328125" bestFit="1" customWidth="1"/>
    <col min="3" max="3" width="38.6328125" bestFit="1" customWidth="1"/>
    <col min="4" max="4" width="12.90625" bestFit="1" customWidth="1"/>
    <col min="5" max="5" width="14.36328125" bestFit="1" customWidth="1"/>
    <col min="6" max="6" width="14.08984375" bestFit="1" customWidth="1"/>
    <col min="7" max="7" width="13.08984375" bestFit="1" customWidth="1"/>
    <col min="8" max="8" width="13.36328125" bestFit="1" customWidth="1"/>
    <col min="10" max="10" width="10.90625" bestFit="1" customWidth="1"/>
  </cols>
  <sheetData>
    <row r="1" spans="1:10" x14ac:dyDescent="0.35">
      <c r="A1" s="244"/>
      <c r="B1" s="244"/>
      <c r="C1" s="371" t="s">
        <v>1486</v>
      </c>
      <c r="D1" s="281"/>
      <c r="E1" s="244"/>
      <c r="F1" s="244"/>
      <c r="G1" s="244"/>
      <c r="H1" s="244"/>
      <c r="I1" s="244"/>
      <c r="J1" s="244"/>
    </row>
    <row r="2" spans="1:10" ht="15.5" x14ac:dyDescent="0.35">
      <c r="A2" s="198" t="s">
        <v>0</v>
      </c>
      <c r="B2" s="198" t="s">
        <v>1</v>
      </c>
      <c r="C2" s="198" t="s">
        <v>2</v>
      </c>
      <c r="D2" s="369" t="s">
        <v>3</v>
      </c>
      <c r="E2" s="198" t="s">
        <v>1035</v>
      </c>
      <c r="F2" s="198" t="s">
        <v>5</v>
      </c>
      <c r="G2" s="198" t="s">
        <v>6</v>
      </c>
      <c r="H2" s="198" t="s">
        <v>7</v>
      </c>
      <c r="I2" s="248" t="s">
        <v>661</v>
      </c>
      <c r="J2" s="248" t="s">
        <v>1290</v>
      </c>
    </row>
    <row r="3" spans="1:10" x14ac:dyDescent="0.35">
      <c r="A3" s="43">
        <v>1</v>
      </c>
      <c r="B3" s="43">
        <v>11901</v>
      </c>
      <c r="C3" s="43" t="s">
        <v>1501</v>
      </c>
      <c r="D3" s="62">
        <v>101542345439</v>
      </c>
      <c r="E3" s="43">
        <v>5216165889</v>
      </c>
      <c r="F3" s="56">
        <v>46087</v>
      </c>
      <c r="G3" s="43" t="s">
        <v>1524</v>
      </c>
      <c r="H3" s="43" t="s">
        <v>543</v>
      </c>
      <c r="I3" s="43"/>
      <c r="J3" s="43" t="s">
        <v>1342</v>
      </c>
    </row>
    <row r="4" spans="1:10" x14ac:dyDescent="0.35">
      <c r="A4" s="43">
        <v>2</v>
      </c>
      <c r="B4" s="43">
        <v>11903</v>
      </c>
      <c r="C4" s="43" t="s">
        <v>1502</v>
      </c>
      <c r="D4" s="62">
        <v>101870441891</v>
      </c>
      <c r="E4" s="43">
        <v>5221299983</v>
      </c>
      <c r="F4" s="56">
        <v>46085</v>
      </c>
      <c r="G4" s="43" t="s">
        <v>1524</v>
      </c>
      <c r="H4" s="43" t="s">
        <v>559</v>
      </c>
      <c r="I4" s="43"/>
      <c r="J4" s="43" t="s">
        <v>1342</v>
      </c>
    </row>
    <row r="5" spans="1:10" x14ac:dyDescent="0.35">
      <c r="A5" s="43">
        <v>3</v>
      </c>
      <c r="B5" s="43">
        <v>11905</v>
      </c>
      <c r="C5" s="43" t="s">
        <v>1488</v>
      </c>
      <c r="D5" s="62">
        <v>101824734985</v>
      </c>
      <c r="E5" s="43">
        <v>5218444735</v>
      </c>
      <c r="F5" s="56">
        <v>46083</v>
      </c>
      <c r="G5" s="43" t="s">
        <v>1524</v>
      </c>
      <c r="H5" s="43" t="s">
        <v>543</v>
      </c>
      <c r="I5" s="43"/>
      <c r="J5" s="43" t="s">
        <v>1342</v>
      </c>
    </row>
    <row r="6" spans="1:10" x14ac:dyDescent="0.35">
      <c r="A6" s="43">
        <v>4</v>
      </c>
      <c r="B6" s="43">
        <v>11898</v>
      </c>
      <c r="C6" s="43" t="s">
        <v>1489</v>
      </c>
      <c r="D6" s="62">
        <v>101545856437</v>
      </c>
      <c r="E6" s="43">
        <v>5220801920</v>
      </c>
      <c r="F6" s="56">
        <v>46084</v>
      </c>
      <c r="G6" s="43" t="s">
        <v>1525</v>
      </c>
      <c r="H6" s="43" t="s">
        <v>559</v>
      </c>
      <c r="I6" s="43"/>
      <c r="J6" s="43" t="s">
        <v>1342</v>
      </c>
    </row>
    <row r="7" spans="1:10" x14ac:dyDescent="0.35">
      <c r="A7" s="43">
        <v>5</v>
      </c>
      <c r="B7" s="43">
        <v>11904</v>
      </c>
      <c r="C7" s="43" t="s">
        <v>1490</v>
      </c>
      <c r="D7" s="62">
        <v>102157380735</v>
      </c>
      <c r="E7" s="43">
        <v>5221615460</v>
      </c>
      <c r="F7" s="56">
        <v>46084</v>
      </c>
      <c r="G7" s="43" t="s">
        <v>1526</v>
      </c>
      <c r="H7" s="43" t="s">
        <v>543</v>
      </c>
      <c r="I7" s="43"/>
      <c r="J7" s="43" t="s">
        <v>1342</v>
      </c>
    </row>
    <row r="8" spans="1:10" x14ac:dyDescent="0.35">
      <c r="A8" s="43">
        <v>6</v>
      </c>
      <c r="B8" s="43">
        <v>11924</v>
      </c>
      <c r="C8" s="43" t="s">
        <v>1491</v>
      </c>
      <c r="D8" s="62">
        <v>101153100642</v>
      </c>
      <c r="E8" s="43" t="s">
        <v>268</v>
      </c>
      <c r="F8" s="56">
        <v>46097</v>
      </c>
      <c r="G8" s="43" t="s">
        <v>1524</v>
      </c>
      <c r="H8" s="43" t="s">
        <v>1432</v>
      </c>
      <c r="I8" s="38"/>
      <c r="J8" s="43" t="s">
        <v>1342</v>
      </c>
    </row>
    <row r="9" spans="1:10" x14ac:dyDescent="0.35">
      <c r="A9" s="43">
        <v>7</v>
      </c>
      <c r="B9" s="43">
        <v>11917</v>
      </c>
      <c r="C9" s="43" t="s">
        <v>1492</v>
      </c>
      <c r="D9" s="62">
        <v>102020710539</v>
      </c>
      <c r="E9" s="43">
        <v>5221512513</v>
      </c>
      <c r="F9" s="56">
        <v>46104</v>
      </c>
      <c r="G9" s="43" t="s">
        <v>1524</v>
      </c>
      <c r="H9" s="43" t="s">
        <v>1434</v>
      </c>
      <c r="I9" s="38"/>
      <c r="J9" s="43" t="s">
        <v>1342</v>
      </c>
    </row>
    <row r="10" spans="1:10" x14ac:dyDescent="0.35">
      <c r="A10" s="43">
        <v>8</v>
      </c>
      <c r="B10" s="43">
        <v>11916</v>
      </c>
      <c r="C10" s="43" t="s">
        <v>1493</v>
      </c>
      <c r="D10" s="62">
        <v>101772585485</v>
      </c>
      <c r="E10" s="43" t="s">
        <v>268</v>
      </c>
      <c r="F10" s="56">
        <v>46104</v>
      </c>
      <c r="G10" s="43" t="s">
        <v>1524</v>
      </c>
      <c r="H10" s="43" t="s">
        <v>1432</v>
      </c>
      <c r="I10" s="38"/>
      <c r="J10" s="43" t="s">
        <v>1342</v>
      </c>
    </row>
    <row r="11" spans="1:10" x14ac:dyDescent="0.35">
      <c r="A11" s="43">
        <v>9</v>
      </c>
      <c r="B11" s="43">
        <v>11911</v>
      </c>
      <c r="C11" s="43" t="s">
        <v>1495</v>
      </c>
      <c r="D11" s="62">
        <v>101489122196</v>
      </c>
      <c r="E11" s="43">
        <v>5220019541</v>
      </c>
      <c r="F11" s="56">
        <v>46095</v>
      </c>
      <c r="G11" s="43" t="s">
        <v>1524</v>
      </c>
      <c r="H11" s="43" t="s">
        <v>559</v>
      </c>
      <c r="I11" s="43"/>
      <c r="J11" s="43" t="s">
        <v>1342</v>
      </c>
    </row>
    <row r="12" spans="1:10" x14ac:dyDescent="0.35">
      <c r="A12" s="43">
        <v>10</v>
      </c>
      <c r="B12" s="43">
        <v>11912</v>
      </c>
      <c r="C12" s="43" t="s">
        <v>1496</v>
      </c>
      <c r="D12" s="62">
        <v>101795119718</v>
      </c>
      <c r="E12" s="43">
        <v>5218828645</v>
      </c>
      <c r="F12" s="56">
        <v>46099</v>
      </c>
      <c r="G12" s="43" t="s">
        <v>1524</v>
      </c>
      <c r="H12" s="43" t="s">
        <v>1434</v>
      </c>
      <c r="I12" s="38"/>
      <c r="J12" s="43" t="s">
        <v>1342</v>
      </c>
    </row>
    <row r="13" spans="1:10" x14ac:dyDescent="0.35">
      <c r="A13" s="43">
        <v>11</v>
      </c>
      <c r="B13" s="43">
        <v>11915</v>
      </c>
      <c r="C13" s="43" t="s">
        <v>1497</v>
      </c>
      <c r="D13" s="62">
        <v>102174683741</v>
      </c>
      <c r="E13" s="43">
        <v>5221754415</v>
      </c>
      <c r="F13" s="56">
        <v>46097</v>
      </c>
      <c r="G13" s="43" t="s">
        <v>1527</v>
      </c>
      <c r="H13" s="43" t="s">
        <v>543</v>
      </c>
      <c r="I13" s="43"/>
      <c r="J13" s="43" t="s">
        <v>1342</v>
      </c>
    </row>
    <row r="14" spans="1:10" x14ac:dyDescent="0.35">
      <c r="A14" s="43">
        <v>12</v>
      </c>
      <c r="B14" s="43">
        <v>11918</v>
      </c>
      <c r="C14" s="43" t="s">
        <v>1498</v>
      </c>
      <c r="D14" s="62">
        <v>101280025809</v>
      </c>
      <c r="E14" s="43">
        <v>5220966027</v>
      </c>
      <c r="F14" s="56">
        <v>46106</v>
      </c>
      <c r="G14" s="43" t="s">
        <v>1528</v>
      </c>
      <c r="H14" s="43" t="s">
        <v>559</v>
      </c>
      <c r="I14" s="43"/>
      <c r="J14" s="43" t="s">
        <v>1342</v>
      </c>
    </row>
    <row r="15" spans="1:10" x14ac:dyDescent="0.35">
      <c r="A15" s="43">
        <v>13</v>
      </c>
      <c r="B15" s="43">
        <v>11921</v>
      </c>
      <c r="C15" s="43" t="s">
        <v>1500</v>
      </c>
      <c r="D15" s="62">
        <v>101901619487</v>
      </c>
      <c r="E15" s="43">
        <v>5223018257</v>
      </c>
      <c r="F15" s="56">
        <v>46106</v>
      </c>
      <c r="G15" s="43" t="s">
        <v>1528</v>
      </c>
      <c r="H15" s="43" t="s">
        <v>559</v>
      </c>
      <c r="I15" s="43"/>
      <c r="J15" s="43" t="s">
        <v>1342</v>
      </c>
    </row>
    <row r="16" spans="1:10" x14ac:dyDescent="0.35">
      <c r="A16" s="43">
        <v>14</v>
      </c>
      <c r="B16" s="43">
        <v>11927</v>
      </c>
      <c r="C16" s="43" t="s">
        <v>1503</v>
      </c>
      <c r="D16" s="62">
        <v>101257041650</v>
      </c>
      <c r="E16" s="43">
        <v>5219883826</v>
      </c>
      <c r="F16" s="56">
        <v>46090</v>
      </c>
      <c r="G16" s="43" t="s">
        <v>1529</v>
      </c>
      <c r="H16" s="43" t="s">
        <v>1053</v>
      </c>
      <c r="I16" s="38"/>
      <c r="J16" s="43" t="s">
        <v>1342</v>
      </c>
    </row>
    <row r="17" spans="1:10" x14ac:dyDescent="0.35">
      <c r="A17" s="43">
        <v>15</v>
      </c>
      <c r="B17" s="43">
        <v>11940</v>
      </c>
      <c r="C17" s="43" t="s">
        <v>1504</v>
      </c>
      <c r="D17" s="62">
        <v>102221691997</v>
      </c>
      <c r="E17" s="43">
        <v>5222186437</v>
      </c>
      <c r="F17" s="56">
        <v>46093</v>
      </c>
      <c r="G17" s="43" t="s">
        <v>1528</v>
      </c>
      <c r="H17" s="43" t="s">
        <v>559</v>
      </c>
      <c r="I17" s="38"/>
      <c r="J17" s="43" t="s">
        <v>1342</v>
      </c>
    </row>
    <row r="18" spans="1:10" x14ac:dyDescent="0.35">
      <c r="A18" s="43">
        <v>16</v>
      </c>
      <c r="B18" s="43">
        <v>11935</v>
      </c>
      <c r="C18" s="43" t="s">
        <v>1505</v>
      </c>
      <c r="D18" s="62">
        <v>102131650291</v>
      </c>
      <c r="E18" s="43">
        <v>5221421711</v>
      </c>
      <c r="F18" s="56">
        <v>46109</v>
      </c>
      <c r="G18" s="43" t="s">
        <v>1525</v>
      </c>
      <c r="H18" s="43" t="s">
        <v>543</v>
      </c>
      <c r="I18" s="38"/>
      <c r="J18" s="43" t="s">
        <v>1342</v>
      </c>
    </row>
    <row r="19" spans="1:10" x14ac:dyDescent="0.35">
      <c r="A19" s="43">
        <v>17</v>
      </c>
      <c r="B19" s="43">
        <v>11938</v>
      </c>
      <c r="C19" s="43" t="s">
        <v>1506</v>
      </c>
      <c r="D19" s="62">
        <v>101560898181</v>
      </c>
      <c r="E19" s="43">
        <v>5222945774</v>
      </c>
      <c r="F19" s="56">
        <v>46097</v>
      </c>
      <c r="G19" s="43" t="s">
        <v>1524</v>
      </c>
      <c r="H19" s="43" t="s">
        <v>1434</v>
      </c>
      <c r="I19" s="38"/>
      <c r="J19" s="43" t="s">
        <v>1342</v>
      </c>
    </row>
    <row r="20" spans="1:10" x14ac:dyDescent="0.35">
      <c r="A20" s="43">
        <v>18</v>
      </c>
      <c r="B20" s="43">
        <v>11939</v>
      </c>
      <c r="C20" s="43" t="s">
        <v>1507</v>
      </c>
      <c r="D20" s="62">
        <v>101574198687</v>
      </c>
      <c r="E20" s="43" t="s">
        <v>233</v>
      </c>
      <c r="F20" s="56">
        <v>46091</v>
      </c>
      <c r="G20" s="43" t="s">
        <v>1528</v>
      </c>
      <c r="H20" s="43" t="s">
        <v>1432</v>
      </c>
      <c r="I20" s="38"/>
      <c r="J20" s="43" t="s">
        <v>1342</v>
      </c>
    </row>
    <row r="21" spans="1:10" x14ac:dyDescent="0.35">
      <c r="A21" s="43">
        <v>19</v>
      </c>
      <c r="B21" s="43">
        <v>11937</v>
      </c>
      <c r="C21" s="43" t="s">
        <v>1508</v>
      </c>
      <c r="D21" s="62">
        <v>102192112730</v>
      </c>
      <c r="E21" s="43">
        <v>5221975980</v>
      </c>
      <c r="F21" s="56">
        <v>46097</v>
      </c>
      <c r="G21" s="43" t="s">
        <v>1530</v>
      </c>
      <c r="H21" s="43" t="s">
        <v>559</v>
      </c>
      <c r="I21" s="38"/>
      <c r="J21" s="43" t="s">
        <v>1342</v>
      </c>
    </row>
    <row r="22" spans="1:10" x14ac:dyDescent="0.35">
      <c r="A22" s="43">
        <v>20</v>
      </c>
      <c r="B22" s="43">
        <v>11928</v>
      </c>
      <c r="C22" s="43" t="s">
        <v>1509</v>
      </c>
      <c r="D22" s="62">
        <v>101969499320</v>
      </c>
      <c r="E22" s="43">
        <v>5219929785</v>
      </c>
      <c r="F22" s="56">
        <v>46085</v>
      </c>
      <c r="G22" s="43" t="s">
        <v>1528</v>
      </c>
      <c r="H22" s="43" t="s">
        <v>543</v>
      </c>
      <c r="I22" s="38"/>
      <c r="J22" s="43" t="s">
        <v>1342</v>
      </c>
    </row>
    <row r="23" spans="1:10" x14ac:dyDescent="0.35">
      <c r="A23" s="43">
        <v>21</v>
      </c>
      <c r="B23" s="43">
        <v>11933</v>
      </c>
      <c r="C23" s="43" t="s">
        <v>1510</v>
      </c>
      <c r="D23" s="62">
        <v>101203047997</v>
      </c>
      <c r="E23" s="43">
        <v>5218976060</v>
      </c>
      <c r="F23" s="56">
        <v>46104</v>
      </c>
      <c r="G23" s="43" t="s">
        <v>1528</v>
      </c>
      <c r="H23" s="43" t="s">
        <v>1434</v>
      </c>
      <c r="I23" s="38"/>
      <c r="J23" s="43" t="s">
        <v>1342</v>
      </c>
    </row>
    <row r="24" spans="1:10" x14ac:dyDescent="0.35">
      <c r="A24" s="43">
        <v>22</v>
      </c>
      <c r="B24" s="43">
        <v>11932</v>
      </c>
      <c r="C24" s="43" t="s">
        <v>1511</v>
      </c>
      <c r="D24" s="62">
        <v>101905225812</v>
      </c>
      <c r="E24" s="43">
        <v>5222946036</v>
      </c>
      <c r="F24" s="56">
        <v>46098</v>
      </c>
      <c r="G24" s="43" t="s">
        <v>1528</v>
      </c>
      <c r="H24" s="43" t="s">
        <v>546</v>
      </c>
      <c r="I24" s="38"/>
      <c r="J24" s="43" t="s">
        <v>1342</v>
      </c>
    </row>
    <row r="25" spans="1:10" x14ac:dyDescent="0.35">
      <c r="A25" s="43">
        <v>23</v>
      </c>
      <c r="B25" s="43">
        <v>11934</v>
      </c>
      <c r="C25" s="43" t="s">
        <v>1512</v>
      </c>
      <c r="D25" s="62">
        <v>102211568960</v>
      </c>
      <c r="E25" s="43">
        <v>5222536363</v>
      </c>
      <c r="F25" s="56">
        <v>46104</v>
      </c>
      <c r="G25" s="43" t="s">
        <v>1531</v>
      </c>
      <c r="H25" s="43" t="s">
        <v>543</v>
      </c>
      <c r="I25" s="38"/>
      <c r="J25" s="43" t="s">
        <v>1342</v>
      </c>
    </row>
    <row r="26" spans="1:10" x14ac:dyDescent="0.35">
      <c r="A26" s="43">
        <v>24</v>
      </c>
      <c r="B26" s="43">
        <v>11931</v>
      </c>
      <c r="C26" s="43" t="s">
        <v>1513</v>
      </c>
      <c r="D26" s="62">
        <v>101930298148</v>
      </c>
      <c r="E26" s="43">
        <v>5219588137</v>
      </c>
      <c r="F26" s="56">
        <v>46085</v>
      </c>
      <c r="G26" s="43" t="s">
        <v>1528</v>
      </c>
      <c r="H26" s="43" t="s">
        <v>559</v>
      </c>
      <c r="I26" s="38"/>
      <c r="J26" s="43" t="s">
        <v>1342</v>
      </c>
    </row>
    <row r="27" spans="1:10" x14ac:dyDescent="0.35">
      <c r="A27" s="43">
        <v>25</v>
      </c>
      <c r="B27" s="43">
        <v>11933</v>
      </c>
      <c r="C27" s="43" t="s">
        <v>1510</v>
      </c>
      <c r="D27" s="62">
        <v>101203047997</v>
      </c>
      <c r="E27" s="43">
        <v>5218976060</v>
      </c>
      <c r="F27" s="56">
        <v>46104</v>
      </c>
      <c r="G27" s="43" t="s">
        <v>1528</v>
      </c>
      <c r="H27" s="43" t="s">
        <v>1434</v>
      </c>
      <c r="I27" s="38"/>
      <c r="J27" s="43" t="s">
        <v>1342</v>
      </c>
    </row>
    <row r="28" spans="1:10" x14ac:dyDescent="0.35">
      <c r="A28" s="43">
        <v>26</v>
      </c>
      <c r="B28" s="43">
        <v>11950</v>
      </c>
      <c r="C28" s="43" t="s">
        <v>1514</v>
      </c>
      <c r="D28" s="62">
        <v>101337093995</v>
      </c>
      <c r="E28" s="43">
        <v>5218078451</v>
      </c>
      <c r="F28" s="56">
        <v>46097</v>
      </c>
      <c r="G28" s="43" t="s">
        <v>1528</v>
      </c>
      <c r="H28" s="43" t="s">
        <v>543</v>
      </c>
      <c r="I28" s="38"/>
      <c r="J28" s="43" t="s">
        <v>1342</v>
      </c>
    </row>
    <row r="29" spans="1:10" x14ac:dyDescent="0.35">
      <c r="A29" s="43">
        <v>27</v>
      </c>
      <c r="B29" s="43">
        <v>10681</v>
      </c>
      <c r="C29" s="43" t="s">
        <v>1515</v>
      </c>
      <c r="D29" s="62">
        <v>101480183386</v>
      </c>
      <c r="E29" s="43">
        <v>5216295990</v>
      </c>
      <c r="F29" s="56">
        <v>46090</v>
      </c>
      <c r="G29" s="43" t="s">
        <v>1525</v>
      </c>
      <c r="H29" s="43" t="s">
        <v>543</v>
      </c>
      <c r="I29" s="38"/>
      <c r="J29" s="43" t="s">
        <v>1342</v>
      </c>
    </row>
    <row r="30" spans="1:10" x14ac:dyDescent="0.35">
      <c r="A30" s="43">
        <v>28</v>
      </c>
      <c r="B30" s="43">
        <v>10294</v>
      </c>
      <c r="C30" s="43" t="s">
        <v>1516</v>
      </c>
      <c r="D30" s="62">
        <v>101298193593</v>
      </c>
      <c r="E30" s="43">
        <v>5217061262</v>
      </c>
      <c r="F30" s="56">
        <v>46092</v>
      </c>
      <c r="G30" s="43" t="s">
        <v>1525</v>
      </c>
      <c r="H30" s="43" t="s">
        <v>559</v>
      </c>
      <c r="I30" s="38"/>
      <c r="J30" s="43" t="s">
        <v>1342</v>
      </c>
    </row>
    <row r="31" spans="1:10" x14ac:dyDescent="0.35">
      <c r="A31" s="43">
        <v>29</v>
      </c>
      <c r="B31" s="43">
        <v>11957</v>
      </c>
      <c r="C31" s="43" t="s">
        <v>1517</v>
      </c>
      <c r="D31" s="62">
        <v>101153101490</v>
      </c>
      <c r="E31" s="43">
        <v>5222967199</v>
      </c>
      <c r="F31" s="56">
        <v>46107</v>
      </c>
      <c r="G31" s="43" t="s">
        <v>1532</v>
      </c>
      <c r="H31" s="43" t="s">
        <v>1434</v>
      </c>
      <c r="I31" s="38"/>
      <c r="J31" s="43" t="s">
        <v>1342</v>
      </c>
    </row>
    <row r="32" spans="1:10" x14ac:dyDescent="0.35">
      <c r="A32" s="43">
        <v>30</v>
      </c>
      <c r="B32" s="43">
        <v>11964</v>
      </c>
      <c r="C32" s="43" t="s">
        <v>1518</v>
      </c>
      <c r="D32" s="62">
        <v>102134442524</v>
      </c>
      <c r="E32" s="43">
        <v>5221433108</v>
      </c>
      <c r="F32" s="56">
        <v>46089</v>
      </c>
      <c r="G32" s="43" t="s">
        <v>1528</v>
      </c>
      <c r="H32" s="43" t="s">
        <v>559</v>
      </c>
      <c r="I32" s="38"/>
      <c r="J32" s="43" t="s">
        <v>1342</v>
      </c>
    </row>
    <row r="33" spans="1:10" x14ac:dyDescent="0.35">
      <c r="A33" s="43">
        <v>31</v>
      </c>
      <c r="B33" s="43">
        <v>11087</v>
      </c>
      <c r="C33" s="43" t="s">
        <v>1519</v>
      </c>
      <c r="D33" s="62">
        <v>102109793745</v>
      </c>
      <c r="E33" s="43" t="s">
        <v>233</v>
      </c>
      <c r="F33" s="56">
        <v>46097</v>
      </c>
      <c r="G33" s="43" t="s">
        <v>1524</v>
      </c>
      <c r="H33" s="43" t="s">
        <v>1432</v>
      </c>
      <c r="I33" s="38"/>
      <c r="J33" s="43" t="s">
        <v>1342</v>
      </c>
    </row>
    <row r="34" spans="1:10" x14ac:dyDescent="0.35">
      <c r="A34" s="43">
        <v>32</v>
      </c>
      <c r="B34" s="43">
        <v>10965</v>
      </c>
      <c r="C34" s="43" t="s">
        <v>1520</v>
      </c>
      <c r="D34" s="62">
        <v>101216447133</v>
      </c>
      <c r="E34" s="43">
        <v>5220981715</v>
      </c>
      <c r="F34" s="56">
        <v>46104</v>
      </c>
      <c r="G34" s="43" t="s">
        <v>1530</v>
      </c>
      <c r="H34" s="43" t="s">
        <v>543</v>
      </c>
      <c r="I34" s="38"/>
      <c r="J34" s="43" t="s">
        <v>1342</v>
      </c>
    </row>
    <row r="35" spans="1:10" x14ac:dyDescent="0.35">
      <c r="A35" s="43">
        <v>33</v>
      </c>
      <c r="B35" s="43">
        <v>11967</v>
      </c>
      <c r="C35" s="43" t="s">
        <v>1521</v>
      </c>
      <c r="D35" s="62">
        <v>102085191542</v>
      </c>
      <c r="E35" s="43">
        <v>5220981806</v>
      </c>
      <c r="F35" s="56">
        <v>46107</v>
      </c>
      <c r="G35" s="43" t="s">
        <v>1533</v>
      </c>
      <c r="H35" s="43" t="s">
        <v>1535</v>
      </c>
      <c r="I35" s="38"/>
      <c r="J35" s="43" t="s">
        <v>1342</v>
      </c>
    </row>
    <row r="36" spans="1:10" x14ac:dyDescent="0.35">
      <c r="A36" s="43">
        <v>34</v>
      </c>
      <c r="B36" s="43">
        <v>11974</v>
      </c>
      <c r="C36" s="43" t="s">
        <v>1522</v>
      </c>
      <c r="D36" s="62">
        <v>100749345132</v>
      </c>
      <c r="E36" s="43" t="s">
        <v>233</v>
      </c>
      <c r="F36" s="56">
        <v>46105</v>
      </c>
      <c r="G36" s="43" t="s">
        <v>1534</v>
      </c>
      <c r="H36" s="43" t="s">
        <v>1326</v>
      </c>
      <c r="I36" s="38"/>
      <c r="J36" s="43" t="s">
        <v>1342</v>
      </c>
    </row>
    <row r="37" spans="1:10" x14ac:dyDescent="0.35">
      <c r="A37" s="43">
        <v>35</v>
      </c>
      <c r="B37" s="43">
        <v>11953</v>
      </c>
      <c r="C37" s="43" t="s">
        <v>1523</v>
      </c>
      <c r="D37" s="62">
        <v>102273039475</v>
      </c>
      <c r="E37" s="43">
        <v>5222479200</v>
      </c>
      <c r="F37" s="56">
        <v>46090</v>
      </c>
      <c r="G37" s="43" t="s">
        <v>1526</v>
      </c>
      <c r="H37" s="43" t="s">
        <v>543</v>
      </c>
      <c r="I37" s="38"/>
      <c r="J37" s="43" t="s">
        <v>1342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FC32-6B50-4563-9669-8580A327F240}">
  <dimension ref="A1:J41"/>
  <sheetViews>
    <sheetView tabSelected="1" topLeftCell="A26" workbookViewId="0">
      <selection activeCell="E44" sqref="E44"/>
    </sheetView>
  </sheetViews>
  <sheetFormatPr defaultRowHeight="14.5" x14ac:dyDescent="0.35"/>
  <cols>
    <col min="3" max="3" width="36.90625" bestFit="1" customWidth="1"/>
    <col min="4" max="4" width="16.453125" customWidth="1"/>
    <col min="5" max="5" width="14.7265625" customWidth="1"/>
    <col min="6" max="6" width="14.08984375" bestFit="1" customWidth="1"/>
    <col min="7" max="7" width="45.6328125" bestFit="1" customWidth="1"/>
    <col min="10" max="10" width="12.1796875" bestFit="1" customWidth="1"/>
  </cols>
  <sheetData>
    <row r="1" spans="1:10" x14ac:dyDescent="0.35">
      <c r="A1" s="244"/>
      <c r="B1" s="244"/>
      <c r="C1" s="371" t="s">
        <v>1536</v>
      </c>
      <c r="D1" s="281"/>
      <c r="E1" s="244"/>
      <c r="F1" s="244"/>
      <c r="G1" s="244"/>
      <c r="H1" s="244"/>
      <c r="I1" s="244"/>
      <c r="J1" s="244"/>
    </row>
    <row r="2" spans="1:10" ht="15.5" x14ac:dyDescent="0.35">
      <c r="A2" s="377" t="s">
        <v>0</v>
      </c>
      <c r="B2" s="377" t="s">
        <v>1</v>
      </c>
      <c r="C2" s="377" t="s">
        <v>2</v>
      </c>
      <c r="D2" s="378" t="s">
        <v>3</v>
      </c>
      <c r="E2" s="377" t="s">
        <v>1035</v>
      </c>
      <c r="F2" s="377" t="s">
        <v>5</v>
      </c>
      <c r="G2" s="377" t="s">
        <v>6</v>
      </c>
      <c r="H2" s="377" t="s">
        <v>7</v>
      </c>
      <c r="I2" s="379" t="s">
        <v>661</v>
      </c>
      <c r="J2" s="379" t="s">
        <v>1290</v>
      </c>
    </row>
    <row r="3" spans="1:10" x14ac:dyDescent="0.35">
      <c r="A3" s="380">
        <v>1</v>
      </c>
      <c r="B3" s="380">
        <v>11942</v>
      </c>
      <c r="C3" s="380" t="s">
        <v>1537</v>
      </c>
      <c r="D3" s="381">
        <v>102318135192</v>
      </c>
      <c r="E3" s="380" t="s">
        <v>1574</v>
      </c>
      <c r="F3" s="382">
        <v>46115</v>
      </c>
      <c r="G3" s="380" t="s">
        <v>1524</v>
      </c>
      <c r="H3" s="380" t="s">
        <v>1434</v>
      </c>
      <c r="I3" s="380"/>
      <c r="J3" s="380" t="s">
        <v>1579</v>
      </c>
    </row>
    <row r="4" spans="1:10" x14ac:dyDescent="0.35">
      <c r="A4" s="380">
        <v>2</v>
      </c>
      <c r="B4" s="380">
        <v>11952</v>
      </c>
      <c r="C4" s="380" t="s">
        <v>1538</v>
      </c>
      <c r="D4" s="381">
        <v>101371644835</v>
      </c>
      <c r="E4" s="43" t="s">
        <v>1575</v>
      </c>
      <c r="F4" s="382">
        <v>46113</v>
      </c>
      <c r="G4" s="380" t="s">
        <v>1533</v>
      </c>
      <c r="H4" s="380" t="s">
        <v>543</v>
      </c>
      <c r="I4" s="380"/>
      <c r="J4" s="380" t="s">
        <v>1579</v>
      </c>
    </row>
    <row r="5" spans="1:10" x14ac:dyDescent="0.35">
      <c r="A5" s="380">
        <v>3</v>
      </c>
      <c r="B5" s="380">
        <v>10387</v>
      </c>
      <c r="C5" s="380" t="s">
        <v>1539</v>
      </c>
      <c r="D5" s="381">
        <v>101604231668</v>
      </c>
      <c r="E5" s="43">
        <v>5216754079</v>
      </c>
      <c r="F5" s="382">
        <v>46113</v>
      </c>
      <c r="G5" s="380" t="s">
        <v>1525</v>
      </c>
      <c r="H5" s="380" t="s">
        <v>543</v>
      </c>
      <c r="I5" s="380"/>
      <c r="J5" s="380" t="s">
        <v>1579</v>
      </c>
    </row>
    <row r="6" spans="1:10" x14ac:dyDescent="0.35">
      <c r="A6" s="380">
        <v>4</v>
      </c>
      <c r="B6" s="380">
        <v>11948</v>
      </c>
      <c r="C6" s="380" t="s">
        <v>1540</v>
      </c>
      <c r="D6" s="381">
        <v>101956500702</v>
      </c>
      <c r="E6" s="43">
        <v>5220732811</v>
      </c>
      <c r="F6" s="382">
        <v>46113</v>
      </c>
      <c r="G6" s="380" t="s">
        <v>1525</v>
      </c>
      <c r="H6" s="380" t="s">
        <v>543</v>
      </c>
      <c r="I6" s="380"/>
      <c r="J6" s="380" t="s">
        <v>1579</v>
      </c>
    </row>
    <row r="7" spans="1:10" x14ac:dyDescent="0.35">
      <c r="A7" s="380">
        <v>5</v>
      </c>
      <c r="B7" s="380">
        <v>11949</v>
      </c>
      <c r="C7" s="380" t="s">
        <v>1541</v>
      </c>
      <c r="D7" s="381">
        <v>101950532400</v>
      </c>
      <c r="E7" s="43">
        <v>5220967458</v>
      </c>
      <c r="F7" s="382">
        <v>46113</v>
      </c>
      <c r="G7" s="380" t="s">
        <v>1525</v>
      </c>
      <c r="H7" s="380" t="s">
        <v>543</v>
      </c>
      <c r="I7" s="380"/>
      <c r="J7" s="380" t="s">
        <v>1579</v>
      </c>
    </row>
    <row r="8" spans="1:10" x14ac:dyDescent="0.35">
      <c r="A8" s="380">
        <v>6</v>
      </c>
      <c r="B8" s="380">
        <v>11941</v>
      </c>
      <c r="C8" s="380" t="s">
        <v>1542</v>
      </c>
      <c r="D8" s="381">
        <v>101438015120</v>
      </c>
      <c r="E8" s="380">
        <v>5220271484</v>
      </c>
      <c r="F8" s="382">
        <v>46113</v>
      </c>
      <c r="G8" s="380" t="s">
        <v>1525</v>
      </c>
      <c r="H8" s="380" t="s">
        <v>543</v>
      </c>
      <c r="I8" s="380"/>
      <c r="J8" s="380" t="s">
        <v>1579</v>
      </c>
    </row>
    <row r="9" spans="1:10" x14ac:dyDescent="0.35">
      <c r="A9" s="380">
        <v>7</v>
      </c>
      <c r="B9" s="380">
        <v>11968</v>
      </c>
      <c r="C9" s="380" t="s">
        <v>1543</v>
      </c>
      <c r="D9" s="381">
        <v>102296527993</v>
      </c>
      <c r="E9" s="380">
        <v>5222967636</v>
      </c>
      <c r="F9" s="382">
        <v>46113</v>
      </c>
      <c r="G9" s="380" t="s">
        <v>1525</v>
      </c>
      <c r="H9" s="380" t="s">
        <v>543</v>
      </c>
      <c r="I9" s="380"/>
      <c r="J9" s="380" t="s">
        <v>1579</v>
      </c>
    </row>
    <row r="10" spans="1:10" x14ac:dyDescent="0.35">
      <c r="A10" s="380">
        <v>8</v>
      </c>
      <c r="B10" s="380">
        <v>11970</v>
      </c>
      <c r="C10" s="380" t="s">
        <v>1544</v>
      </c>
      <c r="D10" s="381">
        <v>102148786285</v>
      </c>
      <c r="E10" s="380">
        <v>5221530645</v>
      </c>
      <c r="F10" s="382">
        <v>46128</v>
      </c>
      <c r="G10" s="380" t="s">
        <v>1524</v>
      </c>
      <c r="H10" s="380" t="s">
        <v>543</v>
      </c>
      <c r="I10" s="380"/>
      <c r="J10" s="380" t="s">
        <v>1579</v>
      </c>
    </row>
    <row r="11" spans="1:10" x14ac:dyDescent="0.35">
      <c r="A11" s="380">
        <v>9</v>
      </c>
      <c r="B11" s="380">
        <v>11972</v>
      </c>
      <c r="C11" s="380" t="s">
        <v>1545</v>
      </c>
      <c r="D11" s="381">
        <v>102248321779</v>
      </c>
      <c r="E11" s="380">
        <v>5222691525</v>
      </c>
      <c r="F11" s="382">
        <v>46122</v>
      </c>
      <c r="G11" s="380" t="s">
        <v>1528</v>
      </c>
      <c r="H11" s="380" t="s">
        <v>543</v>
      </c>
      <c r="I11" s="380"/>
      <c r="J11" s="380" t="s">
        <v>1579</v>
      </c>
    </row>
    <row r="12" spans="1:10" x14ac:dyDescent="0.35">
      <c r="A12" s="380">
        <v>10</v>
      </c>
      <c r="B12" s="380">
        <v>11963</v>
      </c>
      <c r="C12" s="380" t="s">
        <v>1546</v>
      </c>
      <c r="D12" s="381">
        <v>101630531879</v>
      </c>
      <c r="E12" s="380">
        <v>5222639557</v>
      </c>
      <c r="F12" s="382">
        <v>46123</v>
      </c>
      <c r="G12" s="380" t="s">
        <v>1528</v>
      </c>
      <c r="H12" s="380" t="s">
        <v>543</v>
      </c>
      <c r="I12" s="380"/>
      <c r="J12" s="380" t="s">
        <v>1579</v>
      </c>
    </row>
    <row r="13" spans="1:10" x14ac:dyDescent="0.35">
      <c r="A13" s="380">
        <v>11</v>
      </c>
      <c r="B13" s="380">
        <v>11969</v>
      </c>
      <c r="C13" s="380" t="s">
        <v>1547</v>
      </c>
      <c r="D13" s="381">
        <v>101819585949</v>
      </c>
      <c r="E13" s="380">
        <v>5218464933</v>
      </c>
      <c r="F13" s="382">
        <v>46115</v>
      </c>
      <c r="G13" s="380" t="s">
        <v>1525</v>
      </c>
      <c r="H13" s="380" t="s">
        <v>543</v>
      </c>
      <c r="I13" s="380"/>
      <c r="J13" s="380" t="s">
        <v>1579</v>
      </c>
    </row>
    <row r="14" spans="1:10" x14ac:dyDescent="0.35">
      <c r="A14" s="380">
        <v>12</v>
      </c>
      <c r="B14" s="380">
        <v>11965</v>
      </c>
      <c r="C14" s="380" t="s">
        <v>1548</v>
      </c>
      <c r="D14" s="381">
        <v>101648684392</v>
      </c>
      <c r="E14" s="380">
        <v>1713956341</v>
      </c>
      <c r="F14" s="382">
        <v>46118</v>
      </c>
      <c r="G14" s="380" t="s">
        <v>1525</v>
      </c>
      <c r="H14" s="380" t="s">
        <v>543</v>
      </c>
      <c r="I14" s="380"/>
      <c r="J14" s="380" t="s">
        <v>1579</v>
      </c>
    </row>
    <row r="15" spans="1:10" x14ac:dyDescent="0.35">
      <c r="A15" s="380">
        <v>13</v>
      </c>
      <c r="B15" s="380">
        <v>11962</v>
      </c>
      <c r="C15" s="380" t="s">
        <v>1549</v>
      </c>
      <c r="D15" s="381">
        <v>102012468482</v>
      </c>
      <c r="E15" s="380">
        <v>5220248814</v>
      </c>
      <c r="F15" s="382">
        <v>46127</v>
      </c>
      <c r="G15" s="380" t="s">
        <v>1527</v>
      </c>
      <c r="H15" s="380" t="s">
        <v>543</v>
      </c>
      <c r="I15" s="380"/>
      <c r="J15" s="380" t="s">
        <v>1579</v>
      </c>
    </row>
    <row r="16" spans="1:10" x14ac:dyDescent="0.35">
      <c r="A16" s="380">
        <v>14</v>
      </c>
      <c r="B16" s="380">
        <v>11978</v>
      </c>
      <c r="C16" s="380" t="s">
        <v>1550</v>
      </c>
      <c r="D16" s="381">
        <v>102323955557</v>
      </c>
      <c r="E16" s="380">
        <v>5222982611</v>
      </c>
      <c r="F16" s="382">
        <v>46113</v>
      </c>
      <c r="G16" s="380" t="s">
        <v>1533</v>
      </c>
      <c r="H16" s="380" t="s">
        <v>543</v>
      </c>
      <c r="I16" s="380"/>
      <c r="J16" s="380" t="s">
        <v>1579</v>
      </c>
    </row>
    <row r="17" spans="1:10" x14ac:dyDescent="0.35">
      <c r="A17" s="380">
        <v>15</v>
      </c>
      <c r="B17" s="380">
        <v>11977</v>
      </c>
      <c r="C17" s="380" t="s">
        <v>1551</v>
      </c>
      <c r="D17" s="381">
        <v>101099388192</v>
      </c>
      <c r="E17" s="380">
        <v>5222981367</v>
      </c>
      <c r="F17" s="382">
        <v>46127</v>
      </c>
      <c r="G17" s="380" t="s">
        <v>1576</v>
      </c>
      <c r="H17" s="380" t="s">
        <v>543</v>
      </c>
      <c r="I17" s="380"/>
      <c r="J17" s="380" t="s">
        <v>1579</v>
      </c>
    </row>
    <row r="18" spans="1:10" x14ac:dyDescent="0.35">
      <c r="A18" s="380">
        <v>16</v>
      </c>
      <c r="B18" s="380">
        <v>11975</v>
      </c>
      <c r="C18" s="380" t="s">
        <v>1552</v>
      </c>
      <c r="D18" s="381">
        <v>101296385734</v>
      </c>
      <c r="E18" s="380">
        <v>5219196622</v>
      </c>
      <c r="F18" s="382">
        <v>46125</v>
      </c>
      <c r="G18" s="380" t="s">
        <v>1576</v>
      </c>
      <c r="H18" s="380" t="s">
        <v>543</v>
      </c>
      <c r="I18" s="380"/>
      <c r="J18" s="380" t="s">
        <v>1579</v>
      </c>
    </row>
    <row r="19" spans="1:10" x14ac:dyDescent="0.35">
      <c r="A19" s="380">
        <v>17</v>
      </c>
      <c r="B19" s="380">
        <v>11998</v>
      </c>
      <c r="C19" s="380" t="s">
        <v>1553</v>
      </c>
      <c r="D19" s="381">
        <v>102142680248</v>
      </c>
      <c r="E19" s="380">
        <v>5221559089</v>
      </c>
      <c r="F19" s="382">
        <v>46123</v>
      </c>
      <c r="G19" s="380" t="s">
        <v>1531</v>
      </c>
      <c r="H19" s="380" t="s">
        <v>559</v>
      </c>
      <c r="I19" s="380"/>
      <c r="J19" s="380" t="s">
        <v>1579</v>
      </c>
    </row>
    <row r="20" spans="1:10" x14ac:dyDescent="0.35">
      <c r="A20" s="380">
        <v>18</v>
      </c>
      <c r="B20" s="380">
        <v>12000</v>
      </c>
      <c r="C20" s="380" t="s">
        <v>1554</v>
      </c>
      <c r="D20" s="381">
        <v>102213868097</v>
      </c>
      <c r="E20" s="380">
        <v>5222214294</v>
      </c>
      <c r="F20" s="382">
        <v>46134</v>
      </c>
      <c r="G20" s="380" t="s">
        <v>1528</v>
      </c>
      <c r="H20" s="380" t="s">
        <v>559</v>
      </c>
      <c r="I20" s="380"/>
      <c r="J20" s="380" t="s">
        <v>1579</v>
      </c>
    </row>
    <row r="21" spans="1:10" x14ac:dyDescent="0.35">
      <c r="A21" s="380">
        <v>19</v>
      </c>
      <c r="B21" s="380">
        <v>11991</v>
      </c>
      <c r="C21" s="380" t="s">
        <v>1555</v>
      </c>
      <c r="D21" s="381">
        <v>101644430226</v>
      </c>
      <c r="E21" s="380">
        <v>5221918283</v>
      </c>
      <c r="F21" s="382">
        <v>46132</v>
      </c>
      <c r="G21" s="380" t="s">
        <v>1577</v>
      </c>
      <c r="H21" s="380" t="s">
        <v>559</v>
      </c>
      <c r="I21" s="380"/>
      <c r="J21" s="380" t="s">
        <v>1579</v>
      </c>
    </row>
    <row r="22" spans="1:10" x14ac:dyDescent="0.35">
      <c r="A22" s="380">
        <v>20</v>
      </c>
      <c r="B22" s="380">
        <v>11981</v>
      </c>
      <c r="C22" s="380" t="s">
        <v>1556</v>
      </c>
      <c r="D22" s="381">
        <v>102325417233</v>
      </c>
      <c r="E22" s="380">
        <v>5222992238</v>
      </c>
      <c r="F22" s="382">
        <v>46134</v>
      </c>
      <c r="G22" s="380" t="s">
        <v>1524</v>
      </c>
      <c r="H22" s="380" t="s">
        <v>543</v>
      </c>
      <c r="I22" s="380"/>
      <c r="J22" s="380" t="s">
        <v>1579</v>
      </c>
    </row>
    <row r="23" spans="1:10" x14ac:dyDescent="0.35">
      <c r="A23" s="380">
        <v>21</v>
      </c>
      <c r="B23" s="380">
        <v>11983</v>
      </c>
      <c r="C23" s="380" t="s">
        <v>1557</v>
      </c>
      <c r="D23" s="381">
        <v>101990078509</v>
      </c>
      <c r="E23" s="380">
        <v>5220068980</v>
      </c>
      <c r="F23" s="382">
        <v>46134</v>
      </c>
      <c r="G23" s="380" t="s">
        <v>1528</v>
      </c>
      <c r="H23" s="380" t="s">
        <v>559</v>
      </c>
      <c r="I23" s="380"/>
      <c r="J23" s="380" t="s">
        <v>1579</v>
      </c>
    </row>
    <row r="24" spans="1:10" x14ac:dyDescent="0.35">
      <c r="A24" s="380">
        <v>22</v>
      </c>
      <c r="B24" s="380">
        <v>11994</v>
      </c>
      <c r="C24" s="380" t="s">
        <v>1508</v>
      </c>
      <c r="D24" s="381">
        <v>102028947130</v>
      </c>
      <c r="E24" s="380">
        <v>5220392385</v>
      </c>
      <c r="F24" s="382">
        <v>46113</v>
      </c>
      <c r="G24" s="380" t="s">
        <v>1528</v>
      </c>
      <c r="H24" s="380" t="s">
        <v>559</v>
      </c>
      <c r="I24" s="380"/>
      <c r="J24" s="380" t="s">
        <v>1579</v>
      </c>
    </row>
    <row r="25" spans="1:10" x14ac:dyDescent="0.35">
      <c r="A25" s="380">
        <v>23</v>
      </c>
      <c r="B25" s="380">
        <v>11989</v>
      </c>
      <c r="C25" s="380" t="s">
        <v>1558</v>
      </c>
      <c r="D25" s="381">
        <v>102324997472</v>
      </c>
      <c r="E25" s="380">
        <v>5222989419</v>
      </c>
      <c r="F25" s="382">
        <v>46133</v>
      </c>
      <c r="G25" s="380" t="s">
        <v>1524</v>
      </c>
      <c r="H25" s="380" t="s">
        <v>543</v>
      </c>
      <c r="I25" s="380"/>
      <c r="J25" s="380" t="s">
        <v>1579</v>
      </c>
    </row>
    <row r="26" spans="1:10" x14ac:dyDescent="0.35">
      <c r="A26" s="380">
        <v>24</v>
      </c>
      <c r="B26" s="380">
        <v>11988</v>
      </c>
      <c r="C26" s="380" t="s">
        <v>1559</v>
      </c>
      <c r="D26" s="381">
        <v>102271800804</v>
      </c>
      <c r="E26" s="380">
        <v>5222530134</v>
      </c>
      <c r="F26" s="382">
        <v>46126</v>
      </c>
      <c r="G26" s="380" t="s">
        <v>1525</v>
      </c>
      <c r="H26" s="380" t="s">
        <v>559</v>
      </c>
      <c r="I26" s="380"/>
      <c r="J26" s="380" t="s">
        <v>1579</v>
      </c>
    </row>
    <row r="27" spans="1:10" x14ac:dyDescent="0.35">
      <c r="A27" s="380">
        <v>25</v>
      </c>
      <c r="B27" s="380">
        <v>11985</v>
      </c>
      <c r="C27" s="380" t="s">
        <v>1560</v>
      </c>
      <c r="D27" s="381">
        <v>101240162299</v>
      </c>
      <c r="E27" s="380">
        <v>5216168669</v>
      </c>
      <c r="F27" s="382">
        <v>46123</v>
      </c>
      <c r="G27" s="380" t="s">
        <v>1531</v>
      </c>
      <c r="H27" s="380" t="s">
        <v>559</v>
      </c>
      <c r="I27" s="380"/>
      <c r="J27" s="380" t="s">
        <v>1579</v>
      </c>
    </row>
    <row r="28" spans="1:10" x14ac:dyDescent="0.35">
      <c r="A28" s="380">
        <v>26</v>
      </c>
      <c r="B28" s="380">
        <v>11987</v>
      </c>
      <c r="C28" s="380" t="s">
        <v>1561</v>
      </c>
      <c r="D28" s="381">
        <v>101908077673</v>
      </c>
      <c r="E28" s="380">
        <v>5220188095</v>
      </c>
      <c r="F28" s="382">
        <v>46132</v>
      </c>
      <c r="G28" s="380" t="s">
        <v>1524</v>
      </c>
      <c r="H28" s="380" t="s">
        <v>1434</v>
      </c>
      <c r="I28" s="380"/>
      <c r="J28" s="380" t="s">
        <v>1579</v>
      </c>
    </row>
    <row r="29" spans="1:10" x14ac:dyDescent="0.35">
      <c r="A29" s="380">
        <v>27</v>
      </c>
      <c r="B29" s="380">
        <v>10896</v>
      </c>
      <c r="C29" s="380" t="s">
        <v>1562</v>
      </c>
      <c r="D29" s="381">
        <v>102023347435</v>
      </c>
      <c r="E29" s="380">
        <v>5220849176</v>
      </c>
      <c r="F29" s="382">
        <v>46132</v>
      </c>
      <c r="G29" s="380" t="s">
        <v>1526</v>
      </c>
      <c r="H29" s="380" t="s">
        <v>543</v>
      </c>
      <c r="I29" s="380"/>
      <c r="J29" s="380" t="s">
        <v>1579</v>
      </c>
    </row>
    <row r="30" spans="1:10" x14ac:dyDescent="0.35">
      <c r="A30" s="380">
        <v>28</v>
      </c>
      <c r="B30" s="380">
        <v>11996</v>
      </c>
      <c r="C30" s="380" t="s">
        <v>1563</v>
      </c>
      <c r="D30" s="381">
        <v>101331686770</v>
      </c>
      <c r="E30" s="380" t="s">
        <v>233</v>
      </c>
      <c r="F30" s="382">
        <v>46134</v>
      </c>
      <c r="G30" s="380" t="s">
        <v>1526</v>
      </c>
      <c r="H30" s="380" t="s">
        <v>1380</v>
      </c>
      <c r="I30" s="380"/>
      <c r="J30" s="380" t="s">
        <v>1579</v>
      </c>
    </row>
    <row r="31" spans="1:10" x14ac:dyDescent="0.35">
      <c r="A31" s="380">
        <v>29</v>
      </c>
      <c r="B31" s="380">
        <v>11997</v>
      </c>
      <c r="C31" s="380" t="s">
        <v>1564</v>
      </c>
      <c r="D31" s="381">
        <v>101578753743</v>
      </c>
      <c r="E31" s="380">
        <v>5221046410</v>
      </c>
      <c r="F31" s="382">
        <v>46137</v>
      </c>
      <c r="G31" s="380" t="s">
        <v>1526</v>
      </c>
      <c r="H31" s="380" t="s">
        <v>559</v>
      </c>
      <c r="I31" s="380"/>
      <c r="J31" s="380" t="s">
        <v>1579</v>
      </c>
    </row>
    <row r="32" spans="1:10" x14ac:dyDescent="0.35">
      <c r="A32" s="380">
        <v>30</v>
      </c>
      <c r="B32" s="380">
        <v>11995</v>
      </c>
      <c r="C32" s="380" t="s">
        <v>1565</v>
      </c>
      <c r="D32" s="381">
        <v>100778878013</v>
      </c>
      <c r="E32" s="380">
        <v>5222375576</v>
      </c>
      <c r="F32" s="382">
        <v>46122</v>
      </c>
      <c r="G32" s="380" t="s">
        <v>1528</v>
      </c>
      <c r="H32" s="380" t="s">
        <v>559</v>
      </c>
      <c r="I32" s="380"/>
      <c r="J32" s="380" t="s">
        <v>1579</v>
      </c>
    </row>
    <row r="33" spans="1:10" x14ac:dyDescent="0.35">
      <c r="A33" s="380">
        <v>31</v>
      </c>
      <c r="B33" s="380">
        <v>11979</v>
      </c>
      <c r="C33" s="380" t="s">
        <v>1566</v>
      </c>
      <c r="D33" s="381">
        <v>101172927763</v>
      </c>
      <c r="E33" s="380">
        <v>5221556231</v>
      </c>
      <c r="F33" s="382">
        <v>46123</v>
      </c>
      <c r="G33" s="380" t="s">
        <v>1531</v>
      </c>
      <c r="H33" s="380" t="s">
        <v>559</v>
      </c>
      <c r="I33" s="380"/>
      <c r="J33" s="380" t="s">
        <v>1579</v>
      </c>
    </row>
    <row r="34" spans="1:10" x14ac:dyDescent="0.35">
      <c r="A34" s="380">
        <v>32</v>
      </c>
      <c r="B34" s="380">
        <v>11999</v>
      </c>
      <c r="C34" s="380" t="s">
        <v>1567</v>
      </c>
      <c r="D34" s="381">
        <v>101922985580</v>
      </c>
      <c r="E34" s="380">
        <v>5219456757</v>
      </c>
      <c r="F34" s="382">
        <v>46122</v>
      </c>
      <c r="G34" s="380" t="s">
        <v>1528</v>
      </c>
      <c r="H34" s="380" t="s">
        <v>559</v>
      </c>
      <c r="I34" s="380"/>
      <c r="J34" s="380" t="s">
        <v>1579</v>
      </c>
    </row>
    <row r="35" spans="1:10" x14ac:dyDescent="0.35">
      <c r="A35" s="380">
        <v>33</v>
      </c>
      <c r="B35" s="380">
        <v>11980</v>
      </c>
      <c r="C35" s="380" t="s">
        <v>1568</v>
      </c>
      <c r="D35" s="381">
        <v>102252099705</v>
      </c>
      <c r="E35" s="380">
        <v>5222477393</v>
      </c>
      <c r="F35" s="382">
        <v>46122</v>
      </c>
      <c r="G35" s="380" t="s">
        <v>1528</v>
      </c>
      <c r="H35" s="380" t="s">
        <v>559</v>
      </c>
      <c r="I35" s="380"/>
      <c r="J35" s="380" t="s">
        <v>1579</v>
      </c>
    </row>
    <row r="36" spans="1:10" x14ac:dyDescent="0.35">
      <c r="A36" s="380">
        <v>34</v>
      </c>
      <c r="B36" s="380">
        <v>11984</v>
      </c>
      <c r="C36" s="380" t="s">
        <v>711</v>
      </c>
      <c r="D36" s="381">
        <v>101811178624</v>
      </c>
      <c r="E36" s="380">
        <v>5219848303</v>
      </c>
      <c r="F36" s="382">
        <v>46115</v>
      </c>
      <c r="G36" s="380" t="s">
        <v>1524</v>
      </c>
      <c r="H36" s="380" t="s">
        <v>543</v>
      </c>
      <c r="I36" s="380"/>
      <c r="J36" s="380" t="s">
        <v>1579</v>
      </c>
    </row>
    <row r="37" spans="1:10" x14ac:dyDescent="0.35">
      <c r="A37" s="380">
        <v>35</v>
      </c>
      <c r="B37" s="380">
        <v>11986</v>
      </c>
      <c r="C37" s="380" t="s">
        <v>1569</v>
      </c>
      <c r="D37" s="381">
        <v>101268799104</v>
      </c>
      <c r="E37" s="380">
        <v>5223018227</v>
      </c>
      <c r="F37" s="382">
        <v>46125</v>
      </c>
      <c r="G37" s="380" t="s">
        <v>1524</v>
      </c>
      <c r="H37" s="380" t="s">
        <v>543</v>
      </c>
      <c r="I37" s="380"/>
      <c r="J37" s="380" t="s">
        <v>1579</v>
      </c>
    </row>
    <row r="38" spans="1:10" x14ac:dyDescent="0.35">
      <c r="A38" s="380">
        <v>36</v>
      </c>
      <c r="B38" s="380">
        <v>12003</v>
      </c>
      <c r="C38" s="380" t="s">
        <v>1570</v>
      </c>
      <c r="D38" s="381">
        <v>101334407549</v>
      </c>
      <c r="E38" s="380" t="s">
        <v>233</v>
      </c>
      <c r="F38" s="382">
        <v>46132</v>
      </c>
      <c r="G38" s="380" t="s">
        <v>1529</v>
      </c>
      <c r="H38" s="380" t="s">
        <v>1578</v>
      </c>
      <c r="I38" s="380"/>
      <c r="J38" s="380" t="s">
        <v>1579</v>
      </c>
    </row>
    <row r="39" spans="1:10" x14ac:dyDescent="0.35">
      <c r="A39" s="380">
        <v>37</v>
      </c>
      <c r="B39" s="380">
        <v>10723</v>
      </c>
      <c r="C39" s="380" t="s">
        <v>1571</v>
      </c>
      <c r="D39" s="381">
        <v>102025216987</v>
      </c>
      <c r="E39" s="380">
        <v>5221050101</v>
      </c>
      <c r="F39" s="382">
        <v>46135</v>
      </c>
      <c r="G39" s="380" t="s">
        <v>1527</v>
      </c>
      <c r="H39" s="380" t="s">
        <v>543</v>
      </c>
      <c r="I39" s="380"/>
      <c r="J39" s="380" t="s">
        <v>1579</v>
      </c>
    </row>
    <row r="40" spans="1:10" x14ac:dyDescent="0.35">
      <c r="A40" s="380">
        <v>38</v>
      </c>
      <c r="B40" s="380">
        <v>12002</v>
      </c>
      <c r="C40" s="380" t="s">
        <v>1572</v>
      </c>
      <c r="D40" s="381">
        <v>101925196200</v>
      </c>
      <c r="E40" s="380">
        <v>5221821624</v>
      </c>
      <c r="F40" s="382">
        <v>46139</v>
      </c>
      <c r="G40" s="380" t="s">
        <v>1524</v>
      </c>
      <c r="H40" s="380" t="s">
        <v>546</v>
      </c>
      <c r="I40" s="380"/>
      <c r="J40" s="380" t="s">
        <v>1579</v>
      </c>
    </row>
    <row r="41" spans="1:10" x14ac:dyDescent="0.35">
      <c r="A41" s="380">
        <v>39</v>
      </c>
      <c r="B41" s="380">
        <v>12006</v>
      </c>
      <c r="C41" s="380" t="s">
        <v>1573</v>
      </c>
      <c r="D41" s="381">
        <v>101930676372</v>
      </c>
      <c r="E41" s="380">
        <v>5223012535</v>
      </c>
      <c r="F41" s="382">
        <v>46140</v>
      </c>
      <c r="G41" s="380" t="s">
        <v>1524</v>
      </c>
      <c r="H41" s="380" t="s">
        <v>559</v>
      </c>
      <c r="I41" s="380"/>
      <c r="J41" s="380" t="s">
        <v>1579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3:K11"/>
  <sheetViews>
    <sheetView workbookViewId="0"/>
  </sheetViews>
  <sheetFormatPr defaultRowHeight="14.5" x14ac:dyDescent="0.35"/>
  <sheetData>
    <row r="3" spans="3:11" x14ac:dyDescent="0.35">
      <c r="C3" s="58" t="s">
        <v>407</v>
      </c>
      <c r="D3" s="58"/>
      <c r="E3" s="58"/>
      <c r="F3" s="58"/>
      <c r="G3" s="58"/>
      <c r="H3" s="58"/>
      <c r="I3" s="58"/>
    </row>
    <row r="4" spans="3:11" x14ac:dyDescent="0.35">
      <c r="C4" s="58"/>
      <c r="D4" s="58"/>
      <c r="E4" s="58"/>
      <c r="F4" s="58"/>
      <c r="G4" s="58"/>
      <c r="H4" s="58"/>
      <c r="I4" s="58"/>
    </row>
    <row r="5" spans="3:11" x14ac:dyDescent="0.35">
      <c r="C5" s="122" t="s">
        <v>397</v>
      </c>
      <c r="D5" s="122" t="s">
        <v>108</v>
      </c>
      <c r="E5" s="122" t="s">
        <v>109</v>
      </c>
      <c r="F5" s="122" t="s">
        <v>3</v>
      </c>
      <c r="G5" s="122" t="s">
        <v>4</v>
      </c>
      <c r="H5" s="122" t="s">
        <v>110</v>
      </c>
      <c r="I5" s="122" t="s">
        <v>111</v>
      </c>
      <c r="J5" s="122" t="s">
        <v>112</v>
      </c>
      <c r="K5" s="122" t="s">
        <v>8</v>
      </c>
    </row>
    <row r="6" spans="3:11" x14ac:dyDescent="0.35">
      <c r="C6">
        <v>1</v>
      </c>
      <c r="D6">
        <v>11161</v>
      </c>
      <c r="E6" t="s">
        <v>405</v>
      </c>
      <c r="G6">
        <v>5221432039</v>
      </c>
    </row>
    <row r="7" spans="3:11" x14ac:dyDescent="0.35">
      <c r="C7">
        <v>2</v>
      </c>
      <c r="E7" t="s">
        <v>406</v>
      </c>
      <c r="G7">
        <v>5221432640</v>
      </c>
    </row>
    <row r="8" spans="3:11" x14ac:dyDescent="0.35">
      <c r="C8">
        <v>3</v>
      </c>
      <c r="D8">
        <v>11159</v>
      </c>
      <c r="E8" t="s">
        <v>408</v>
      </c>
      <c r="G8">
        <v>5221431819</v>
      </c>
    </row>
    <row r="9" spans="3:11" x14ac:dyDescent="0.35">
      <c r="C9">
        <v>4</v>
      </c>
      <c r="D9">
        <v>11160</v>
      </c>
      <c r="E9" t="s">
        <v>409</v>
      </c>
      <c r="G9">
        <v>5221413876</v>
      </c>
    </row>
    <row r="10" spans="3:11" x14ac:dyDescent="0.35">
      <c r="C10">
        <v>5</v>
      </c>
      <c r="D10">
        <v>11155</v>
      </c>
      <c r="E10" t="s">
        <v>410</v>
      </c>
      <c r="G10">
        <v>5221432121</v>
      </c>
    </row>
    <row r="11" spans="3:11" x14ac:dyDescent="0.35">
      <c r="C11">
        <v>6</v>
      </c>
      <c r="D11">
        <v>11162</v>
      </c>
      <c r="E11" t="s">
        <v>411</v>
      </c>
      <c r="G11">
        <v>5221432555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M&amp;D&amp; SOFTSOFTSERVICES</vt:lpstr>
      <vt:lpstr>Sheet2</vt:lpstr>
      <vt:lpstr>JULY</vt:lpstr>
      <vt:lpstr>AUG</vt:lpstr>
      <vt:lpstr>Sep</vt:lpstr>
      <vt:lpstr>OCT</vt:lpstr>
      <vt:lpstr>DEC</vt:lpstr>
      <vt:lpstr>Sheet4</vt:lpstr>
      <vt:lpstr>NOV</vt:lpstr>
      <vt:lpstr>Sheet5</vt:lpstr>
      <vt:lpstr>jan-2025</vt:lpstr>
      <vt:lpstr>FEB2025</vt:lpstr>
      <vt:lpstr>Sheet8</vt:lpstr>
      <vt:lpstr>march 2025</vt:lpstr>
      <vt:lpstr>April2025</vt:lpstr>
      <vt:lpstr>April Insurances candidates</vt:lpstr>
      <vt:lpstr>May -2025</vt:lpstr>
      <vt:lpstr>June-2025</vt:lpstr>
      <vt:lpstr>july -2025</vt:lpstr>
      <vt:lpstr>Sheet7</vt:lpstr>
      <vt:lpstr>Sheet6</vt:lpstr>
      <vt:lpstr>August</vt:lpstr>
      <vt:lpstr>September-2025</vt:lpstr>
      <vt:lpstr>October-2025</vt:lpstr>
      <vt:lpstr>November-2025</vt:lpstr>
      <vt:lpstr>December- 2025</vt:lpstr>
      <vt:lpstr>January- 2026</vt:lpstr>
      <vt:lpstr>FEBRUARY-2026</vt:lpstr>
      <vt:lpstr>March -2026</vt:lpstr>
      <vt:lpstr>APRIL-2026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Nalluri</dc:creator>
  <cp:lastModifiedBy>Madhu S</cp:lastModifiedBy>
  <cp:lastPrinted>2025-06-27T12:49:52Z</cp:lastPrinted>
  <dcterms:created xsi:type="dcterms:W3CDTF">2024-07-04T10:29:12Z</dcterms:created>
  <dcterms:modified xsi:type="dcterms:W3CDTF">2026-04-30T23:47:33Z</dcterms:modified>
</cp:coreProperties>
</file>